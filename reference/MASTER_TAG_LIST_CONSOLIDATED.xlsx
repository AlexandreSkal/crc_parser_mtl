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ocuments\Crc\"/>
    </mc:Choice>
  </mc:AlternateContent>
  <xr:revisionPtr revIDLastSave="0" documentId="13_ncr:1_{9577A38B-3042-4AC5-8885-1A18C5D89FB5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MASTER_TAG_LIST" sheetId="1" r:id="rId1"/>
    <sheet name="Final Val. Alerts" sheetId="2" r:id="rId2"/>
    <sheet name="Add UDT Members" sheetId="3" r:id="rId3"/>
    <sheet name="Progress Metrics" sheetId="4" r:id="rId4"/>
    <sheet name="PrefixLookup" sheetId="5" r:id="rId5"/>
    <sheet name="Allowed_Sequences" sheetId="6" r:id="rId6"/>
    <sheet name="UDT_Def" sheetId="7" r:id="rId7"/>
    <sheet name="utilized_tags_by_cf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10" i="4" s="1"/>
  <c r="C10" i="4" s="1"/>
  <c r="B8" i="4"/>
  <c r="B5" i="4"/>
  <c r="B4" i="4"/>
  <c r="B3" i="4"/>
  <c r="B2" i="4"/>
  <c r="B1" i="4" s="1"/>
  <c r="B11" i="4" s="1"/>
  <c r="C3" i="4" l="1"/>
  <c r="C4" i="4"/>
  <c r="C5" i="4"/>
  <c r="C8" i="4"/>
  <c r="C2" i="4"/>
  <c r="C9" i="4"/>
</calcChain>
</file>

<file path=xl/sharedStrings.xml><?xml version="1.0" encoding="utf-8"?>
<sst xmlns="http://schemas.openxmlformats.org/spreadsheetml/2006/main" count="68787" uniqueCount="9100">
  <si>
    <t>Validation Result</t>
  </si>
  <si>
    <t>Validation Details</t>
  </si>
  <si>
    <t>Validation Bypass</t>
  </si>
  <si>
    <t>group_0</t>
  </si>
  <si>
    <t>group_1 (Process)</t>
  </si>
  <si>
    <t>group_2 (Equip Type)</t>
  </si>
  <si>
    <t>group_3 (Equip ID)</t>
  </si>
  <si>
    <t>group_4 (Value Type)</t>
  </si>
  <si>
    <t>target_name</t>
  </si>
  <si>
    <t>target_udt</t>
  </si>
  <si>
    <t>target_param</t>
  </si>
  <si>
    <t>target_id</t>
  </si>
  <si>
    <t>target_units</t>
  </si>
  <si>
    <t>equipment_description</t>
  </si>
  <si>
    <t>target_name_description</t>
  </si>
  <si>
    <t>target_scaling</t>
  </si>
  <si>
    <t>states</t>
  </si>
  <si>
    <t>iconics_plc_path</t>
  </si>
  <si>
    <t>plc_name</t>
  </si>
  <si>
    <t>original_tag_name</t>
  </si>
  <si>
    <t>add_or_delete</t>
  </si>
  <si>
    <t>target_asset</t>
  </si>
  <si>
    <t>target_group</t>
  </si>
  <si>
    <t>target_format_string</t>
  </si>
  <si>
    <t>pv_min</t>
  </si>
  <si>
    <t>pv_max</t>
  </si>
  <si>
    <t>desired_min</t>
  </si>
  <si>
    <t>desired_max</t>
  </si>
  <si>
    <t>target_label</t>
  </si>
  <si>
    <t>target_description</t>
  </si>
  <si>
    <t>shutdown interlock</t>
  </si>
  <si>
    <t>label_order</t>
  </si>
  <si>
    <t>notes</t>
  </si>
  <si>
    <t>Pass</t>
  </si>
  <si>
    <t>stv_condensate</t>
  </si>
  <si>
    <t>36r</t>
  </si>
  <si>
    <t>meters</t>
  </si>
  <si>
    <t>fit_100</t>
  </si>
  <si>
    <t>analogs</t>
  </si>
  <si>
    <t>pressure</t>
  </si>
  <si>
    <t>core/analog/simple</t>
  </si>
  <si>
    <t>pv_path</t>
  </si>
  <si>
    <t>FIT-100</t>
  </si>
  <si>
    <t>psia</t>
  </si>
  <si>
    <t>Gas to Vent Stack TotalFlow</t>
  </si>
  <si>
    <t>Pressure</t>
  </si>
  <si>
    <t>FCU_100.PRESSURE</t>
  </si>
  <si>
    <t>36R_1C_PIG_RCVR</t>
  </si>
  <si>
    <t>add</t>
  </si>
  <si>
    <t>STV Cond.</t>
  </si>
  <si>
    <t>36R Pig Rcvr</t>
  </si>
  <si>
    <t>Gas to Vent Stack TotalFlow - Pressure</t>
  </si>
  <si>
    <t>differential_pressure</t>
  </si>
  <si>
    <t>in wc</t>
  </si>
  <si>
    <t>Differential Pressure</t>
  </si>
  <si>
    <t>FCU_100.DIFF_PRESSURE</t>
  </si>
  <si>
    <t>#,##0.##</t>
  </si>
  <si>
    <t>Gas to Vent Stack TotalFlow - Differential Pressure</t>
  </si>
  <si>
    <t>temperature</t>
  </si>
  <si>
    <t>°F</t>
  </si>
  <si>
    <t>Temperature</t>
  </si>
  <si>
    <t>FCU_100.TEMPERATURE</t>
  </si>
  <si>
    <t>Gas to Vent Stack TotalFlow - Temperature</t>
  </si>
  <si>
    <t>rate</t>
  </si>
  <si>
    <t>mscfd</t>
  </si>
  <si>
    <t>Rate</t>
  </si>
  <si>
    <t>FCU_100.FLOW</t>
  </si>
  <si>
    <t>Gas to Vent Stack TotalFlow - Rate</t>
  </si>
  <si>
    <t>day_1_volume</t>
  </si>
  <si>
    <t>core/analog/pv_only</t>
  </si>
  <si>
    <t>mscf</t>
  </si>
  <si>
    <t>Day 1 Volume</t>
  </si>
  <si>
    <t>FCU_100.VOL_DAY1</t>
  </si>
  <si>
    <t>Gas to Vent Stack TotalFlow - Day 1 Volume</t>
  </si>
  <si>
    <t>day_0_volume</t>
  </si>
  <si>
    <t>Day 0 Volume</t>
  </si>
  <si>
    <t>FCU_100.VOL_DAY0</t>
  </si>
  <si>
    <t>Gas to Vent Stack TotalFlow - Day 0 Volume</t>
  </si>
  <si>
    <t>valves</t>
  </si>
  <si>
    <t>lcv_104</t>
  </si>
  <si>
    <t>output</t>
  </si>
  <si>
    <t>LCV-104</t>
  </si>
  <si>
    <t>%</t>
  </si>
  <si>
    <t>Harp Separator Condensate Level Valve</t>
  </si>
  <si>
    <t>Output Command</t>
  </si>
  <si>
    <t>LY_104</t>
  </si>
  <si>
    <t>Harp Separator Condensate Level Valve - Output Command</t>
  </si>
  <si>
    <t>transmitters</t>
  </si>
  <si>
    <t>lshh_100</t>
  </si>
  <si>
    <t>timers</t>
  </si>
  <si>
    <t>high_high</t>
  </si>
  <si>
    <t>core/timers/tmr_lgx</t>
  </si>
  <si>
    <t>tmr_path</t>
  </si>
  <si>
    <t>LSHH-100</t>
  </si>
  <si>
    <t>sec</t>
  </si>
  <si>
    <t>Slug Catcher Level Switch High High</t>
  </si>
  <si>
    <t>Alarm Delay</t>
  </si>
  <si>
    <t>LSHH_100_TIMER</t>
  </si>
  <si>
    <t>Slug Catcher Level Switch High High - Alarm Delay</t>
  </si>
  <si>
    <t>lsll_104</t>
  </si>
  <si>
    <t>low_low</t>
  </si>
  <si>
    <t>LSLL-104</t>
  </si>
  <si>
    <t>Harp Separator Level Switch Low Low</t>
  </si>
  <si>
    <t>LSLL_104_TIMER</t>
  </si>
  <si>
    <t>Harp Separator Level Switch Low Low - Alarm Delay</t>
  </si>
  <si>
    <t>ait_1206_1</t>
  </si>
  <si>
    <t>indicator</t>
  </si>
  <si>
    <t>AIT-1206-1</t>
  </si>
  <si>
    <t>Slug Catcher Outlet Hydrogen Sulfide Concentration</t>
  </si>
  <si>
    <t>Process Value</t>
  </si>
  <si>
    <t>FE_01_H2S_A.IN</t>
  </si>
  <si>
    <t>Slug Catcher Outlet Hydrogen Sulfide Concentration - Process Value</t>
  </si>
  <si>
    <t>ait_1206_2</t>
  </si>
  <si>
    <t>AIT-1206-2</t>
  </si>
  <si>
    <t>Slug Catcher Outlet Carbon Dioxide Concentration</t>
  </si>
  <si>
    <t>FE_02_CO2_A.IN</t>
  </si>
  <si>
    <t>Slug Catcher Outlet Carbon Dioxide Concentration - Process Value</t>
  </si>
  <si>
    <t>ait_1206_3</t>
  </si>
  <si>
    <t>AIT-1206-3</t>
  </si>
  <si>
    <t>Slug Catcher Outlet HP Oxygen Concentration</t>
  </si>
  <si>
    <t>FE_03_O2_A.IN</t>
  </si>
  <si>
    <t>Slug Catcher Outlet HP Oxygen Concentration - Process Value</t>
  </si>
  <si>
    <t>fit_102</t>
  </si>
  <si>
    <t>FIT-102</t>
  </si>
  <si>
    <t>Slug Catcher Outlet Totalflow</t>
  </si>
  <si>
    <t>FCU_102.PRESSURE</t>
  </si>
  <si>
    <t>Slug Catcher Outlet Totalflow - Pressure</t>
  </si>
  <si>
    <t>FCU_102.DIFF_PRESSURE</t>
  </si>
  <si>
    <t>Slug Catcher Outlet Totalflow - Differential Pressure</t>
  </si>
  <si>
    <t>FCU_102.TEMPERATURE</t>
  </si>
  <si>
    <t>Slug Catcher Outlet Totalflow - Temperature</t>
  </si>
  <si>
    <t>FCU_102.FLOW</t>
  </si>
  <si>
    <t>Slug Catcher Outlet Totalflow - Rate</t>
  </si>
  <si>
    <t>FCU_102.VOL_DAY1</t>
  </si>
  <si>
    <t>Slug Catcher Outlet Totalflow - Day 1 Volume</t>
  </si>
  <si>
    <t>FCU_102.VOL_DAY0</t>
  </si>
  <si>
    <t>Slug Catcher Outlet Totalflow - Day 0 Volume</t>
  </si>
  <si>
    <t>fit_104</t>
  </si>
  <si>
    <t>FIT-104</t>
  </si>
  <si>
    <t>gpm</t>
  </si>
  <si>
    <t>Harp Separator Outlet Condensate Flow</t>
  </si>
  <si>
    <t>FIT_104A.IN</t>
  </si>
  <si>
    <t>Harp Separator Outlet Condensate Flow - Process Value</t>
  </si>
  <si>
    <t>setpoints</t>
  </si>
  <si>
    <t>high</t>
  </si>
  <si>
    <t>core/setpoints/sp_readback</t>
  </si>
  <si>
    <t>sp_write_path</t>
  </si>
  <si>
    <t>High Alarm Setpoint</t>
  </si>
  <si>
    <t>FAH_104_SP</t>
  </si>
  <si>
    <t>Harp Separator Outlet Condensate Flow - High Alarm Setpoint</t>
  </si>
  <si>
    <t>High Alarm Delay</t>
  </si>
  <si>
    <t>FAH_104_TIMER</t>
  </si>
  <si>
    <t>Harp Separator Outlet Condensate Flow - High Alarm Delay</t>
  </si>
  <si>
    <t>alarms</t>
  </si>
  <si>
    <t>core/alarms/all</t>
  </si>
  <si>
    <t>source_path</t>
  </si>
  <si>
    <t>High Alarm</t>
  </si>
  <si>
    <t>ALARM[1].4</t>
  </si>
  <si>
    <t>Harp Separator Outlet Condensate Flow - High Alarm</t>
  </si>
  <si>
    <t>hv_106</t>
  </si>
  <si>
    <t>open</t>
  </si>
  <si>
    <t>HV-106</t>
  </si>
  <si>
    <t>Pig Reciever Quick Opening Closure</t>
  </si>
  <si>
    <t>Valve Open</t>
  </si>
  <si>
    <t>ALARM[1].9</t>
  </si>
  <si>
    <t>Pig Reciever Quick Opening Closure - Valve Open</t>
  </si>
  <si>
    <t>status</t>
  </si>
  <si>
    <t>core/digital/multistate</t>
  </si>
  <si>
    <t>Open Switch Status</t>
  </si>
  <si>
    <t>0=Not Open; 1=Open</t>
  </si>
  <si>
    <t>DI_ZSO_106</t>
  </si>
  <si>
    <t>Pig Reciever Quick Opening Closure - Open Switch Status</t>
  </si>
  <si>
    <t>DI_ZSO_104</t>
  </si>
  <si>
    <t>Harp Separator Condensate Level Valve - Open Switch Status</t>
  </si>
  <si>
    <t>lit_100</t>
  </si>
  <si>
    <t>LIT-100</t>
  </si>
  <si>
    <t>in</t>
  </si>
  <si>
    <t>Slug Catcher Level</t>
  </si>
  <si>
    <t>LIT_100A.IN</t>
  </si>
  <si>
    <t>Slug Catcher Level - Process Value</t>
  </si>
  <si>
    <t>low</t>
  </si>
  <si>
    <t>Low Alarm Setpoint</t>
  </si>
  <si>
    <t>LAL_100_SP</t>
  </si>
  <si>
    <t>Slug Catcher Level - Low Alarm Setpoint</t>
  </si>
  <si>
    <t>Low Alarm Delay</t>
  </si>
  <si>
    <t>LAL_100_TIMER</t>
  </si>
  <si>
    <t>Slug Catcher Level - Low Alarm Delay</t>
  </si>
  <si>
    <t>Low Alarm</t>
  </si>
  <si>
    <t>ALARM[0].13</t>
  </si>
  <si>
    <t>Slug Catcher Level - Low Alarm</t>
  </si>
  <si>
    <t>LAH_100_SP</t>
  </si>
  <si>
    <t>Slug Catcher Level - High Alarm Setpoint</t>
  </si>
  <si>
    <t>LAH_100_TIMER</t>
  </si>
  <si>
    <t>Slug Catcher Level - High Alarm Delay</t>
  </si>
  <si>
    <t>ALARM[0].14</t>
  </si>
  <si>
    <t>Slug Catcher Level - High Alarm</t>
  </si>
  <si>
    <t>lit_104</t>
  </si>
  <si>
    <t>LIT-104</t>
  </si>
  <si>
    <t>Harp Separator Level</t>
  </si>
  <si>
    <t>LIT_104A.IN</t>
  </si>
  <si>
    <t>Harp Separator Level - Process Value</t>
  </si>
  <si>
    <t>LAL_104_SP</t>
  </si>
  <si>
    <t>Harp Separator Level - Low Alarm Setpoint</t>
  </si>
  <si>
    <t>LAL_104_TIMER</t>
  </si>
  <si>
    <t>Harp Separator Level - Low Alarm Delay</t>
  </si>
  <si>
    <t>ALARM[1].1</t>
  </si>
  <si>
    <t>Harp Separator Level - Low Alarm</t>
  </si>
  <si>
    <t>LAH_104_SP</t>
  </si>
  <si>
    <t>Harp Separator Level - High Alarm Setpoint</t>
  </si>
  <si>
    <t>LAH_104_TIMER</t>
  </si>
  <si>
    <t>Harp Separator Level - High Alarm Delay</t>
  </si>
  <si>
    <t>ALARM[1].2</t>
  </si>
  <si>
    <t>Harp Separator Level - High Alarm</t>
  </si>
  <si>
    <t>Alarm</t>
  </si>
  <si>
    <t>ALARM[0].15</t>
  </si>
  <si>
    <t>Slug Catcher Level Switch High High - Alarm</t>
  </si>
  <si>
    <t>state</t>
  </si>
  <si>
    <t>Input</t>
  </si>
  <si>
    <t>0=Ok; 1=High Level</t>
  </si>
  <si>
    <t>DI_LSHH_100</t>
  </si>
  <si>
    <t>Slug Catcher Level Switch High High - Input</t>
  </si>
  <si>
    <t>lshh_104</t>
  </si>
  <si>
    <t>LSHH-104</t>
  </si>
  <si>
    <t>Harp Separator Level Switch High High</t>
  </si>
  <si>
    <t>ALARM[1].3</t>
  </si>
  <si>
    <t>Harp Separator Level Switch High High - Alarm</t>
  </si>
  <si>
    <t>DI_LSHH_104</t>
  </si>
  <si>
    <t>Harp Separator Level Switch High High - Input</t>
  </si>
  <si>
    <t>LSHH_104_TIMER</t>
  </si>
  <si>
    <t>Harp Separator Level Switch High High - Alarm Delay</t>
  </si>
  <si>
    <t>ALARM[1].0</t>
  </si>
  <si>
    <t>Harp Separator Level Switch Low Low - Alarm</t>
  </si>
  <si>
    <t>DI_LSLL_104</t>
  </si>
  <si>
    <t>Harp Separator Level Switch Low Low - Input</t>
  </si>
  <si>
    <t>mov_105</t>
  </si>
  <si>
    <t>fail</t>
  </si>
  <si>
    <t>MOV-105</t>
  </si>
  <si>
    <t>Pig Receiver Motor Operated Valve</t>
  </si>
  <si>
    <t>Fail</t>
  </si>
  <si>
    <t>ALARM[1].5</t>
  </si>
  <si>
    <t>Pig Receiver Motor Operated Valve - Fail</t>
  </si>
  <si>
    <t>DI_ZSO_105</t>
  </si>
  <si>
    <t>Pig Receiver Motor Operated Valve - Open Switch Status</t>
  </si>
  <si>
    <t>closed</t>
  </si>
  <si>
    <t>Closed Switch Status</t>
  </si>
  <si>
    <t>0=Not Closed;1=Closed</t>
  </si>
  <si>
    <t>DI_ZSC_105</t>
  </si>
  <si>
    <t>Pig Receiver Motor Operated Valve - Closed Switch Status</t>
  </si>
  <si>
    <t>pids</t>
  </si>
  <si>
    <t>pic_101</t>
  </si>
  <si>
    <t>pv</t>
  </si>
  <si>
    <t>PIC-101</t>
  </si>
  <si>
    <t>psig</t>
  </si>
  <si>
    <t>Slug Catcher Outlet High Pressure Controller</t>
  </si>
  <si>
    <t>Process Variable</t>
  </si>
  <si>
    <t>PIC_101.PV</t>
  </si>
  <si>
    <t>Slug Catcher Outlet High Pressure Controller - Process Variable</t>
  </si>
  <si>
    <t>cv</t>
  </si>
  <si>
    <t>Control Variable</t>
  </si>
  <si>
    <t>PIC_101.OUT</t>
  </si>
  <si>
    <t>Slug Catcher Outlet High Pressure Controller - Control Variable</t>
  </si>
  <si>
    <t>sp</t>
  </si>
  <si>
    <t>sp_read_path</t>
  </si>
  <si>
    <t>Setpoint</t>
  </si>
  <si>
    <t>PIC_101.SP</t>
  </si>
  <si>
    <t>Slug Catcher Outlet High Pressure Controller - Setpoint</t>
  </si>
  <si>
    <t>PIDWriteFloat1[17]</t>
  </si>
  <si>
    <t>kp</t>
  </si>
  <si>
    <t>Proportional</t>
  </si>
  <si>
    <t>PIC_101.KP</t>
  </si>
  <si>
    <t>#,##0.000</t>
  </si>
  <si>
    <t>Slug Catcher Outlet High Pressure Controller - Proportional</t>
  </si>
  <si>
    <t>ki</t>
  </si>
  <si>
    <t>Integral</t>
  </si>
  <si>
    <t>PIC_101.KI</t>
  </si>
  <si>
    <t>Slug Catcher Outlet High Pressure Controller - Integral</t>
  </si>
  <si>
    <t>kd</t>
  </si>
  <si>
    <t>Derivative</t>
  </si>
  <si>
    <t>PIC_101.KD</t>
  </si>
  <si>
    <t>Slug Catcher Outlet High Pressure Controller - Derivative</t>
  </si>
  <si>
    <t>commands</t>
  </si>
  <si>
    <t>auto</t>
  </si>
  <si>
    <t>core/commands/cmd_readback</t>
  </si>
  <si>
    <t>cmd_write_path</t>
  </si>
  <si>
    <t>Auto/Manual Mode</t>
  </si>
  <si>
    <t>0=Auto; 1=Manual</t>
  </si>
  <si>
    <t>PIC_101_AM</t>
  </si>
  <si>
    <t>Slug Catcher Outlet High Pressure Controller - Auto/Manual Mode</t>
  </si>
  <si>
    <t>manual_mode</t>
  </si>
  <si>
    <t>Manual Mode</t>
  </si>
  <si>
    <t>PIC_101.MO</t>
  </si>
  <si>
    <t>Slug Catcher Outlet High Pressure Controller - Manual Mode</t>
  </si>
  <si>
    <t>Manual Output</t>
  </si>
  <si>
    <t>PIDWriteFloat1[0]</t>
  </si>
  <si>
    <t>Slug Catcher Outlet High Pressure Controller - Manual Output</t>
  </si>
  <si>
    <t>cv_max</t>
  </si>
  <si>
    <t>Maximum CV</t>
  </si>
  <si>
    <t>PIC_101_MAX</t>
  </si>
  <si>
    <t>Slug Catcher Outlet High Pressure Controller - Maximum CV</t>
  </si>
  <si>
    <t>cv_min</t>
  </si>
  <si>
    <t>Minimum CV</t>
  </si>
  <si>
    <t>PIC_101_MIN</t>
  </si>
  <si>
    <t>Slug Catcher Outlet High Pressure Controller - Minimum CV</t>
  </si>
  <si>
    <t>pcv_101</t>
  </si>
  <si>
    <t>PCV-101</t>
  </si>
  <si>
    <t>Slug Catcher Outlet HP Pressure Control Valve</t>
  </si>
  <si>
    <t>DI_ZSO_101</t>
  </si>
  <si>
    <t>Slug Catcher Outlet HP Pressure Control Valve - Open Switch Status</t>
  </si>
  <si>
    <t>PY_101</t>
  </si>
  <si>
    <t>Slug Catcher Outlet HP Pressure Control Valve - Output Command</t>
  </si>
  <si>
    <t>active_pid</t>
  </si>
  <si>
    <t>PID in Control</t>
  </si>
  <si>
    <t>0=PIC-101;1=PIC-100</t>
  </si>
  <si>
    <t>PIC_100_LOW_SELECTED_x000D_</t>
  </si>
  <si>
    <t>Slug Catcher Outlet HP Pressure Control Valve - PID in Control</t>
  </si>
  <si>
    <t>pcv_103</t>
  </si>
  <si>
    <t>PCV-103</t>
  </si>
  <si>
    <t>Slug Catcher Outlet LP Pressure Control Valve</t>
  </si>
  <si>
    <t>PIC_103.PV</t>
  </si>
  <si>
    <t>Slug Catcher Outlet LP Pressure Control Valve - Process Variable</t>
  </si>
  <si>
    <t>PIC_103.OUT</t>
  </si>
  <si>
    <t>Slug Catcher Outlet LP Pressure Control Valve - Control Variable</t>
  </si>
  <si>
    <t>PIC_103.SP</t>
  </si>
  <si>
    <t>Slug Catcher Outlet LP Pressure Control Valve - Setpoint</t>
  </si>
  <si>
    <t>PIDWriteFloat2[17]</t>
  </si>
  <si>
    <t>PIC_103.KP</t>
  </si>
  <si>
    <t>Slug Catcher Outlet LP Pressure Control Valve - Proportional</t>
  </si>
  <si>
    <t>PIC_103.KI</t>
  </si>
  <si>
    <t>Slug Catcher Outlet LP Pressure Control Valve - Integral</t>
  </si>
  <si>
    <t>PIC_103.KD</t>
  </si>
  <si>
    <t>Slug Catcher Outlet LP Pressure Control Valve - Derivative</t>
  </si>
  <si>
    <t>PIC_103_AM</t>
  </si>
  <si>
    <t>Slug Catcher Outlet LP Pressure Control Valve - Auto/Manual Mode</t>
  </si>
  <si>
    <t>PIC_103.MO</t>
  </si>
  <si>
    <t>Slug Catcher Outlet LP Pressure Control Valve - Manual Mode</t>
  </si>
  <si>
    <t>PIDWriteFloat2[0]</t>
  </si>
  <si>
    <t>Slug Catcher Outlet LP Pressure Control Valve - Manual Output</t>
  </si>
  <si>
    <t>PIC_103_MAX</t>
  </si>
  <si>
    <t>Slug Catcher Outlet LP Pressure Control Valve - Maximum CV</t>
  </si>
  <si>
    <t>PIC_103_MIN</t>
  </si>
  <si>
    <t>Slug Catcher Outlet LP Pressure Control Valve - Minimum CV</t>
  </si>
  <si>
    <t>DI_ZSO_103</t>
  </si>
  <si>
    <t>Slug Catcher Outlet LP Pressure Control Valve - Open Switch Status</t>
  </si>
  <si>
    <t>pic_100</t>
  </si>
  <si>
    <t>PIC-100</t>
  </si>
  <si>
    <t>Slug Catcher Inlet Pressure Controller</t>
  </si>
  <si>
    <t>PIC_100.PV</t>
  </si>
  <si>
    <t>Slug Catcher Inlet Pressure Controller - Process Variable</t>
  </si>
  <si>
    <t>PIC_100.OUT</t>
  </si>
  <si>
    <t>Slug Catcher Inlet Pressure Controller - Control Variable</t>
  </si>
  <si>
    <t>PIC_100.SP</t>
  </si>
  <si>
    <t>Slug Catcher Inlet Pressure Controller - Setpoint</t>
  </si>
  <si>
    <t>PIDWriteFloat3[17]</t>
  </si>
  <si>
    <t>PIC_100.KP</t>
  </si>
  <si>
    <t>Slug Catcher Inlet Pressure Controller - Proportional</t>
  </si>
  <si>
    <t>PIC_100.KI</t>
  </si>
  <si>
    <t>Slug Catcher Inlet Pressure Controller - Integral</t>
  </si>
  <si>
    <t>PIC_100.KD</t>
  </si>
  <si>
    <t>Slug Catcher Inlet Pressure Controller - Derivative</t>
  </si>
  <si>
    <t>PIC_100_AM</t>
  </si>
  <si>
    <t>Slug Catcher Inlet Pressure Controller - Auto/Manual Mode</t>
  </si>
  <si>
    <t>PIC_100.MO</t>
  </si>
  <si>
    <t>Slug Catcher Inlet Pressure Controller - Manual Mode</t>
  </si>
  <si>
    <t>PIDWriteFloat3[0]</t>
  </si>
  <si>
    <t>Slug Catcher Inlet Pressure Controller - Manual Output</t>
  </si>
  <si>
    <t>PIC_100_MAX</t>
  </si>
  <si>
    <t>Slug Catcher Inlet Pressure Controller - Maximum CV</t>
  </si>
  <si>
    <t>PIC_100_MIN</t>
  </si>
  <si>
    <t>Slug Catcher Inlet Pressure Controller - Minimum CV</t>
  </si>
  <si>
    <t>pit_100</t>
  </si>
  <si>
    <t>PIT-100</t>
  </si>
  <si>
    <t>Slug Catcher Inlet Pressure</t>
  </si>
  <si>
    <t>PIT_100A.IN</t>
  </si>
  <si>
    <t>Slug Catcher Inlet Pressure - Process Value</t>
  </si>
  <si>
    <t>PAH_100_SP</t>
  </si>
  <si>
    <t>Slug Catcher Inlet Pressure - High Alarm Setpoint</t>
  </si>
  <si>
    <t>PAH_100_TIMER</t>
  </si>
  <si>
    <t>Slug Catcher Inlet Pressure - High Alarm Delay</t>
  </si>
  <si>
    <t>ALARM[0].0</t>
  </si>
  <si>
    <t>Slug Catcher Inlet Pressure - High Alarm</t>
  </si>
  <si>
    <t>High High Alarm Setpoint</t>
  </si>
  <si>
    <t>PAHH_100_SP</t>
  </si>
  <si>
    <t>Slug Catcher Inlet Pressure - High High Alarm Setpoint</t>
  </si>
  <si>
    <t>High High Alarm Delay</t>
  </si>
  <si>
    <t>PAHH_100_TIMER</t>
  </si>
  <si>
    <t>Slug Catcher Inlet Pressure - High High Alarm Delay</t>
  </si>
  <si>
    <t>High High Alarm</t>
  </si>
  <si>
    <t>ALARM[0].1</t>
  </si>
  <si>
    <t>Slug Catcher Inlet Pressure - High High Alarm</t>
  </si>
  <si>
    <t>pit_101</t>
  </si>
  <si>
    <t>PIT-101</t>
  </si>
  <si>
    <t>Slug Catcher Outlet to STV HP Downstream Pressure</t>
  </si>
  <si>
    <t>PIT_101A.IN</t>
  </si>
  <si>
    <t>Slug Catcher Outlet to STV HP Downstream Pressure - Process Value</t>
  </si>
  <si>
    <t>PAH_101_SP</t>
  </si>
  <si>
    <t>Slug Catcher Outlet to STV HP Downstream Pressure - High Alarm Setpoint</t>
  </si>
  <si>
    <t>PAH_101_TIMER</t>
  </si>
  <si>
    <t>Slug Catcher Outlet to STV HP Downstream Pressure - High Alarm Delay</t>
  </si>
  <si>
    <t>ALARM[0].11</t>
  </si>
  <si>
    <t>Slug Catcher Outlet to STV HP Downstream Pressure - High Alarm</t>
  </si>
  <si>
    <t>pit_103</t>
  </si>
  <si>
    <t>PIT-103</t>
  </si>
  <si>
    <t>Slug Catcher Outlet to STV LP Downstream Pressure</t>
  </si>
  <si>
    <t>PIT_103A.IN</t>
  </si>
  <si>
    <t>Slug Catcher Outlet to STV LP Downstream Pressure - Process Value</t>
  </si>
  <si>
    <t>PAH_103_SP</t>
  </si>
  <si>
    <t>Slug Catcher Outlet to STV LP Downstream Pressure - High Alarm Setpoint</t>
  </si>
  <si>
    <t>PAH_103_TIMER</t>
  </si>
  <si>
    <t>Slug Catcher Outlet to STV LP Downstream Pressure - High Alarm Delay</t>
  </si>
  <si>
    <t>ALARM[0].3</t>
  </si>
  <si>
    <t>Slug Catcher Outlet to STV LP Downstream Pressure - High Alarm</t>
  </si>
  <si>
    <t>pit_104</t>
  </si>
  <si>
    <t>PIT-104</t>
  </si>
  <si>
    <t>HARP Separator Liquid Outlet Pressure</t>
  </si>
  <si>
    <t>PIT_104A.IN</t>
  </si>
  <si>
    <t>HARP Separator Liquid Outlet Pressure - Process Value</t>
  </si>
  <si>
    <t>PAH_104_SP</t>
  </si>
  <si>
    <t>HARP Separator Liquid Outlet Pressure - High Alarm Setpoint</t>
  </si>
  <si>
    <t>PAH_104_TIMER</t>
  </si>
  <si>
    <t>HARP Separator Liquid Outlet Pressure - High Alarm Delay</t>
  </si>
  <si>
    <t>ALARM[0].9</t>
  </si>
  <si>
    <t>HARP Separator Liquid Outlet Pressure - High Alarm</t>
  </si>
  <si>
    <t>PAHH_104_SP</t>
  </si>
  <si>
    <t>HARP Separator Liquid Outlet Pressure - High High Alarm Setpoint</t>
  </si>
  <si>
    <t>PAHH_104_TIMER</t>
  </si>
  <si>
    <t>HARP Separator Liquid Outlet Pressure - High High Alarm Delay</t>
  </si>
  <si>
    <t>ALARM[0].10</t>
  </si>
  <si>
    <t>HARP Separator Liquid Outlet Pressure - High High Alarm</t>
  </si>
  <si>
    <t>pit_105</t>
  </si>
  <si>
    <t>PIT-105</t>
  </si>
  <si>
    <t>Pig Receiver Pressure</t>
  </si>
  <si>
    <t>PIT_105A.IN</t>
  </si>
  <si>
    <t>Pig Receiver Pressure - Process Value</t>
  </si>
  <si>
    <t>PAH_105_SP</t>
  </si>
  <si>
    <t>Pig Receiver Pressure - High Alarm Setpoint</t>
  </si>
  <si>
    <t>PAH_105_TIMER</t>
  </si>
  <si>
    <t>Pig Receiver Pressure - High Alarm Delay</t>
  </si>
  <si>
    <t>ALARM[0].5</t>
  </si>
  <si>
    <t>Pig Receiver Pressure - High Alarm</t>
  </si>
  <si>
    <t>pit_106</t>
  </si>
  <si>
    <t>PIT-106</t>
  </si>
  <si>
    <t>PIT_106A.IN</t>
  </si>
  <si>
    <t>Low Low Alarm Setpoint</t>
  </si>
  <si>
    <t>PALL_106_SP</t>
  </si>
  <si>
    <t>HARP Separator Liquid Outlet Pressure - Low Low Alarm Setpoint</t>
  </si>
  <si>
    <t>Low Low Alarm Delay</t>
  </si>
  <si>
    <t>PALL_106_TIMER</t>
  </si>
  <si>
    <t>HARP Separator Liquid Outlet Pressure - Low Low Alarm Delay</t>
  </si>
  <si>
    <t>Low Low Alarm</t>
  </si>
  <si>
    <t>ALARM[0].7</t>
  </si>
  <si>
    <t>HARP Separator Liquid Outlet Pressure - Low Low Alarm</t>
  </si>
  <si>
    <t>PAL_106_SP</t>
  </si>
  <si>
    <t>HARP Separator Liquid Outlet Pressure - Low Alarm Setpoint</t>
  </si>
  <si>
    <t>PAL_106_TIMER</t>
  </si>
  <si>
    <t>HARP Separator Liquid Outlet Pressure - Low Alarm Delay</t>
  </si>
  <si>
    <t>ALARM[0].8</t>
  </si>
  <si>
    <t>HARP Separator Liquid Outlet Pressure - Low Alarm</t>
  </si>
  <si>
    <t>pit_107</t>
  </si>
  <si>
    <t>PIT-107</t>
  </si>
  <si>
    <t>Site Instrument Air Pressure</t>
  </si>
  <si>
    <t>PIT_107A.IN</t>
  </si>
  <si>
    <t>Site Instrument Air Pressure - Process Value</t>
  </si>
  <si>
    <t>PAL_107_SP</t>
  </si>
  <si>
    <t>Site Instrument Air Pressure - Low Alarm Setpoint</t>
  </si>
  <si>
    <t>PAL_107_TIMER</t>
  </si>
  <si>
    <t>Site Instrument Air Pressure - Low Alarm Delay</t>
  </si>
  <si>
    <t>ALARM[0].6</t>
  </si>
  <si>
    <t>Site Instrument Air Pressure - Low Alarm</t>
  </si>
  <si>
    <t>beacon</t>
  </si>
  <si>
    <t>PLC-36RPIGRCVR</t>
  </si>
  <si>
    <t>Pig Receiver PLC</t>
  </si>
  <si>
    <t>Beacon Status</t>
  </si>
  <si>
    <t>1=Off; 0=On</t>
  </si>
  <si>
    <t>DO_CR3_ALM</t>
  </si>
  <si>
    <t>Pig Receiver PLC - Beacon Status</t>
  </si>
  <si>
    <t>site_esd</t>
  </si>
  <si>
    <t xml:space="preserve">Emergency Shutdown Relay Trip Shutdown </t>
  </si>
  <si>
    <t>ALARM[1].8</t>
  </si>
  <si>
    <t xml:space="preserve">Pig Receiver PLC - Emergency Shutdown Relay Trip Shutdown </t>
  </si>
  <si>
    <t>e_stop</t>
  </si>
  <si>
    <t>Emergency Stop Pushbutton</t>
  </si>
  <si>
    <t>ALARM[1].10</t>
  </si>
  <si>
    <t>Pig Receiver PLC - Emergency Stop Pushbutton</t>
  </si>
  <si>
    <t>Site ESD Status</t>
  </si>
  <si>
    <t>1=Ok;0=ESD</t>
  </si>
  <si>
    <t>DI_XS_ESD</t>
  </si>
  <si>
    <t>Pig Receiver PLC - Site ESD Status</t>
  </si>
  <si>
    <t>Emergency Stop Status</t>
  </si>
  <si>
    <t>1=Ok;0=Alarm</t>
  </si>
  <si>
    <t>DI_LOCAL_SD</t>
  </si>
  <si>
    <t>Pig Receiver PLC - Emergency Stop Status</t>
  </si>
  <si>
    <t>tit_101</t>
  </si>
  <si>
    <t>TIT-101</t>
  </si>
  <si>
    <t>ºF</t>
  </si>
  <si>
    <t>Slug Catcher Gas Outlet Temperature</t>
  </si>
  <si>
    <t>TT_101A.in</t>
  </si>
  <si>
    <t>Slug Catcher Gas Outlet Temperature - Process Value</t>
  </si>
  <si>
    <t>xv_100</t>
  </si>
  <si>
    <t>XV-100</t>
  </si>
  <si>
    <t>Slug Catcher Inlet Gas ESD Valve</t>
  </si>
  <si>
    <t>DI_ZSO_100</t>
  </si>
  <si>
    <t>Slug Catcher Inlet Gas ESD Valve - Open Switch Status</t>
  </si>
  <si>
    <t>DI_ZSC_100</t>
  </si>
  <si>
    <t>Slug Catcher Inlet Gas ESD Valve - Closed Switch Status</t>
  </si>
  <si>
    <t>alarm_reset</t>
  </si>
  <si>
    <t>Alarm Reset</t>
  </si>
  <si>
    <t>1=Reset</t>
  </si>
  <si>
    <t>RESET_LOI_x000D_</t>
  </si>
  <si>
    <t>Pig Receiver PLC - Alarm Reset</t>
  </si>
  <si>
    <t>PV Minimum Scaled Value</t>
  </si>
  <si>
    <t>Local:4:C.Ch0Config.LowEngineering</t>
  </si>
  <si>
    <t>Slug Catcher Outlet Hydrogen Sulfide Concentration - PV Minimum Scaled Value</t>
  </si>
  <si>
    <t>PV Maximum Scaled Value</t>
  </si>
  <si>
    <t>Local:4:C.Ch0Config.HighEngineering</t>
  </si>
  <si>
    <t>Slug Catcher Outlet Hydrogen Sulfide Concentration - PV Maximum Scaled Value</t>
  </si>
  <si>
    <t>Local:4:C.Ch1Config.LowEngineering</t>
  </si>
  <si>
    <t>Slug Catcher Outlet Carbon Dioxide Concentration - PV Minimum Scaled Value</t>
  </si>
  <si>
    <t>Local:4:C.Ch1Config.HighEngineering</t>
  </si>
  <si>
    <t>Slug Catcher Outlet Carbon Dioxide Concentration - PV Maximum Scaled Value</t>
  </si>
  <si>
    <t>Local:4:C.Ch2Config.LowEngineering</t>
  </si>
  <si>
    <t>Slug Catcher Outlet HP Oxygen Concentration - PV Minimum Scaled Value</t>
  </si>
  <si>
    <t>Local:4:C.Ch2Config.HighEngineering</t>
  </si>
  <si>
    <t>Slug Catcher Outlet HP Oxygen Concentration - PV Maximum Scaled Value</t>
  </si>
  <si>
    <t>Local:3:C.Ch0Config.LowEngineering</t>
  </si>
  <si>
    <t>Harp Separator Outlet Condensate Flow - PV Minimum Scaled Value</t>
  </si>
  <si>
    <t>Local:3:C.Ch0Config.HighEngineering</t>
  </si>
  <si>
    <t>Harp Separator Outlet Condensate Flow - PV Maximum Scaled Value</t>
  </si>
  <si>
    <t>Local:3:C.Ch6Config.LowEngineering</t>
  </si>
  <si>
    <t>Slug Catcher Level - PV Minimum Scaled Value</t>
  </si>
  <si>
    <t>Local:3:C.Ch6Config.HighEngineering</t>
  </si>
  <si>
    <t>Slug Catcher Level - PV Maximum Scaled Value</t>
  </si>
  <si>
    <t>Local:3:C.Ch9Config.LowEngineering</t>
  </si>
  <si>
    <t>Harp Separator Level - PV Minimum Scaled Value</t>
  </si>
  <si>
    <t>Local:3:C.Ch9Config.HighEngineering</t>
  </si>
  <si>
    <t>Harp Separator Level - PV Maximum Scaled Value</t>
  </si>
  <si>
    <t>Local:3:C.Ch7Config.LowEngineering</t>
  </si>
  <si>
    <t>Slug Catcher Inlet Pressure - PV Minimum Scaled Value</t>
  </si>
  <si>
    <t>Local:3:C.Ch7Config.HighEngineering</t>
  </si>
  <si>
    <t>Slug Catcher Inlet Pressure - PV Maximum Scaled Value</t>
  </si>
  <si>
    <t>Local:3:C.Ch2Config.LowEngineering</t>
  </si>
  <si>
    <t>Slug Catcher Outlet to STV HP Downstream Pressure - PV Minimum Scaled Value</t>
  </si>
  <si>
    <t>Local:3:C.Ch2Config.HighEngineering</t>
  </si>
  <si>
    <t>Slug Catcher Outlet to STV HP Downstream Pressure - PV Maximum Scaled Value</t>
  </si>
  <si>
    <t>Local:3:C.Ch1Config.LowEngineering</t>
  </si>
  <si>
    <t>Slug Catcher Outlet to STV LP Downstream Pressure - PV Minimum Scaled Value</t>
  </si>
  <si>
    <t>Local:3:C.Ch1Config.HighEngineering</t>
  </si>
  <si>
    <t>Slug Catcher Outlet to STV LP Downstream Pressure - PV Maximum Scaled Value</t>
  </si>
  <si>
    <t>Local:3:C.Ch4Config.LowEngineering</t>
  </si>
  <si>
    <t>HARP Separator Liquid Outlet Pressure - PV Minimum Scaled Value</t>
  </si>
  <si>
    <t>Local:3:C.Ch4Config.HighEngineering</t>
  </si>
  <si>
    <t>HARP Separator Liquid Outlet Pressure - PV Maximum Scaled Value</t>
  </si>
  <si>
    <t>Local:3:C.Ch3Config.LowEngineering</t>
  </si>
  <si>
    <t>Pig Receiver Pressure - PV Minimum Scaled Value</t>
  </si>
  <si>
    <t>Local:3:C.Ch3Config.HighEngineering</t>
  </si>
  <si>
    <t>Pig Receiver Pressure - PV Maximum Scaled Value</t>
  </si>
  <si>
    <t>Local:3:C.Ch10Config.LowEngineering</t>
  </si>
  <si>
    <t>Local:3:C.Ch10Config.HighEngineering</t>
  </si>
  <si>
    <t>Local:3:C.Ch11Config.LowEngineering</t>
  </si>
  <si>
    <t>Site Instrument Air Pressure - PV Minimum Scaled Value</t>
  </si>
  <si>
    <t>Local:3:C.Ch11Config.HighEngineering</t>
  </si>
  <si>
    <t>Site Instrument Air Pressure - PV Maximum Scaled Value</t>
  </si>
  <si>
    <t>Local:3:C.Ch5Config.LowEngineering</t>
  </si>
  <si>
    <t>Slug Catcher Gas Outlet Temperature - PV Minimum Scaled Value</t>
  </si>
  <si>
    <t>Local:3:C.Ch5Config.HighEngineering</t>
  </si>
  <si>
    <t>Slug Catcher Gas Outlet Temperature - PV Maximum Scaled Value</t>
  </si>
  <si>
    <t>12g</t>
  </si>
  <si>
    <t>k122</t>
  </si>
  <si>
    <t>lube_pump_permissive</t>
  </si>
  <si>
    <t>K-122</t>
  </si>
  <si>
    <t>ESOZ LLP to LP Screw Compressor</t>
  </si>
  <si>
    <t>Lube Oil Pump Running Permissive Status</t>
  </si>
  <si>
    <t>0=Permissive Ok;1=Permissive Lost</t>
  </si>
  <si>
    <t>AlarmDD.ALM[0].10</t>
  </si>
  <si>
    <t>CS_12G_K122</t>
  </si>
  <si>
    <t>CS 12G</t>
  </si>
  <si>
    <t>Lube Pump Permissive</t>
  </si>
  <si>
    <t>ESOZ LLP to LP Screw Compressor - Lube Oil Pump Running Permissive Status</t>
  </si>
  <si>
    <t>SD</t>
  </si>
  <si>
    <t>coolers_permissive</t>
  </si>
  <si>
    <t>Coolers Running Permissive Status</t>
  </si>
  <si>
    <t>AlarmDD.ALM[0].1</t>
  </si>
  <si>
    <t>Coolers Run Perm.</t>
  </si>
  <si>
    <t>ESOZ LLP to LP Screw Compressor - Coolers Running Permissive Status</t>
  </si>
  <si>
    <t>dp_max</t>
  </si>
  <si>
    <t>Differential Pressure Across Compressor Too High To Start</t>
  </si>
  <si>
    <t>AlarmDD.ALM[0].3</t>
  </si>
  <si>
    <t>dP Too High to Start</t>
  </si>
  <si>
    <t>ESOZ LLP to LP Screw Compressor - Differential Pressure Across Compressor Too High To Start</t>
  </si>
  <si>
    <t>start_fail_aux</t>
  </si>
  <si>
    <t>Start Fail (Run Status)</t>
  </si>
  <si>
    <t>AlarmDD.ALM[0].0</t>
  </si>
  <si>
    <t>Start Fail (Aux)</t>
  </si>
  <si>
    <t>ESOZ LLP to LP Screw Compressor - Start Fail (Run Status)</t>
  </si>
  <si>
    <t>start_fail_amps</t>
  </si>
  <si>
    <t>Start Fail (Motor Current)</t>
  </si>
  <si>
    <t>AlarmDD.ALM[0].25</t>
  </si>
  <si>
    <t>Start Fail (Amps)</t>
  </si>
  <si>
    <t>ESOZ LLP to LP Screw Compressor - Start Fail (Motor Current)</t>
  </si>
  <si>
    <t>run_fail</t>
  </si>
  <si>
    <t>Run Fail</t>
  </si>
  <si>
    <t>AlarmDD.ALM[0].24</t>
  </si>
  <si>
    <t>ESOZ LLP to LP Screw Compressor - Run Fail</t>
  </si>
  <si>
    <t>stop_fail_aux</t>
  </si>
  <si>
    <t>Stop Fail (Run Status)</t>
  </si>
  <si>
    <t>AlarmDD.ALM[0].13</t>
  </si>
  <si>
    <t>Stop Fail (Aux)</t>
  </si>
  <si>
    <t>ESOZ LLP to LP Screw Compressor - Stop Fail (Run Status)</t>
  </si>
  <si>
    <t>stop_fail_amps</t>
  </si>
  <si>
    <t>Stop Fail (Motor Current)</t>
  </si>
  <si>
    <t>AlarmDD.ALM[0].14</t>
  </si>
  <si>
    <t>Stop Fail (Amps)</t>
  </si>
  <si>
    <t>ESOZ LLP to LP Screw Compressor - Stop Fail (Motor Current)</t>
  </si>
  <si>
    <t>false_start_aux</t>
  </si>
  <si>
    <t>False Start (Run Status)</t>
  </si>
  <si>
    <t>AlarmDD.ALM[0].26</t>
  </si>
  <si>
    <t>False Start (Aux)</t>
  </si>
  <si>
    <t>ESOZ LLP to LP Screw Compressor - False Start (Run Status)</t>
  </si>
  <si>
    <t>false_start_amps</t>
  </si>
  <si>
    <t>False Start (Motor Current)</t>
  </si>
  <si>
    <t>AlarmDD.ALM[0].27</t>
  </si>
  <si>
    <t>False Start (Amps)</t>
  </si>
  <si>
    <t>ESOZ LLP to LP Screw Compressor - False Start (Motor Current)</t>
  </si>
  <si>
    <t>mpr_trip</t>
  </si>
  <si>
    <t>Motor Protection Relay Trip</t>
  </si>
  <si>
    <t>AlarmDD.ALM[0].28</t>
  </si>
  <si>
    <t>MPR Trip</t>
  </si>
  <si>
    <t>ESOZ LLP to LP Screw Compressor - Motor Protection Relay Trip</t>
  </si>
  <si>
    <t>oil_log</t>
  </si>
  <si>
    <t>Oil Log Shutdown</t>
  </si>
  <si>
    <t>AlarmDD.ALM[0].5</t>
  </si>
  <si>
    <t>Oil Log</t>
  </si>
  <si>
    <t>ESOZ LLP to LP Screw Compressor - Oil Log Shutdown</t>
  </si>
  <si>
    <t>it_111m</t>
  </si>
  <si>
    <t>IT-111M</t>
  </si>
  <si>
    <t>Compressor Motor Current</t>
  </si>
  <si>
    <t>AlarmHH.ALM[0].22</t>
  </si>
  <si>
    <t>Motor Current HH</t>
  </si>
  <si>
    <t>Compressor Motor Current - High High Alarm</t>
  </si>
  <si>
    <t>AlarmLL.ALM[0].22</t>
  </si>
  <si>
    <t>Motor Current LL</t>
  </si>
  <si>
    <t>Compressor Motor Current - Low Low Alarm</t>
  </si>
  <si>
    <t>lshh_101a</t>
  </si>
  <si>
    <t>LSHH-101A</t>
  </si>
  <si>
    <t>Suction Coalescer Inlet Section Sump Level Switch High High</t>
  </si>
  <si>
    <t>AlarmDD.ALM[0].29</t>
  </si>
  <si>
    <t>Suction Coalescer Inlet Section Sump Level Switch High High - Alarm</t>
  </si>
  <si>
    <t>lshh_101b</t>
  </si>
  <si>
    <t>LSHH-101B</t>
  </si>
  <si>
    <t>Suction Coalescer Outlet Section Sump Level Switch High High</t>
  </si>
  <si>
    <t>AlarmDD.ALM[0].30</t>
  </si>
  <si>
    <t>Suction Coalescer Outlet Section Sump Level Switch High High - Alarm</t>
  </si>
  <si>
    <t>lshh_102a</t>
  </si>
  <si>
    <t>LSHH-102A</t>
  </si>
  <si>
    <t>Suction Coalescer Inlet Section Blowcase Level Switch High</t>
  </si>
  <si>
    <t>AlarmDD.ALM[0].31</t>
  </si>
  <si>
    <t>Suction Coalescer Inlet Section Blowcase Level Switch High - Alarm</t>
  </si>
  <si>
    <t>lshh_102b</t>
  </si>
  <si>
    <t>LSHH-102B</t>
  </si>
  <si>
    <t>Suction Coalescer Outlet Section Blowcase Level Switch High</t>
  </si>
  <si>
    <t>AlarmDD.ALM[1].0</t>
  </si>
  <si>
    <t>Suction Coalescer Outlet Section Blowcase Level Switch High - Alarm</t>
  </si>
  <si>
    <t>lshh_200</t>
  </si>
  <si>
    <t>LSHH-200</t>
  </si>
  <si>
    <t>AlarmHH.ALM[1].2</t>
  </si>
  <si>
    <t>lsll_114</t>
  </si>
  <si>
    <t>LSLL-114</t>
  </si>
  <si>
    <t>Oil/Gas Separator Level Switch Low Low</t>
  </si>
  <si>
    <t>AlarmDD.ALM[0].20</t>
  </si>
  <si>
    <t>Oil/Gas Separator Level Switch Low Low - Alarm</t>
  </si>
  <si>
    <t>dpi_oil</t>
  </si>
  <si>
    <t>DPI-OIL</t>
  </si>
  <si>
    <t>Oil Circuit Pressure Drop (Calculated)</t>
  </si>
  <si>
    <t>AlarmDD.ALM[0].6</t>
  </si>
  <si>
    <t>DPAHH-OIL</t>
  </si>
  <si>
    <t>Oil Circuit Pressure Drop (Calculated) - High High Alarm</t>
  </si>
  <si>
    <t>pdi_120</t>
  </si>
  <si>
    <t>PDI-120</t>
  </si>
  <si>
    <t>Lube Oil Filter Differential Pressure (Calculated)</t>
  </si>
  <si>
    <t>AlarmDD.ALM[0].7</t>
  </si>
  <si>
    <t>PDAHH-120</t>
  </si>
  <si>
    <t>Lube Oil Filter Differential Pressure (Calculated) - High High Alarm</t>
  </si>
  <si>
    <t>pdt_115</t>
  </si>
  <si>
    <t>PDT-115</t>
  </si>
  <si>
    <t>Oil/Gas Separator Coalescer Differential Pressure</t>
  </si>
  <si>
    <t>AlarmHH.ALM[0].8</t>
  </si>
  <si>
    <t>PDAHH-115</t>
  </si>
  <si>
    <t>Oil/Gas Separator Coalescer Differential Pressure - High High Alarm</t>
  </si>
  <si>
    <t>Suction Coalescing Filter Inlet Pressure</t>
  </si>
  <si>
    <t>AlarmHH.ALM[0].9</t>
  </si>
  <si>
    <t>PAHH-100</t>
  </si>
  <si>
    <t>Suction Coalescing Filter Inlet Pressure - High High Alarm</t>
  </si>
  <si>
    <t>AlarmLL.ALM[0].9</t>
  </si>
  <si>
    <t>PALL-100</t>
  </si>
  <si>
    <t>Suction Coalescing Filter Inlet Pressure - Low Low Alarm</t>
  </si>
  <si>
    <t>Compressor Suction Pressure</t>
  </si>
  <si>
    <t>AlarmHH.ALM[0].0</t>
  </si>
  <si>
    <t>PAHH-107</t>
  </si>
  <si>
    <t>Compressor Suction Pressure - High High Alarm</t>
  </si>
  <si>
    <t>AlarmLL.ALM[0].0</t>
  </si>
  <si>
    <t>PALL-107</t>
  </si>
  <si>
    <t>Compressor Suction Pressure - Low Low Alarm</t>
  </si>
  <si>
    <t>pit_112</t>
  </si>
  <si>
    <t>PIT-112</t>
  </si>
  <si>
    <t>Compressor Discharge Pressure</t>
  </si>
  <si>
    <t>AlarmHH.ALM[0].1</t>
  </si>
  <si>
    <t>PAHH-112</t>
  </si>
  <si>
    <t>Compressor Discharge Pressure - High High Alarm</t>
  </si>
  <si>
    <t>AlarmLL.ALM[0].1</t>
  </si>
  <si>
    <t>PALL-112</t>
  </si>
  <si>
    <t>Compressor Discharge Pressure - Low Low Alarm</t>
  </si>
  <si>
    <t>pit_123</t>
  </si>
  <si>
    <t>PIT-123</t>
  </si>
  <si>
    <t>Lube Oil Supply Pressure</t>
  </si>
  <si>
    <t>AlarmDD.ALM[0].9</t>
  </si>
  <si>
    <t>PALL-123</t>
  </si>
  <si>
    <t>Lube Oil Supply Pressure - Low Low Alarm</t>
  </si>
  <si>
    <t>low_low_1</t>
  </si>
  <si>
    <t>Low Low Alarm 1</t>
  </si>
  <si>
    <t>AlarmDD.ALM[0].19</t>
  </si>
  <si>
    <t>PALL-123-1</t>
  </si>
  <si>
    <t>Lube Oil Supply Pressure - Low Low Alarm 1</t>
  </si>
  <si>
    <t>low_low_2</t>
  </si>
  <si>
    <t>Low Low Alarm 2</t>
  </si>
  <si>
    <t>AlarmDD.ALM[0].8</t>
  </si>
  <si>
    <t>PALL-123-2</t>
  </si>
  <si>
    <t>Lube Oil Supply Pressure - Low Low Alarm 2</t>
  </si>
  <si>
    <t>te_108</t>
  </si>
  <si>
    <t>TE-108</t>
  </si>
  <si>
    <t>Compressor Suction Temperature</t>
  </si>
  <si>
    <t>AlarmHH.ALM[0].10</t>
  </si>
  <si>
    <t>TAHH-108</t>
  </si>
  <si>
    <t>Compressor Suction Temperature - High High Alarm</t>
  </si>
  <si>
    <t>AlarmLL.ALM[0].10</t>
  </si>
  <si>
    <t>TALL-108</t>
  </si>
  <si>
    <t>Compressor Suction Temperature - Low Low Alarm</t>
  </si>
  <si>
    <t>te_111a</t>
  </si>
  <si>
    <t>TE-111A</t>
  </si>
  <si>
    <t>Motor Winding 1 Temperature</t>
  </si>
  <si>
    <t>AlarmHH.ALM[1].18</t>
  </si>
  <si>
    <t>TAHH-111A</t>
  </si>
  <si>
    <t>Motor Winding 1 Temperature - High High Alarm</t>
  </si>
  <si>
    <t>AlarmH.ALM[1].18</t>
  </si>
  <si>
    <t>Motor Winding 1 Temperature - High Alarm</t>
  </si>
  <si>
    <t>AlarmH_TMR[50]</t>
  </si>
  <si>
    <t>Motor Winding 1 Temperature - High Alarm Delay</t>
  </si>
  <si>
    <t>core/setpoints/sp</t>
  </si>
  <si>
    <t>°C</t>
  </si>
  <si>
    <t>AlarmH_SP[50]</t>
  </si>
  <si>
    <t>Motor Winding 1 Temperature - High Alarm Setpoint</t>
  </si>
  <si>
    <t>AlarmHH_TMR[50]</t>
  </si>
  <si>
    <t>Motor Winding 1 Temperature - High High Alarm Delay</t>
  </si>
  <si>
    <t>AlarmHH_SP[50]</t>
  </si>
  <si>
    <t>Motor Winding 1 Temperature - High High Alarm Setpoint</t>
  </si>
  <si>
    <t>Multilin_RTD[0]</t>
  </si>
  <si>
    <t>Motor Winding 1 Temperature - Process Value</t>
  </si>
  <si>
    <t>te_111b</t>
  </si>
  <si>
    <t>TE-111B</t>
  </si>
  <si>
    <t>Motor Winding 2 Temperature</t>
  </si>
  <si>
    <t>AlarmHH.ALM[1].19</t>
  </si>
  <si>
    <t>TAHH-111B</t>
  </si>
  <si>
    <t>Motor Winding 2 Temperature - High High Alarm</t>
  </si>
  <si>
    <t>AlarmH.ALM[1].19</t>
  </si>
  <si>
    <t>Motor Winding 2 Temperature - High Alarm</t>
  </si>
  <si>
    <t>te_113</t>
  </si>
  <si>
    <t>TE-113</t>
  </si>
  <si>
    <t>Compressor Discharge Temperature</t>
  </si>
  <si>
    <t>AlarmHH.ALM[0].11</t>
  </si>
  <si>
    <t>TAHH-113</t>
  </si>
  <si>
    <t>Compressor Discharge Temperature - High High Alarm</t>
  </si>
  <si>
    <t>AlarmLL.ALM[0].11</t>
  </si>
  <si>
    <t>TALL-113</t>
  </si>
  <si>
    <t>Compressor Discharge Temperature - Low Low Alarm</t>
  </si>
  <si>
    <t>te_116</t>
  </si>
  <si>
    <t>TE-116</t>
  </si>
  <si>
    <t>Oil/Gas Separator Oil Temperature</t>
  </si>
  <si>
    <t>AlarmHH.ALM[0].13</t>
  </si>
  <si>
    <t>TAHH-116</t>
  </si>
  <si>
    <t>Oil/Gas Separator Oil Temperature - High High Alarm</t>
  </si>
  <si>
    <t>AlarmLL.ALM[0].13</t>
  </si>
  <si>
    <t>TALL-116</t>
  </si>
  <si>
    <t>Oil/Gas Separator Oil Temperature - Low Low Alarm</t>
  </si>
  <si>
    <t>te_121</t>
  </si>
  <si>
    <t>TE-121</t>
  </si>
  <si>
    <t>Lube Oil Injection Temperature</t>
  </si>
  <si>
    <t>AlarmHH.ALM[0].12</t>
  </si>
  <si>
    <t>TAHH-121</t>
  </si>
  <si>
    <t>Lube Oil Injection Temperature - High High Alarm</t>
  </si>
  <si>
    <t>AlarmLL.ALM[0].12</t>
  </si>
  <si>
    <t>TALL-121</t>
  </si>
  <si>
    <t>Lube Oil Injection Temperature - Low Low Alarm</t>
  </si>
  <si>
    <t>vit_111a</t>
  </si>
  <si>
    <t>VIT-111A</t>
  </si>
  <si>
    <t>Compressor Inboard Bearing Vibration</t>
  </si>
  <si>
    <t>AlarmHH.ALM[0].23</t>
  </si>
  <si>
    <t>VAHH-111A</t>
  </si>
  <si>
    <t>Compressor Inboard Bearing Vibration - High High Alarm</t>
  </si>
  <si>
    <t>vit_111b</t>
  </si>
  <si>
    <t>VIT-111B</t>
  </si>
  <si>
    <t>Compressor Outboard Bearing Vibration</t>
  </si>
  <si>
    <t>AlarmHH.ALM[0].24</t>
  </si>
  <si>
    <t>VAHH-111B</t>
  </si>
  <si>
    <t>Compressor Outboard Bearing Vibration - High High Alarm</t>
  </si>
  <si>
    <t>vsh_119</t>
  </si>
  <si>
    <t>VSH-119</t>
  </si>
  <si>
    <t>Cooler Fan North Vibration Switch High</t>
  </si>
  <si>
    <t>AlarmDD.ALM[1].3</t>
  </si>
  <si>
    <t>Cooler Fan North Vibration Switch High - Alarm</t>
  </si>
  <si>
    <t>vsh_130</t>
  </si>
  <si>
    <t>VSH-130</t>
  </si>
  <si>
    <t>Cooler Fan South Vibration Switch High</t>
  </si>
  <si>
    <t>AlarmDD.ALM[1].2</t>
  </si>
  <si>
    <t>Cooler Fan South Vibration Switch High - Alarm</t>
  </si>
  <si>
    <t>AlarmDD.ALM[0].4</t>
  </si>
  <si>
    <t>E-Stop</t>
  </si>
  <si>
    <t>ESOZ LLP to LP Screw Compressor - Emergency Stop Pushbutton</t>
  </si>
  <si>
    <t>xt_207</t>
  </si>
  <si>
    <t>XT-207</t>
  </si>
  <si>
    <t>UV/IR Flame Detector</t>
  </si>
  <si>
    <t>AlarmHH.ALM[0].26</t>
  </si>
  <si>
    <t>UV/Flame Detected</t>
  </si>
  <si>
    <t>UV/IR Flame Detector - High High Alarm</t>
  </si>
  <si>
    <t>xv_401</t>
  </si>
  <si>
    <t>XV-401</t>
  </si>
  <si>
    <t>Station Gas Outlet ESD Valve</t>
  </si>
  <si>
    <t>Valve Closed</t>
  </si>
  <si>
    <t>AlarmDD.ALM[0].23</t>
  </si>
  <si>
    <t>Outlet ESD Closed</t>
  </si>
  <si>
    <t>Station Gas Outlet ESD Valve - Valve Closed</t>
  </si>
  <si>
    <t>xv_400</t>
  </si>
  <si>
    <t>XV-400</t>
  </si>
  <si>
    <t>Station Gas Inlet ESD Valve</t>
  </si>
  <si>
    <t>AlarmDD.ALM[0].22</t>
  </si>
  <si>
    <t>Inlet ESD Closed</t>
  </si>
  <si>
    <t>Station Gas Inlet ESD Valve - Valve Closed</t>
  </si>
  <si>
    <t>mpr_warning</t>
  </si>
  <si>
    <t>Motor Protection Relay Warning</t>
  </si>
  <si>
    <t>AlarmD.ALM[0].10</t>
  </si>
  <si>
    <t>ESOZ LLP to LP Screw Compressor - Motor Protection Relay Warning</t>
  </si>
  <si>
    <t>Oil_Circuit.Disch_Minus_Oil_Alarm_Timer</t>
  </si>
  <si>
    <t>Oil Circuit Pressure Drop (Calculated) - High Alarm Delay</t>
  </si>
  <si>
    <t>psid</t>
  </si>
  <si>
    <t>Oil_Circuit.Disch_Minus_Oil_Alarm_SP</t>
  </si>
  <si>
    <t>Oil Circuit Pressure Drop (Calculated) - High Alarm Setpoint</t>
  </si>
  <si>
    <t>lsl_114</t>
  </si>
  <si>
    <t>LSL-114</t>
  </si>
  <si>
    <t>Oil/Gas Separator Level Switch Low</t>
  </si>
  <si>
    <t>AlarmD.ALM[0].11</t>
  </si>
  <si>
    <t>Oil/Gas Separator Level Switch Low - Alarm</t>
  </si>
  <si>
    <t>Oil_Circuit.Disch_Minus_Oil_Shutdown_Timer</t>
  </si>
  <si>
    <t>Oil Circuit Pressure Drop (Calculated) - High High Alarm Delay</t>
  </si>
  <si>
    <t>Oil_Circuit.Disch_Minus_Oil_Shutdown_SP</t>
  </si>
  <si>
    <t>Oil Circuit Pressure Drop (Calculated) - High High Alarm Setpoint</t>
  </si>
  <si>
    <t>Oil_Circuit.Disch_Minus_Oil</t>
  </si>
  <si>
    <t>Oil Circuit Pressure Drop (Calculated) - Process Value</t>
  </si>
  <si>
    <t>fans</t>
  </si>
  <si>
    <t>e_1</t>
  </si>
  <si>
    <t>E-1</t>
  </si>
  <si>
    <t>Cooler Fan South</t>
  </si>
  <si>
    <t>Auto Status</t>
  </si>
  <si>
    <t>0=Not in Auto; 1=Auto</t>
  </si>
  <si>
    <t>DI_Cooler_Mtr1_in_Auto</t>
  </si>
  <si>
    <t>Cooler Fan South - Auto Status</t>
  </si>
  <si>
    <t>Run Command</t>
  </si>
  <si>
    <t>0=Off;1=On</t>
  </si>
  <si>
    <t>DO_Cooler_Mtr1</t>
  </si>
  <si>
    <t>Cooler Fan South - Run Command</t>
  </si>
  <si>
    <t>pumps</t>
  </si>
  <si>
    <t>p_101m</t>
  </si>
  <si>
    <t>P-101M</t>
  </si>
  <si>
    <t>Lube Oil Pump</t>
  </si>
  <si>
    <t>AlarmD.ALM[0].13</t>
  </si>
  <si>
    <t>Lube Oil Pump - Run Fail</t>
  </si>
  <si>
    <t>Run Status</t>
  </si>
  <si>
    <t>0=Off; 1=Running</t>
  </si>
  <si>
    <t>DI_Cooler_Mtr1_Aux</t>
  </si>
  <si>
    <t>Cooler Fan South - Run Status</t>
  </si>
  <si>
    <t>e_2</t>
  </si>
  <si>
    <t>E-2</t>
  </si>
  <si>
    <t>Cooler Fan North</t>
  </si>
  <si>
    <t>DI_Cooler_Mtr2_in_Auto</t>
  </si>
  <si>
    <t>Cooler Fan North - Auto Status</t>
  </si>
  <si>
    <t>DO_Cooler_Mtr2</t>
  </si>
  <si>
    <t>Cooler Fan North - Run Command</t>
  </si>
  <si>
    <t>AlarmD.ALM[0].14</t>
  </si>
  <si>
    <t>Cooler Fan South - Run Fail</t>
  </si>
  <si>
    <t>DI_Cooler_Mtr2_Aux</t>
  </si>
  <si>
    <t>Cooler Fan North - Run Status</t>
  </si>
  <si>
    <t>fcu_101</t>
  </si>
  <si>
    <t>FCU-101</t>
  </si>
  <si>
    <t>mmscf</t>
  </si>
  <si>
    <t>Gas Outlet TotalFlow</t>
  </si>
  <si>
    <t>ReadFloat[24]</t>
  </si>
  <si>
    <t>#,##0.###</t>
  </si>
  <si>
    <t>Gas Outlet TotalFlow - Day 0 Volume</t>
  </si>
  <si>
    <t>ReadFloat[25]</t>
  </si>
  <si>
    <t>Gas Outlet TotalFlow - Day 1 Volume</t>
  </si>
  <si>
    <t>TotalFlow[1]</t>
  </si>
  <si>
    <t>Gas Outlet TotalFlow - Differential Pressure</t>
  </si>
  <si>
    <t>TotalFlow[0]</t>
  </si>
  <si>
    <t>Gas Outlet TotalFlow - Pressure</t>
  </si>
  <si>
    <t>TotalFlow[3]</t>
  </si>
  <si>
    <t>Gas Outlet TotalFlow - Rate</t>
  </si>
  <si>
    <t>TotalFlow[2]</t>
  </si>
  <si>
    <t>Gas Outlet TotalFlow - Temperature</t>
  </si>
  <si>
    <t>fcv_109</t>
  </si>
  <si>
    <t>FCV-109</t>
  </si>
  <si>
    <t>Slide Stop</t>
  </si>
  <si>
    <t>Slide_Stop.Mode</t>
  </si>
  <si>
    <t>Slide Stop - Auto/Manual Mode</t>
  </si>
  <si>
    <t>close</t>
  </si>
  <si>
    <t>Manual Close</t>
  </si>
  <si>
    <t>1=Decrease</t>
  </si>
  <si>
    <t>Slide_Stop.Manual_Decrease</t>
  </si>
  <si>
    <t>Slide Stop - Manual Close</t>
  </si>
  <si>
    <t>Manual Open</t>
  </si>
  <si>
    <t>1=Increase</t>
  </si>
  <si>
    <t>Slide_Stop.Manual_Increase</t>
  </si>
  <si>
    <t>Slide Stop - Manual Open</t>
  </si>
  <si>
    <t>position</t>
  </si>
  <si>
    <t>vi</t>
  </si>
  <si>
    <t>Position Feedback</t>
  </si>
  <si>
    <t>Slide_Stop.VI</t>
  </si>
  <si>
    <t>Slide Stop - Position Feedback</t>
  </si>
  <si>
    <t>AlarmD.ALM[0].15</t>
  </si>
  <si>
    <t>Cooler Fan North - Run Fail</t>
  </si>
  <si>
    <t>Status</t>
  </si>
  <si>
    <t>0 = Idle;1 = Increase;2 = Decrease</t>
  </si>
  <si>
    <t>Slide_Stop.Status</t>
  </si>
  <si>
    <t>Slide Stop - Status</t>
  </si>
  <si>
    <t>fcv_110</t>
  </si>
  <si>
    <t>FCV-110</t>
  </si>
  <si>
    <t>Slide Valve</t>
  </si>
  <si>
    <t>Slide_Valve.Mode</t>
  </si>
  <si>
    <t>Slide Valve - Auto/Manual Mode</t>
  </si>
  <si>
    <t>1=Load</t>
  </si>
  <si>
    <t>Slide_Valve.Manual_Load</t>
  </si>
  <si>
    <t>Slide Valve - Manual Close</t>
  </si>
  <si>
    <t>1=Unload</t>
  </si>
  <si>
    <t>Slide_Valve.Manual_Unload</t>
  </si>
  <si>
    <t>Slide Valve - Manual Open</t>
  </si>
  <si>
    <t>Slide_Valve.Percent</t>
  </si>
  <si>
    <t>Slide Valve - Position Feedback</t>
  </si>
  <si>
    <t>pdsh_111</t>
  </si>
  <si>
    <t>PDSH-111</t>
  </si>
  <si>
    <t>Motor Blower Intake Filter Differential Pressure Switch High</t>
  </si>
  <si>
    <t>AlarmD.ALM[0].16</t>
  </si>
  <si>
    <t>Motor Blower Intake Filter Differential Pressure Switch High - Alarm</t>
  </si>
  <si>
    <t>Bypass</t>
  </si>
  <si>
    <t>Utilize proper casing for states field</t>
  </si>
  <si>
    <t>x</t>
  </si>
  <si>
    <t>state_unload</t>
  </si>
  <si>
    <t>Reason for Force Unload Status</t>
  </si>
  <si>
    <t>0=Not Active;1=High Motor Current; 2=High Disch Pressure; 3=Low Suct Pressure; 5=VI Override; 6=Stopping; 7=Stop Failure; 8=Start Failure; 9=SV% &gt; Start Permissive</t>
  </si>
  <si>
    <t>Slide_Valve.Unload_Status</t>
  </si>
  <si>
    <t>Slide Valve - Reason for Force Unload Status</t>
  </si>
  <si>
    <t>0=Idle; 1=Load; 2=Unload; 3=Stop Load; 4=Force Unload</t>
  </si>
  <si>
    <t>Slide_Valve.Status</t>
  </si>
  <si>
    <t>Slide Valve - Status</t>
  </si>
  <si>
    <t>fit_200</t>
  </si>
  <si>
    <t>FIT-200</t>
  </si>
  <si>
    <t>bbls</t>
  </si>
  <si>
    <t>Condensate Pump Flow</t>
  </si>
  <si>
    <t>CondensateFlowSum</t>
  </si>
  <si>
    <t>#,##0</t>
  </si>
  <si>
    <t>Condensate Pump Flow - Day 0 Volume</t>
  </si>
  <si>
    <t>ReadFloat[44]</t>
  </si>
  <si>
    <t>Condensate Pump Flow - Day 1 Volume</t>
  </si>
  <si>
    <t>AlarmD.ALM[0].2</t>
  </si>
  <si>
    <t>Oil Circuit Pressure Drop (Calculated) - High Alarm</t>
  </si>
  <si>
    <t>p_200a</t>
  </si>
  <si>
    <t>P-200A</t>
  </si>
  <si>
    <t>Slug Catcher Condensate Pump</t>
  </si>
  <si>
    <t>AlarmD.ALM[0].21</t>
  </si>
  <si>
    <t>Slug Catcher Condensate Pump - Run Fail</t>
  </si>
  <si>
    <t>Low Low Alarm 1 Delay</t>
  </si>
  <si>
    <t>AlarmL_TMR[42]</t>
  </si>
  <si>
    <t>Condensate Pump Flow - Low Low Alarm 1 Delay</t>
  </si>
  <si>
    <t>Low Low Alarm 1 Setpoint</t>
  </si>
  <si>
    <t>PLACEHOLDER_TAG</t>
  </si>
  <si>
    <t>Condensate Pump Flow - Low Low Alarm 1 Setpoint</t>
  </si>
  <si>
    <t>p_200b</t>
  </si>
  <si>
    <t>P-200B</t>
  </si>
  <si>
    <t>AlarmD.ALM[0].22</t>
  </si>
  <si>
    <t>Low Low Alarm 2 Delay</t>
  </si>
  <si>
    <t>AlarmL_TMR[43]</t>
  </si>
  <si>
    <t>Condensate Pump Flow - Low Low Alarm 2 Delay</t>
  </si>
  <si>
    <t>Low Low Alarm 2 Setpoint</t>
  </si>
  <si>
    <t>Condensate Pump Flow - Low Low Alarm 2 Setpoint</t>
  </si>
  <si>
    <t>AlarmL_TMR[41]</t>
  </si>
  <si>
    <t>Condensate Pump Flow - Low Low Alarm Delay</t>
  </si>
  <si>
    <t>Condensate Pump Flow - Low Low Alarm Setpoint</t>
  </si>
  <si>
    <t>Local:4:C.Ch13Config.HighEngineering</t>
  </si>
  <si>
    <t>Condensate Pump Flow - PV Maximum Scaled Value</t>
  </si>
  <si>
    <t>Local:4:C.Ch13Config.LowEngineering</t>
  </si>
  <si>
    <t>Condensate Pump Flow - PV Minimum Scaled Value</t>
  </si>
  <si>
    <t>AI[41]</t>
  </si>
  <si>
    <t>Condensate Pump Flow - Rate</t>
  </si>
  <si>
    <t>excessive_starts</t>
  </si>
  <si>
    <t>Excessive Starts</t>
  </si>
  <si>
    <t>AlarmD.ALM[0].24</t>
  </si>
  <si>
    <t>Slug Catcher Condensate Pump - Excessive Starts</t>
  </si>
  <si>
    <t>AlarmD.ALM[0].25</t>
  </si>
  <si>
    <t>AlarmH_TMR[22]</t>
  </si>
  <si>
    <t>Compressor Motor Current - High Alarm Delay</t>
  </si>
  <si>
    <t>amps</t>
  </si>
  <si>
    <t>AlarmH_SP[22]</t>
  </si>
  <si>
    <t>Compressor Motor Current - High Alarm Setpoint</t>
  </si>
  <si>
    <t>AlarmD.ALM[0].3</t>
  </si>
  <si>
    <t>Lube Oil Filter Differential Pressure (Calculated) - High Alarm</t>
  </si>
  <si>
    <t>AlarmHH_TMR[22]</t>
  </si>
  <si>
    <t>Compressor Motor Current - High High Alarm Delay</t>
  </si>
  <si>
    <t>AlarmHH_SP[22]</t>
  </si>
  <si>
    <t>Compressor Motor Current - High High Alarm Setpoint</t>
  </si>
  <si>
    <t>lshh_129</t>
  </si>
  <si>
    <t>LSHH-129</t>
  </si>
  <si>
    <t>Discharge Scrubber Level Switch High High</t>
  </si>
  <si>
    <t>AlarmD.ALM[0].31</t>
  </si>
  <si>
    <t>Discharge Scrubber Level Switch High High - Alarm</t>
  </si>
  <si>
    <t>AlarmLL_TMR[22]</t>
  </si>
  <si>
    <t>Compressor Motor Current - Low Low Alarm Delay</t>
  </si>
  <si>
    <t>AlarmLL_SP[22]</t>
  </si>
  <si>
    <t>Compressor Motor Current - Low Low Alarm Setpoint</t>
  </si>
  <si>
    <t>AI[22]</t>
  </si>
  <si>
    <t>Compressor Motor Current - Process Value</t>
  </si>
  <si>
    <t>Local:4:C.Ch4Config.HighEngineering</t>
  </si>
  <si>
    <t>Compressor Motor Current - PV Maximum Scaled Value</t>
  </si>
  <si>
    <t>Local:4:C.Ch4Config.LowEngineering</t>
  </si>
  <si>
    <t>Compressor Motor Current - PV Minimum Scaled Value</t>
  </si>
  <si>
    <t>AlarmD.ALM[0].4</t>
  </si>
  <si>
    <t>Lube Oil Supply Pressure - Low Alarm</t>
  </si>
  <si>
    <t>DI_Compressor_in_Auto</t>
  </si>
  <si>
    <t>ESOZ LLP to LP Screw Compressor - Auto Status</t>
  </si>
  <si>
    <t>disch_press_unload</t>
  </si>
  <si>
    <t>Capacity Control Discharge Pressure Force Unload Setpoint</t>
  </si>
  <si>
    <t>Discharge_Pressure.Force_Unload</t>
  </si>
  <si>
    <t>ESOZ LLP to LP Screw Compressor - Capacity Control Discharge Pressure Force Unload Setpoint</t>
  </si>
  <si>
    <t>disch_press</t>
  </si>
  <si>
    <t>Capacity Control Discharge Pressure Setpoint</t>
  </si>
  <si>
    <t>Discharge_Pressure.Setpoint</t>
  </si>
  <si>
    <t>ESOZ LLP to LP Screw Compressor - Capacity Control Discharge Pressure Setpoint</t>
  </si>
  <si>
    <t>disch_press_stop_load</t>
  </si>
  <si>
    <t>Capacity Control Discharge Pressure Stop Load Setpoint</t>
  </si>
  <si>
    <t>Discharge_Pressure.Stop_Load</t>
  </si>
  <si>
    <t>ESOZ LLP to LP Screw Compressor - Capacity Control Discharge Pressure Stop Load Setpoint</t>
  </si>
  <si>
    <t>capacity_control_mode</t>
  </si>
  <si>
    <t>Capacity Control Mode Selected</t>
  </si>
  <si>
    <t>0=Suction Pressure; 1=Discharge Temperature; 2=Discharge Pressure; 3=Motor Current</t>
  </si>
  <si>
    <t>Capacity_Control.Mode</t>
  </si>
  <si>
    <t>ESOZ LLP to LP Screw Compressor - Capacity Control Mode Selected</t>
  </si>
  <si>
    <t>current_unload</t>
  </si>
  <si>
    <t>Capacity Control Motor Current Force Unload Setpoint</t>
  </si>
  <si>
    <t>Motor_Amps.Force_Unload</t>
  </si>
  <si>
    <t>ESOZ LLP to LP Screw Compressor - Capacity Control Motor Current Force Unload Setpoint</t>
  </si>
  <si>
    <t>current</t>
  </si>
  <si>
    <t>Capacity Control Motor Current Setpoint</t>
  </si>
  <si>
    <t>Motor_Amps.Capacity_Setpoint</t>
  </si>
  <si>
    <t>ESOZ LLP to LP Screw Compressor - Capacity Control Motor Current Setpoint</t>
  </si>
  <si>
    <t>current_stop_load</t>
  </si>
  <si>
    <t>Capacity Control Motor Current Stop Load Setpoint</t>
  </si>
  <si>
    <t>Motor_Amps.Stop_Load</t>
  </si>
  <si>
    <t>ESOZ LLP to LP Screw Compressor - Capacity Control Motor Current Stop Load Setpoint</t>
  </si>
  <si>
    <t>suct_press_unload</t>
  </si>
  <si>
    <t>Capacity Control Suction Pressure Force Unload Setpoint</t>
  </si>
  <si>
    <t>Suction_Pressure.Force_Unload</t>
  </si>
  <si>
    <t>ESOZ LLP to LP Screw Compressor - Capacity Control Suction Pressure Force Unload Setpoint</t>
  </si>
  <si>
    <t>suct_press</t>
  </si>
  <si>
    <t>Capacity Control Suction Pressure Setpoint</t>
  </si>
  <si>
    <t>Suction_Pressure.Setpoint</t>
  </si>
  <si>
    <t>ESOZ LLP to LP Screw Compressor - Capacity Control Suction Pressure Setpoint</t>
  </si>
  <si>
    <t>suct_press_stop_load</t>
  </si>
  <si>
    <t>Capacity Control Suction Pressure Stop Load Setpoint</t>
  </si>
  <si>
    <t>Suction_Pressure.Stop_Load</t>
  </si>
  <si>
    <t>ESOZ LLP to LP Screw Compressor - Capacity Control Suction Pressure Stop Load Setpoint</t>
  </si>
  <si>
    <t>sv_max_pos_perm</t>
  </si>
  <si>
    <t>Slide Valve Unable to Unload</t>
  </si>
  <si>
    <t>AlarmD.ALM[0].5</t>
  </si>
  <si>
    <t>ESOZ LLP to LP Screw Compressor - Slide Valve Unable to Unload</t>
  </si>
  <si>
    <t>psl_140</t>
  </si>
  <si>
    <t>PSL-140</t>
  </si>
  <si>
    <t>PLC Cabinet Purge Air Pressure Switch Low</t>
  </si>
  <si>
    <t>AlarmD.ALM[0].6</t>
  </si>
  <si>
    <t>PLC Cabinet Purge Air Pressure Switch Low - Alarm</t>
  </si>
  <si>
    <t>DI_Emergency_Stop</t>
  </si>
  <si>
    <t>ESOZ LLP to LP Screw Compressor - Emergency Stop Status</t>
  </si>
  <si>
    <t>Maximum Differential Pressure Across Compressor Start Permissive Setpoint</t>
  </si>
  <si>
    <t>Comp.Starting_Diff_Press</t>
  </si>
  <si>
    <t>ESOZ LLP to LP Screw Compressor - Maximum Differential Pressure Across Compressor Start Permissive Setpoint</t>
  </si>
  <si>
    <t>fla</t>
  </si>
  <si>
    <t>Motor Full Load Amps</t>
  </si>
  <si>
    <t>Motor_Amps.FLA</t>
  </si>
  <si>
    <t>ESOZ LLP to LP Screw Compressor - Motor Full Load Amps</t>
  </si>
  <si>
    <t>Motor Full Load Amps Setpoint</t>
  </si>
  <si>
    <t>Motor_Amps.FLA_Setpoint</t>
  </si>
  <si>
    <t>ESOZ LLP to LP Screw Compressor - Motor Full Load Amps Setpoint</t>
  </si>
  <si>
    <t>Motor Protection Relay Trip Status</t>
  </si>
  <si>
    <t>DI_Multilin_Shutdown</t>
  </si>
  <si>
    <t>ESOZ LLP to LP Screw Compressor - Motor Protection Relay Trip Status</t>
  </si>
  <si>
    <t>Motor Protection Relay Warning Status</t>
  </si>
  <si>
    <t>DI_Multilin_Alarm</t>
  </si>
  <si>
    <t>ESOZ LLP to LP Screw Compressor - Motor Protection Relay Warning Status</t>
  </si>
  <si>
    <t>voltage</t>
  </si>
  <si>
    <t>volts</t>
  </si>
  <si>
    <t>Motor Voltage</t>
  </si>
  <si>
    <t>ReadFloat[98]</t>
  </si>
  <si>
    <t>ESOZ LLP to LP Screw Compressor - Motor Voltage</t>
  </si>
  <si>
    <t>permissive</t>
  </si>
  <si>
    <t>Permissive Status</t>
  </si>
  <si>
    <t>0=No Permissive;1=Permissive Ok</t>
  </si>
  <si>
    <t>Comp.Shutdown</t>
  </si>
  <si>
    <t>ESOZ LLP to LP Screw Compressor - Permissive Status</t>
  </si>
  <si>
    <t>DO_Comp_Run</t>
  </si>
  <si>
    <t>ESOZ LLP to LP Screw Compressor - Run Command</t>
  </si>
  <si>
    <t>DI_Comp_Aux</t>
  </si>
  <si>
    <t>ESOZ LLP to LP Screw Compressor - Run Status</t>
  </si>
  <si>
    <t>runtime</t>
  </si>
  <si>
    <t>hr</t>
  </si>
  <si>
    <t>Runtime</t>
  </si>
  <si>
    <t>ReadFloat[26]</t>
  </si>
  <si>
    <t>ESOZ LLP to LP Screw Compressor - Runtime</t>
  </si>
  <si>
    <t>runtime_hrs_this_run</t>
  </si>
  <si>
    <t>Runtime Since Last Shutdown - Hour Counter</t>
  </si>
  <si>
    <t>Comp.Current_Runtime_Hour</t>
  </si>
  <si>
    <t>ESOZ LLP to LP Screw Compressor - Runtime Since Last Shutdown - Hour Counter</t>
  </si>
  <si>
    <t>runtime_mins_this_run</t>
  </si>
  <si>
    <t>min</t>
  </si>
  <si>
    <t>Runtime Since Last Shutdown - Min Counter</t>
  </si>
  <si>
    <t>Comp.Current_Runtime_Minute</t>
  </si>
  <si>
    <t>ESOZ LLP to LP Screw Compressor - Runtime Since Last Shutdown - Min Counter</t>
  </si>
  <si>
    <t>Slide Valve Maximum Position Permissive Setpoint</t>
  </si>
  <si>
    <t>Slide_Valve.Start_Position</t>
  </si>
  <si>
    <t>ESOZ LLP to LP Screw Compressor - Slide Valve Maximum Position Permissive Setpoint</t>
  </si>
  <si>
    <t>lockout</t>
  </si>
  <si>
    <t>Start Lockout Status</t>
  </si>
  <si>
    <t>0=Off;1=Active</t>
  </si>
  <si>
    <t>Recycle_Delay.Active</t>
  </si>
  <si>
    <t>ESOZ LLP to LP Screw Compressor - Start Lockout Status</t>
  </si>
  <si>
    <t>Start Lockout Timer</t>
  </si>
  <si>
    <t>Recycle_Delay.Timer</t>
  </si>
  <si>
    <t>ESOZ LLP to LP Screw Compressor - Start Lockout Timer</t>
  </si>
  <si>
    <t>load_inhibit</t>
  </si>
  <si>
    <t>Start Up Load Inhibit Timer</t>
  </si>
  <si>
    <t>Slide_Valve.Startup_Load_Inhibit</t>
  </si>
  <si>
    <t>ESOZ LLP to LP Screw Compressor - Start Up Load Inhibit Timer</t>
  </si>
  <si>
    <t>mode</t>
  </si>
  <si>
    <t>0=Ready to Start; 1=Starting; 2=Recycle Delay; 3=Shutdown;4=Running; 5=Stopping; 6=Not In Auto</t>
  </si>
  <si>
    <t>Comp.Status</t>
  </si>
  <si>
    <t>ESOZ LLP to LP Screw Compressor - Status</t>
  </si>
  <si>
    <t>stop</t>
  </si>
  <si>
    <t>Stop Command</t>
  </si>
  <si>
    <t>1=Stop</t>
  </si>
  <si>
    <t>Comp.Stop_Pushbutton</t>
  </si>
  <si>
    <t>ESOZ LLP to LP Screw Compressor - Stop Command</t>
  </si>
  <si>
    <t>lcv_129</t>
  </si>
  <si>
    <t>LCV-129</t>
  </si>
  <si>
    <t>Discharge Scrubber Dump Valve</t>
  </si>
  <si>
    <t>Close Setpoint</t>
  </si>
  <si>
    <t>Vessel3_Dump_Close</t>
  </si>
  <si>
    <t>Discharge Scrubber Dump Valve - Close Setpoint</t>
  </si>
  <si>
    <t>Open Setpoint</t>
  </si>
  <si>
    <t>Vessel3_Dump_Open</t>
  </si>
  <si>
    <t>Discharge Scrubber Dump Valve - Open Setpoint</t>
  </si>
  <si>
    <t>0=Closed;1=Open</t>
  </si>
  <si>
    <t>DO_Vessel3_Dump_Valve</t>
  </si>
  <si>
    <t>Discharge Scrubber Dump Valve - Output Command</t>
  </si>
  <si>
    <t>lit_129</t>
  </si>
  <si>
    <t>LIT-129</t>
  </si>
  <si>
    <t>Discharge Scrubber Level</t>
  </si>
  <si>
    <t>AlarmH_TMR[33]</t>
  </si>
  <si>
    <t>Discharge Scrubber Level - High Alarm Delay</t>
  </si>
  <si>
    <t>AlarmH_SP[33]</t>
  </si>
  <si>
    <t>Discharge Scrubber Level - High Alarm Setpoint</t>
  </si>
  <si>
    <t>AlarmL_TMR[33]</t>
  </si>
  <si>
    <t>Discharge Scrubber Level - Low Alarm Delay</t>
  </si>
  <si>
    <t>AlarmL_SP[33]</t>
  </si>
  <si>
    <t>Discharge Scrubber Level - Low Alarm Setpoint</t>
  </si>
  <si>
    <t>AI[33]</t>
  </si>
  <si>
    <t>Discharge Scrubber Level - Process Value</t>
  </si>
  <si>
    <t>Discharge Scrubber Level - PV Maximum Scaled Value</t>
  </si>
  <si>
    <t>Discharge Scrubber Level - PV Minimum Scaled Value</t>
  </si>
  <si>
    <t>lit_200</t>
  </si>
  <si>
    <t>LIT-200</t>
  </si>
  <si>
    <t>AlarmH_TMR[34]</t>
  </si>
  <si>
    <t>AlarmH_SP[34]</t>
  </si>
  <si>
    <t>AI[34]</t>
  </si>
  <si>
    <t>Local:4:C.Ch9Config.HighEngineering</t>
  </si>
  <si>
    <t>Local:4:C.Ch9Config.LowEngineering</t>
  </si>
  <si>
    <t>lsh_500</t>
  </si>
  <si>
    <t>LSH-500</t>
  </si>
  <si>
    <t>Drain Tank Level Switch High</t>
  </si>
  <si>
    <t>AlarmH_TMR[37]</t>
  </si>
  <si>
    <t>Drain Tank Level Switch High - Alarm Delay</t>
  </si>
  <si>
    <t>mA</t>
  </si>
  <si>
    <t>AI[37]</t>
  </si>
  <si>
    <t>#,##0.0#</t>
  </si>
  <si>
    <t>Drain Tank Level Switch High - Process Value</t>
  </si>
  <si>
    <t>Drain Tank Level Switch High - PV Maximum Scaled Value</t>
  </si>
  <si>
    <t>Drain Tank Level Switch High - PV Minimum Scaled Value</t>
  </si>
  <si>
    <t>AlarmDD_TMR[29]</t>
  </si>
  <si>
    <t>Suction Coalescer Inlet Section Sump Level Switch High High - Alarm Delay</t>
  </si>
  <si>
    <t>1=Ok;0=High Level</t>
  </si>
  <si>
    <t>DI_Pre_Filter_Sump</t>
  </si>
  <si>
    <t>Suction Coalescer Inlet Section Sump Level Switch High High - Input</t>
  </si>
  <si>
    <t>AlarmDD_TMR[30]</t>
  </si>
  <si>
    <t>Suction Coalescer Outlet Section Sump Level Switch High High - Alarm Delay</t>
  </si>
  <si>
    <t>DI_Post_Filter_Sump</t>
  </si>
  <si>
    <t>Suction Coalescer Outlet Section Sump Level Switch High High - Input</t>
  </si>
  <si>
    <t>DI_Pre_Filter</t>
  </si>
  <si>
    <t>Suction Coalescer Inlet Section Blowcase Level Switch High - Input</t>
  </si>
  <si>
    <t>AlarmDD_TMR[32]</t>
  </si>
  <si>
    <t>Suction Coalescer Outlet Section Blowcase Level Switch High - Alarm Delay</t>
  </si>
  <si>
    <t>DI_Post_Filter</t>
  </si>
  <si>
    <t>Suction Coalescer Outlet Section Blowcase Level Switch High - Input</t>
  </si>
  <si>
    <t>AlarmD_TMR[31]</t>
  </si>
  <si>
    <t>Discharge Scrubber Level Switch High High - Alarm Delay</t>
  </si>
  <si>
    <t>DI_Disch_Scrubber_LSHH</t>
  </si>
  <si>
    <t>Discharge Scrubber Level Switch High High - Input</t>
  </si>
  <si>
    <t>AlarmHH_TMR[34]</t>
  </si>
  <si>
    <t>AI[36]</t>
  </si>
  <si>
    <t>Slug Catcher Level Switch High High - Process Value</t>
  </si>
  <si>
    <t>Local:3:C.Ch15Config.HighEngineering</t>
  </si>
  <si>
    <t>Slug Catcher Level Switch High High - PV Maximum Scaled Value</t>
  </si>
  <si>
    <t>Local:3:C.Ch15Config.LowEngineering</t>
  </si>
  <si>
    <t>Slug Catcher Level Switch High High - PV Minimum Scaled Value</t>
  </si>
  <si>
    <t>AlarmH.ALM[0].0</t>
  </si>
  <si>
    <t>Compressor Suction Pressure - High Alarm</t>
  </si>
  <si>
    <t>AlarmD_TMR[11]</t>
  </si>
  <si>
    <t>Oil/Gas Separator Level Switch Low - Alarm Delay</t>
  </si>
  <si>
    <t>1=Ok;0=Low Level</t>
  </si>
  <si>
    <t>DI_Separator_LSL</t>
  </si>
  <si>
    <t>Oil/Gas Separator Level Switch Low - Input</t>
  </si>
  <si>
    <t>AlarmH.ALM[0].1</t>
  </si>
  <si>
    <t>Compressor Discharge Pressure - High Alarm</t>
  </si>
  <si>
    <t>AlarmDD_TMR[20]</t>
  </si>
  <si>
    <t>Oil/Gas Separator Level Switch Low Low - Alarm Delay</t>
  </si>
  <si>
    <t>DI_Separator_LSLL</t>
  </si>
  <si>
    <t>Oil/Gas Separator Level Switch Low Low - Input</t>
  </si>
  <si>
    <t>AlarmH.ALM[0].10</t>
  </si>
  <si>
    <t>Compressor Suction Temperature - High Alarm</t>
  </si>
  <si>
    <t>lsll_200</t>
  </si>
  <si>
    <t>LSLL-200</t>
  </si>
  <si>
    <t>Slug Catcher Level Switch Low Low</t>
  </si>
  <si>
    <t>AlarmL_TMR[34]</t>
  </si>
  <si>
    <t>Slug Catcher Level Switch Low Low - Alarm Delay</t>
  </si>
  <si>
    <t>AI[35]</t>
  </si>
  <si>
    <t>Slug Catcher Level Switch Low Low - Process Value</t>
  </si>
  <si>
    <t>Local:3:C.Ch14Config.HighEngineering</t>
  </si>
  <si>
    <t>Slug Catcher Level Switch Low Low - PV Maximum Scaled Value</t>
  </si>
  <si>
    <t>Local:3:C.Ch14Config.LowEngineering</t>
  </si>
  <si>
    <t>Slug Catcher Level Switch Low Low - PV Minimum Scaled Value</t>
  </si>
  <si>
    <t>AlarmH.ALM[0].11</t>
  </si>
  <si>
    <t>Compressor Discharge Temperature - High Alarm</t>
  </si>
  <si>
    <t>DI_Oil_Pump_in_Auto</t>
  </si>
  <si>
    <t>Lube Oil Pump - Auto Status</t>
  </si>
  <si>
    <t>DO_AOP_Run</t>
  </si>
  <si>
    <t>Lube Oil Pump - Run Command</t>
  </si>
  <si>
    <t>AlarmH.ALM[0].12</t>
  </si>
  <si>
    <t>Lube Oil Injection Temperature - High Alarm</t>
  </si>
  <si>
    <t>DI_Oil_Pump_Aux</t>
  </si>
  <si>
    <t>Lube Oil Pump - Run Status</t>
  </si>
  <si>
    <t>DI_Cond_Pump_P200A_in_Auto</t>
  </si>
  <si>
    <t>Slug Catcher Condensate Pump - Auto Status</t>
  </si>
  <si>
    <t>AlarmH.ALM[0].13</t>
  </si>
  <si>
    <t>Oil/Gas Separator Oil Temperature - High Alarm</t>
  </si>
  <si>
    <t>lead_lag</t>
  </si>
  <si>
    <t>Lead/Lag Status</t>
  </si>
  <si>
    <t>0=Disabled;1=Lead;2=Lag</t>
  </si>
  <si>
    <t>Cond_Pump.P200A_SEQ</t>
  </si>
  <si>
    <t>Slug Catcher Condensate Pump - Lead/Lag Status</t>
  </si>
  <si>
    <t>DO_Cond_Pump_P200A</t>
  </si>
  <si>
    <t>Slug Catcher Condensate Pump - Run Command</t>
  </si>
  <si>
    <t>te_127</t>
  </si>
  <si>
    <t>TE-127</t>
  </si>
  <si>
    <t>Gas Cooler Outlet Temperature</t>
  </si>
  <si>
    <t>AlarmH.ALM[0].15</t>
  </si>
  <si>
    <t>Gas Cooler Outlet Temperature - High Alarm</t>
  </si>
  <si>
    <t>0=Off;1=Running</t>
  </si>
  <si>
    <t>DI_Cond_Pump_P200A_Aux</t>
  </si>
  <si>
    <t>Slug Catcher Condensate Pump - Run Status</t>
  </si>
  <si>
    <t>p_200a_b</t>
  </si>
  <si>
    <t>lead_call</t>
  </si>
  <si>
    <t>P-200A/B</t>
  </si>
  <si>
    <t>Slug Catcher Condensate Pumps</t>
  </si>
  <si>
    <t>Lead Pump Call</t>
  </si>
  <si>
    <t>Cond_Pump_Run</t>
  </si>
  <si>
    <t>Slug Catcher Condensate Pumps - Lead Pump Call</t>
  </si>
  <si>
    <t>lead_start</t>
  </si>
  <si>
    <t>Lead Start Setpoint</t>
  </si>
  <si>
    <t>Cond_Pump_Start</t>
  </si>
  <si>
    <t>Slug Catcher Condensate Pumps - Lead Start Setpoint</t>
  </si>
  <si>
    <t>lead_stop</t>
  </si>
  <si>
    <t>Lead Stop Setpoint</t>
  </si>
  <si>
    <t>Cond_Pump_Stop</t>
  </si>
  <si>
    <t>Slug Catcher Condensate Pumps - Lead Stop Setpoint</t>
  </si>
  <si>
    <t>DI_Cond_Pump_P200B_in_Auto</t>
  </si>
  <si>
    <t>AlarmH.ALM[0].22</t>
  </si>
  <si>
    <t>Compressor Motor Current - High Alarm</t>
  </si>
  <si>
    <t>Cond_Pump.P200B_SEQ</t>
  </si>
  <si>
    <t>DO_Cond_Pump_P200B</t>
  </si>
  <si>
    <t>AlarmH.ALM[0].23</t>
  </si>
  <si>
    <t>Compressor Inboard Bearing Vibration - High Alarm</t>
  </si>
  <si>
    <t>DI_Cond_Pump_P200B_Aux</t>
  </si>
  <si>
    <t>pcv_100</t>
  </si>
  <si>
    <t>PCV-100</t>
  </si>
  <si>
    <t>Suction Pressure Control Valve</t>
  </si>
  <si>
    <t>Gas_Inlet_PCV.PID_Manual</t>
  </si>
  <si>
    <t>Suction Pressure Control Valve - Auto/Manual Mode</t>
  </si>
  <si>
    <t>Gas_Inlet_PCV.PID.OUT</t>
  </si>
  <si>
    <t>Suction Pressure Control Valve - Control Variable</t>
  </si>
  <si>
    <t>Gas_Inlet_PCV.PID.KD</t>
  </si>
  <si>
    <t>Suction Pressure Control Valve - Derivative</t>
  </si>
  <si>
    <t>Gas_Inlet_PCV.PID.KI</t>
  </si>
  <si>
    <t>Suction Pressure Control Valve - Integral</t>
  </si>
  <si>
    <t>Gas_Inlet_PCV.PID_Manual_Output</t>
  </si>
  <si>
    <t>Suction Pressure Control Valve - Manual Output</t>
  </si>
  <si>
    <t>Gas_Inlet_PCV.PID_Max</t>
  </si>
  <si>
    <t>Suction Pressure Control Valve - Maximum CV</t>
  </si>
  <si>
    <t>Gas_Inlet_PCV.PID_Min</t>
  </si>
  <si>
    <t>Suction Pressure Control Valve - Minimum CV</t>
  </si>
  <si>
    <t>Gas_Inlet_PCV.PID.PV</t>
  </si>
  <si>
    <t>Suction Pressure Control Valve - Process Variable</t>
  </si>
  <si>
    <t>Gas_Inlet_PCV.PID.KP</t>
  </si>
  <si>
    <t>Suction Pressure Control Valve - Proportional</t>
  </si>
  <si>
    <t>Gas_Inlet_PCV.PID.SP</t>
  </si>
  <si>
    <t>Suction Pressure Control Valve - Setpoint</t>
  </si>
  <si>
    <t>pcv_200</t>
  </si>
  <si>
    <t>PCV-200</t>
  </si>
  <si>
    <t>Condensate Pumps Backpressure Control Valve</t>
  </si>
  <si>
    <t>PIC_200.SWM</t>
  </si>
  <si>
    <t>Condensate Pumps Backpressure Control Valve - Auto/Manual Mode</t>
  </si>
  <si>
    <t>PIC_200.OUT</t>
  </si>
  <si>
    <t>Condensate Pumps Backpressure Control Valve - Control Variable</t>
  </si>
  <si>
    <t>PIC_200.KD</t>
  </si>
  <si>
    <t>Condensate Pumps Backpressure Control Valve - Derivative</t>
  </si>
  <si>
    <t>PIC_200.KI</t>
  </si>
  <si>
    <t>Condensate Pumps Backpressure Control Valve - Integral</t>
  </si>
  <si>
    <t>PIC_200.SO</t>
  </si>
  <si>
    <t>Condensate Pumps Backpressure Control Valve - Manual Output</t>
  </si>
  <si>
    <t>PIC_200.MAXO</t>
  </si>
  <si>
    <t>Condensate Pumps Backpressure Control Valve - Maximum CV</t>
  </si>
  <si>
    <t>PIC_200.MINO</t>
  </si>
  <si>
    <t>Condensate Pumps Backpressure Control Valve - Minimum CV</t>
  </si>
  <si>
    <t>PIC_200.PV</t>
  </si>
  <si>
    <t>Condensate Pumps Backpressure Control Valve - Process Variable</t>
  </si>
  <si>
    <t>PIC_200.KP</t>
  </si>
  <si>
    <t>Condensate Pumps Backpressure Control Valve - Proportional</t>
  </si>
  <si>
    <t>PIC_200.SP</t>
  </si>
  <si>
    <t>Condensate Pumps Backpressure Control Valve - Setpoint</t>
  </si>
  <si>
    <t>AlarmH.ALM[0].24</t>
  </si>
  <si>
    <t>Compressor Outboard Bearing Vibration - High Alarm</t>
  </si>
  <si>
    <t>Oil_Circuit.Filter_Minus_Oil_Alarm_Timer</t>
  </si>
  <si>
    <t>Lube Oil Filter Differential Pressure (Calculated) - High Alarm Delay</t>
  </si>
  <si>
    <t>Oil_Circuit.Filter_Minus_Oil_Alarm_SP</t>
  </si>
  <si>
    <t>Lube Oil Filter Differential Pressure (Calculated) - High Alarm Setpoint</t>
  </si>
  <si>
    <t>pit_213</t>
  </si>
  <si>
    <t>PIT-213</t>
  </si>
  <si>
    <t>AlarmH.ALM[0].25</t>
  </si>
  <si>
    <t>Site Instrument Air Pressure - High Alarm</t>
  </si>
  <si>
    <t>Oil_Circuit.Filter_Minus_Oil_Shutdown_Timer</t>
  </si>
  <si>
    <t>Lube Oil Filter Differential Pressure (Calculated) - High High Alarm Delay</t>
  </si>
  <si>
    <t>Oil_Circuit.Filter_Minus_Oil_Shutdown_SP</t>
  </si>
  <si>
    <t>Lube Oil Filter Differential Pressure (Calculated) - High High Alarm Setpoint</t>
  </si>
  <si>
    <t>Oil_Circuit.Filter_Minus_Oil</t>
  </si>
  <si>
    <t>Lube Oil Filter Differential Pressure (Calculated) - Process Value</t>
  </si>
  <si>
    <t>pdt_104</t>
  </si>
  <si>
    <t>PDT-104</t>
  </si>
  <si>
    <t>Suction Coalescing Filter Differential Pressure</t>
  </si>
  <si>
    <t>AlarmH.ALM[0].5</t>
  </si>
  <si>
    <t>Suction Coalescing Filter Differential Pressure - High Alarm</t>
  </si>
  <si>
    <t>AlarmD_TMR[16]</t>
  </si>
  <si>
    <t>Motor Blower Intake Filter Differential Pressure Switch High - Alarm Delay</t>
  </si>
  <si>
    <t>1=Ok;0=High Pressure</t>
  </si>
  <si>
    <t>DI_Purged_Air_Filter_Diff</t>
  </si>
  <si>
    <t>Motor Blower Intake Filter Differential Pressure Switch High - Input</t>
  </si>
  <si>
    <t>pit_124</t>
  </si>
  <si>
    <t>PIT-124</t>
  </si>
  <si>
    <t>Oil/Gas Separator Outlet Pressure</t>
  </si>
  <si>
    <t>AlarmH.ALM[0].6</t>
  </si>
  <si>
    <t>Oil/Gas Separator Outlet Pressure - High Alarm</t>
  </si>
  <si>
    <t>AlarmH_TMR[5]</t>
  </si>
  <si>
    <t>Suction Coalescing Filter Differential Pressure - High Alarm Delay</t>
  </si>
  <si>
    <t>AlarmH_SP[5]</t>
  </si>
  <si>
    <t>Suction Coalescing Filter Differential Pressure - High Alarm Setpoint</t>
  </si>
  <si>
    <t>AI[5]</t>
  </si>
  <si>
    <t>Suction Coalescing Filter Differential Pressure - Process Value</t>
  </si>
  <si>
    <t>Suction Coalescing Filter Differential Pressure - PV Maximum Scaled Value</t>
  </si>
  <si>
    <t>Suction Coalescing Filter Differential Pressure - PV Minimum Scaled Value</t>
  </si>
  <si>
    <t>pit_128</t>
  </si>
  <si>
    <t>PIT-128</t>
  </si>
  <si>
    <t>Gas Cooler Outlet Pressure</t>
  </si>
  <si>
    <t>AlarmH.ALM[0].7</t>
  </si>
  <si>
    <t>Gas Cooler Outlet Pressure - High Alarm</t>
  </si>
  <si>
    <t>AlarmH.ALM[0].8</t>
  </si>
  <si>
    <t>Oil/Gas Separator Coalescer Differential Pressure - High Alarm</t>
  </si>
  <si>
    <t>AlarmH_TMR[8]</t>
  </si>
  <si>
    <t>Oil/Gas Separator Coalescer Differential Pressure - High Alarm Delay</t>
  </si>
  <si>
    <t>AlarmH_SP[8]</t>
  </si>
  <si>
    <t>Oil/Gas Separator Coalescer Differential Pressure - High Alarm Setpoint</t>
  </si>
  <si>
    <t>AlarmH.ALM[0].9</t>
  </si>
  <si>
    <t>Suction Coalescing Filter Inlet Pressure - High Alarm</t>
  </si>
  <si>
    <t>AlarmHH_TMR[8]</t>
  </si>
  <si>
    <t>Oil/Gas Separator Coalescer Differential Pressure - High High Alarm Delay</t>
  </si>
  <si>
    <t>AlarmHH_SP[8]</t>
  </si>
  <si>
    <t>Oil/Gas Separator Coalescer Differential Pressure - High High Alarm Setpoint</t>
  </si>
  <si>
    <t>AI[8]</t>
  </si>
  <si>
    <t>Oil/Gas Separator Coalescer Differential Pressure - Process Value</t>
  </si>
  <si>
    <t>Local:3:C.Ch8Config.HighEngineering</t>
  </si>
  <si>
    <t>Oil/Gas Separator Coalescer Differential Pressure - PV Maximum Scaled Value</t>
  </si>
  <si>
    <t>Local:3:C.Ch8Config.LowEngineering</t>
  </si>
  <si>
    <t>Oil/Gas Separator Coalescer Differential Pressure - PV Minimum Scaled Value</t>
  </si>
  <si>
    <t>AlarmH.ALM[1].1</t>
  </si>
  <si>
    <t>Discharge Scrubber Level - High Alarm</t>
  </si>
  <si>
    <t>AlarmH.ALM[1].2</t>
  </si>
  <si>
    <t>AlarmH_TMR[9]</t>
  </si>
  <si>
    <t>Suction Coalescing Filter Inlet Pressure - High Alarm Delay</t>
  </si>
  <si>
    <t>AlarmH_SP[9]</t>
  </si>
  <si>
    <t>Suction Coalescing Filter Inlet Pressure - High Alarm Setpoint</t>
  </si>
  <si>
    <t>AlarmH.ALM[1].5</t>
  </si>
  <si>
    <t>Drain Tank Level Switch High - Alarm</t>
  </si>
  <si>
    <t>AlarmHH_TMR[9]</t>
  </si>
  <si>
    <t>Suction Coalescing Filter Inlet Pressure - High High Alarm Delay</t>
  </si>
  <si>
    <t>AlarmHH_SP[9]</t>
  </si>
  <si>
    <t>Suction Coalescing Filter Inlet Pressure - High High Alarm Setpoint</t>
  </si>
  <si>
    <t>AlarmH_TMR[51]</t>
  </si>
  <si>
    <t>Motor Winding 2 Temperature - High Alarm Delay</t>
  </si>
  <si>
    <t>AlarmL_TMR[9]</t>
  </si>
  <si>
    <t>Suction Coalescing Filter Inlet Pressure - Low Alarm Delay</t>
  </si>
  <si>
    <t>AlarmL_SP[9]</t>
  </si>
  <si>
    <t>Suction Coalescing Filter Inlet Pressure - Low Alarm Setpoint</t>
  </si>
  <si>
    <t>AlarmH_SP[51]</t>
  </si>
  <si>
    <t>Motor Winding 2 Temperature - High Alarm Setpoint</t>
  </si>
  <si>
    <t>AlarmLL_TMR[9]</t>
  </si>
  <si>
    <t>Suction Coalescing Filter Inlet Pressure - Low Low Alarm Delay</t>
  </si>
  <si>
    <t>AlarmLL_SP[9]</t>
  </si>
  <si>
    <t>Suction Coalescing Filter Inlet Pressure - Low Low Alarm Setpoint</t>
  </si>
  <si>
    <t>AI[9]</t>
  </si>
  <si>
    <t>Suction Coalescing Filter Inlet Pressure - Process Value</t>
  </si>
  <si>
    <t>Local:4:C.Ch8Config.HighEngineering</t>
  </si>
  <si>
    <t>Suction Coalescing Filter Inlet Pressure - PV Maximum Scaled Value</t>
  </si>
  <si>
    <t>Local:4:C.Ch8Config.LowEngineering</t>
  </si>
  <si>
    <t>Suction Coalescing Filter Inlet Pressure - PV Minimum Scaled Value</t>
  </si>
  <si>
    <t>AlarmHH_TMR[51]</t>
  </si>
  <si>
    <t>Motor Winding 2 Temperature - High High Alarm Delay</t>
  </si>
  <si>
    <t>AlarmHH_SP[51]</t>
  </si>
  <si>
    <t>Motor Winding 2 Temperature - High High Alarm Setpoint</t>
  </si>
  <si>
    <t>AlarmH_TMR[0]</t>
  </si>
  <si>
    <t>Compressor Suction Pressure - High Alarm Delay</t>
  </si>
  <si>
    <t>AlarmH_SP[0]</t>
  </si>
  <si>
    <t>Compressor Suction Pressure - High Alarm Setpoint</t>
  </si>
  <si>
    <t>Multilin_RTD[1]</t>
  </si>
  <si>
    <t>Motor Winding 2 Temperature - Process Value</t>
  </si>
  <si>
    <t>AlarmHH_TMR[0]</t>
  </si>
  <si>
    <t>Compressor Suction Pressure - High High Alarm Delay</t>
  </si>
  <si>
    <t>AlarmHH_SP[0]</t>
  </si>
  <si>
    <t>Compressor Suction Pressure - High High Alarm Setpoint</t>
  </si>
  <si>
    <t>AlarmL_TMR[0]</t>
  </si>
  <si>
    <t>Compressor Suction Pressure - Low Alarm Delay</t>
  </si>
  <si>
    <t>AlarmL_SP[0]</t>
  </si>
  <si>
    <t>Compressor Suction Pressure - Low Alarm Setpoint</t>
  </si>
  <si>
    <t>te_111c</t>
  </si>
  <si>
    <t>TE-111C</t>
  </si>
  <si>
    <t>Motor Winding 3 Temperature</t>
  </si>
  <si>
    <t>AlarmHH.ALM[1].20</t>
  </si>
  <si>
    <t>TAHH-111C</t>
  </si>
  <si>
    <t>Motor Winding 3 Temperature - High High Alarm</t>
  </si>
  <si>
    <t>AlarmLL_TMR[0]</t>
  </si>
  <si>
    <t>Compressor Suction Pressure - Low Low Alarm Delay</t>
  </si>
  <si>
    <t>AlarmLL_SP[0]</t>
  </si>
  <si>
    <t>Compressor Suction Pressure - Low Low Alarm Setpoint</t>
  </si>
  <si>
    <t>AI[0]</t>
  </si>
  <si>
    <t>Compressor Suction Pressure - Process Value</t>
  </si>
  <si>
    <t>Compressor Suction Pressure - PV Maximum Scaled Value</t>
  </si>
  <si>
    <t>Compressor Suction Pressure - PV Minimum Scaled Value</t>
  </si>
  <si>
    <t>AlarmH.ALM[1].20</t>
  </si>
  <si>
    <t>Motor Winding 3 Temperature - High Alarm</t>
  </si>
  <si>
    <t>AlarmH_TMR[52]</t>
  </si>
  <si>
    <t>Motor Winding 3 Temperature - High Alarm Delay</t>
  </si>
  <si>
    <t>AlarmH_TMR[1]</t>
  </si>
  <si>
    <t>Compressor Discharge Pressure - High Alarm Delay</t>
  </si>
  <si>
    <t>AlarmH_SP[1]</t>
  </si>
  <si>
    <t>Compressor Discharge Pressure - High Alarm Setpoint</t>
  </si>
  <si>
    <t>AlarmH_SP[52]</t>
  </si>
  <si>
    <t>Motor Winding 3 Temperature - High Alarm Setpoint</t>
  </si>
  <si>
    <t>AlarmHH_TMR[1]</t>
  </si>
  <si>
    <t>Compressor Discharge Pressure - High High Alarm Delay</t>
  </si>
  <si>
    <t>AlarmHH_SP[1]</t>
  </si>
  <si>
    <t>Compressor Discharge Pressure - High High Alarm Setpoint</t>
  </si>
  <si>
    <t>AlarmL_TMR[1]</t>
  </si>
  <si>
    <t>Compressor Discharge Pressure - Low Alarm Delay</t>
  </si>
  <si>
    <t>AlarmL_SP[1]</t>
  </si>
  <si>
    <t>Compressor Discharge Pressure - Low Alarm Setpoint</t>
  </si>
  <si>
    <t>AlarmLL_TMR[1]</t>
  </si>
  <si>
    <t>Compressor Discharge Pressure - Low Low Alarm Delay</t>
  </si>
  <si>
    <t>AlarmLL_SP[1]</t>
  </si>
  <si>
    <t>Compressor Discharge Pressure - Low Low Alarm Setpoint</t>
  </si>
  <si>
    <t>AI[1]</t>
  </si>
  <si>
    <t>Compressor Discharge Pressure - Process Value</t>
  </si>
  <si>
    <t>Compressor Discharge Pressure - PV Maximum Scaled Value</t>
  </si>
  <si>
    <t>Compressor Discharge Pressure - PV Minimum Scaled Value</t>
  </si>
  <si>
    <t>pit_120</t>
  </si>
  <si>
    <t>PIT-120</t>
  </si>
  <si>
    <t>Lube Oil Filter Inlet Pressure</t>
  </si>
  <si>
    <t>AI[3]</t>
  </si>
  <si>
    <t>Lube Oil Filter Inlet Pressure - Process Value</t>
  </si>
  <si>
    <t>Lube Oil Filter Inlet Pressure - PV Maximum Scaled Value</t>
  </si>
  <si>
    <t>Lube Oil Filter Inlet Pressure - PV Minimum Scaled Value</t>
  </si>
  <si>
    <t>Oil_Circuit.Missing_Oil_Press_Alarm_Timer</t>
  </si>
  <si>
    <t>Lube Oil Supply Pressure - Low Alarm Delay</t>
  </si>
  <si>
    <t>Oil_Circuit.Missing_Oil_Press_Calc_Alarm_SP</t>
  </si>
  <si>
    <t>Lube Oil Supply Pressure - Low Alarm Setpoint</t>
  </si>
  <si>
    <t>Oil_Circuit.Missing_Oil_Press_Shutdown_Timer2</t>
  </si>
  <si>
    <t>Lube Oil Supply Pressure - Low Low Alarm 1 Delay</t>
  </si>
  <si>
    <t>Oil_Circuit.Missing_Oil_Press_Calc_Shutdown_SP</t>
  </si>
  <si>
    <t>Lube Oil Supply Pressure - Low Low Alarm 1 Setpoint</t>
  </si>
  <si>
    <t>Oil_Circuit.Insuff_Oil_Press_Shutdown_Timer</t>
  </si>
  <si>
    <t>Lube Oil Supply Pressure - Low Low Alarm 2 Delay</t>
  </si>
  <si>
    <t>Oil_Circuit.Insuff_Oil_Press_Calc_Shutdown_SP</t>
  </si>
  <si>
    <t>Lube Oil Supply Pressure - Low Low Alarm 2 Setpoint</t>
  </si>
  <si>
    <t>Oil_Circuit.Missing_Oil_Press_Shutdown_Timer1</t>
  </si>
  <si>
    <t>Lube Oil Supply Pressure - Low Low Alarm Delay</t>
  </si>
  <si>
    <t>Lube Oil Supply Pressure - Low Low Alarm Setpoint</t>
  </si>
  <si>
    <t>AI[2]</t>
  </si>
  <si>
    <t>Lube Oil Supply Pressure - Process Value</t>
  </si>
  <si>
    <t>Lube Oil Supply Pressure - PV Maximum Scaled Value</t>
  </si>
  <si>
    <t>Lube Oil Supply Pressure - PV Minimum Scaled Value</t>
  </si>
  <si>
    <t>AlarmH_TMR[6]</t>
  </si>
  <si>
    <t>Oil/Gas Separator Outlet Pressure - High Alarm Delay</t>
  </si>
  <si>
    <t>AlarmH_SP[6]</t>
  </si>
  <si>
    <t>Oil/Gas Separator Outlet Pressure - High Alarm Setpoint</t>
  </si>
  <si>
    <t>AI[6]</t>
  </si>
  <si>
    <t>Oil/Gas Separator Outlet Pressure - Process Value</t>
  </si>
  <si>
    <t>Oil/Gas Separator Outlet Pressure - PV Maximum Scaled Value</t>
  </si>
  <si>
    <t>Oil/Gas Separator Outlet Pressure - PV Minimum Scaled Value</t>
  </si>
  <si>
    <t>AlarmH_TMR[7]</t>
  </si>
  <si>
    <t>Gas Cooler Outlet Pressure - High Alarm Delay</t>
  </si>
  <si>
    <t>AlarmH_SP[7]</t>
  </si>
  <si>
    <t>Gas Cooler Outlet Pressure - High Alarm Setpoint</t>
  </si>
  <si>
    <t>AI[7]</t>
  </si>
  <si>
    <t>Gas Cooler Outlet Pressure - Process Value</t>
  </si>
  <si>
    <t>Gas Cooler Outlet Pressure - PV Maximum Scaled Value</t>
  </si>
  <si>
    <t>Gas Cooler Outlet Pressure - PV Minimum Scaled Value</t>
  </si>
  <si>
    <t>pit_200</t>
  </si>
  <si>
    <t>PIT-200</t>
  </si>
  <si>
    <t>Condensate Pumps Discharge Header Pressure</t>
  </si>
  <si>
    <t>AI[16]</t>
  </si>
  <si>
    <t>Condensate Pumps Discharge Header Pressure - Process Value</t>
  </si>
  <si>
    <t>Local:4:C.Ch6Config.HighEngineering</t>
  </si>
  <si>
    <t>Condensate Pumps Discharge Header Pressure - PV Maximum Scaled Value</t>
  </si>
  <si>
    <t>Local:4:C.Ch6Config.LowEngineering</t>
  </si>
  <si>
    <t>Condensate Pumps Discharge Header Pressure - PV Minimum Scaled Value</t>
  </si>
  <si>
    <t>AlarmH_TMR[25]</t>
  </si>
  <si>
    <t>Site Instrument Air Pressure - High Alarm Delay</t>
  </si>
  <si>
    <t>AlarmH_SP[25]</t>
  </si>
  <si>
    <t>Site Instrument Air Pressure - High Alarm Setpoint</t>
  </si>
  <si>
    <t>AlarmL_TMR[25]</t>
  </si>
  <si>
    <t>AlarmL_SP[25]</t>
  </si>
  <si>
    <t>AI[25]</t>
  </si>
  <si>
    <t>pit_700</t>
  </si>
  <si>
    <t>PIT-700</t>
  </si>
  <si>
    <t>Site Inlet Pressure</t>
  </si>
  <si>
    <t>AI[17]</t>
  </si>
  <si>
    <t>Site Inlet Pressure - Process Value</t>
  </si>
  <si>
    <t>Local:4:C.Ch14Config.HighEngineering</t>
  </si>
  <si>
    <t>Site Inlet Pressure - PV Maximum Scaled Value</t>
  </si>
  <si>
    <t>Local:4:C.Ch14Config.LowEngineering</t>
  </si>
  <si>
    <t>Site Inlet Pressure - PV Minimum Scaled Value</t>
  </si>
  <si>
    <t>PLC-K122</t>
  </si>
  <si>
    <t>Compressor PLC</t>
  </si>
  <si>
    <t>1=Alarm Reset</t>
  </si>
  <si>
    <t>Remote.Alarm_Reset</t>
  </si>
  <si>
    <t>Compressor PLC - Alarm Reset</t>
  </si>
  <si>
    <t>maintenance</t>
  </si>
  <si>
    <t>core/timers/tmr_sp_remaining</t>
  </si>
  <si>
    <t>tmr_remaining_path</t>
  </si>
  <si>
    <t>Maintenance Bypass</t>
  </si>
  <si>
    <t>M_Bypass_Rem</t>
  </si>
  <si>
    <t>Compressor PLC - Maintenance Bypass</t>
  </si>
  <si>
    <t>tmr_preset_path</t>
  </si>
  <si>
    <t>M_Bypass_PRE</t>
  </si>
  <si>
    <t>Maintenance Bypass Status</t>
  </si>
  <si>
    <t>0=Normal;1=Maintenance Bypass Active</t>
  </si>
  <si>
    <t>M_Bypass</t>
  </si>
  <si>
    <t>Compressor PLC - Maintenance Bypass Status</t>
  </si>
  <si>
    <t>AlarmD_TMR[6]</t>
  </si>
  <si>
    <t>PLC Cabinet Purge Air Pressure Switch Low - Alarm Delay</t>
  </si>
  <si>
    <t>1=Ok;0=Low Pressure</t>
  </si>
  <si>
    <t>DI_Enclosure_Press_LSL</t>
  </si>
  <si>
    <t>PLC Cabinet Purge Air Pressure Switch Low - Input</t>
  </si>
  <si>
    <t>tcv_127</t>
  </si>
  <si>
    <t>TCV-127</t>
  </si>
  <si>
    <t>Gas Cooler Louvers</t>
  </si>
  <si>
    <t>Gas_Cooler_TCV.PID_Manual</t>
  </si>
  <si>
    <t>Gas Cooler Louvers - Auto/Manual Mode</t>
  </si>
  <si>
    <t>Gas_Cooler_TCV.PID.OUT</t>
  </si>
  <si>
    <t>Gas Cooler Louvers - Control Variable</t>
  </si>
  <si>
    <t>Gas_Cooler_TCV.PID.KD</t>
  </si>
  <si>
    <t>Gas Cooler Louvers - Derivative</t>
  </si>
  <si>
    <t>Gas_Cooler_TCV.PID.KI</t>
  </si>
  <si>
    <t>Gas Cooler Louvers - Integral</t>
  </si>
  <si>
    <t>Gas_Cooler_TCV.PID_Manual_Output</t>
  </si>
  <si>
    <t>Gas Cooler Louvers - Manual Output</t>
  </si>
  <si>
    <t>Gas_Cooler_TCV.PID_Max</t>
  </si>
  <si>
    <t>Gas Cooler Louvers - Maximum CV</t>
  </si>
  <si>
    <t>Gas_Cooler_TCV.PID_Min</t>
  </si>
  <si>
    <t>Gas Cooler Louvers - Minimum CV</t>
  </si>
  <si>
    <t>Gas_Cooler_TCV.PID.PV</t>
  </si>
  <si>
    <t>Gas Cooler Louvers - Process Variable</t>
  </si>
  <si>
    <t>Gas_Cooler_TCV.PID.KP</t>
  </si>
  <si>
    <t>Gas Cooler Louvers - Proportional</t>
  </si>
  <si>
    <t>Gas_Cooler_TCV.PID.SP</t>
  </si>
  <si>
    <t>Gas Cooler Louvers - Setpoint</t>
  </si>
  <si>
    <t>tcv_143</t>
  </si>
  <si>
    <t>TCV-143</t>
  </si>
  <si>
    <t>Oil Injection Temperature Control Valve</t>
  </si>
  <si>
    <t>Oil_Injection_TCV.PID_Manual</t>
  </si>
  <si>
    <t>Oil Injection Temperature Control Valve - Auto/Manual Mode</t>
  </si>
  <si>
    <t>Oil_Injection_TCV.PID.OUT</t>
  </si>
  <si>
    <t>Oil Injection Temperature Control Valve - Control Variable</t>
  </si>
  <si>
    <t>Oil_Injection_TCV.PID.KD</t>
  </si>
  <si>
    <t>Oil Injection Temperature Control Valve - Derivative</t>
  </si>
  <si>
    <t>Oil_Injection_TCV.PID.KI</t>
  </si>
  <si>
    <t>Oil Injection Temperature Control Valve - Integral</t>
  </si>
  <si>
    <t>Oil_Injection_TCV.PID_Manual_Output</t>
  </si>
  <si>
    <t>Oil Injection Temperature Control Valve - Manual Output</t>
  </si>
  <si>
    <t>Oil_Injection_TCV.PID_Max</t>
  </si>
  <si>
    <t>Oil Injection Temperature Control Valve - Maximum CV</t>
  </si>
  <si>
    <t>Oil_Injection_TCV.PID_Min</t>
  </si>
  <si>
    <t>Oil Injection Temperature Control Valve - Minimum CV</t>
  </si>
  <si>
    <t>Oil_Injection_TCV.PID.PV</t>
  </si>
  <si>
    <t>Oil Injection Temperature Control Valve - Process Variable</t>
  </si>
  <si>
    <t>Oil_Injection_TCV.PID.KP</t>
  </si>
  <si>
    <t>Oil Injection Temperature Control Valve - Proportional</t>
  </si>
  <si>
    <t>Oil_Injection_TCV.PID.SP</t>
  </si>
  <si>
    <t>Oil Injection Temperature Control Valve - Setpoint</t>
  </si>
  <si>
    <t>AlarmH_TMR[10]</t>
  </si>
  <si>
    <t>Compressor Suction Temperature - High Alarm Delay</t>
  </si>
  <si>
    <t>AlarmH_SP[10]</t>
  </si>
  <si>
    <t>Compressor Suction Temperature - High Alarm Setpoint</t>
  </si>
  <si>
    <t>AlarmHH_TMR[10]</t>
  </si>
  <si>
    <t>Compressor Suction Temperature - High High Alarm Delay</t>
  </si>
  <si>
    <t>AlarmHH_SP[10]</t>
  </si>
  <si>
    <t>Compressor Suction Temperature - High High Alarm Setpoint</t>
  </si>
  <si>
    <t>AlarmL_TMR[10]</t>
  </si>
  <si>
    <t>Compressor Suction Temperature - Low Alarm Delay</t>
  </si>
  <si>
    <t>AlarmL_SP[10]</t>
  </si>
  <si>
    <t>Compressor Suction Temperature - Low Alarm Setpoint</t>
  </si>
  <si>
    <t>AlarmLL_TMR[10]</t>
  </si>
  <si>
    <t>Compressor Suction Temperature - Low Low Alarm Delay</t>
  </si>
  <si>
    <t>AlarmLL_SP[10]</t>
  </si>
  <si>
    <t>Compressor Suction Temperature - Low Low Alarm Setpoint</t>
  </si>
  <si>
    <t>AI[10]</t>
  </si>
  <si>
    <t>Compressor Suction Temperature - Process Value</t>
  </si>
  <si>
    <t>Compressor Suction Temperature - PV Maximum Scaled Value</t>
  </si>
  <si>
    <t>Compressor Suction Temperature - PV Minimum Scaled Value</t>
  </si>
  <si>
    <t>AlarmL.ALM[0].0</t>
  </si>
  <si>
    <t>Compressor Suction Pressure - Low Alarm</t>
  </si>
  <si>
    <t>AlarmHH_TMR[52]</t>
  </si>
  <si>
    <t>Motor Winding 3 Temperature - High High Alarm Delay</t>
  </si>
  <si>
    <t>AlarmHH_SP[52]</t>
  </si>
  <si>
    <t>Motor Winding 3 Temperature - High High Alarm Setpoint</t>
  </si>
  <si>
    <t>AlarmL.ALM[0].1</t>
  </si>
  <si>
    <t>Compressor Discharge Pressure - Low Alarm</t>
  </si>
  <si>
    <t>Multilin_RTD[2]</t>
  </si>
  <si>
    <t>Motor Winding 3 Temperature - Process Value</t>
  </si>
  <si>
    <t>te_111d</t>
  </si>
  <si>
    <t>TE-111D</t>
  </si>
  <si>
    <t>AlarmHH.ALM[1].21</t>
  </si>
  <si>
    <t>TAHH-111D</t>
  </si>
  <si>
    <t>AlarmL.ALM[0].10</t>
  </si>
  <si>
    <t>Compressor Suction Temperature - Low Alarm</t>
  </si>
  <si>
    <t>AlarmH.ALM[1].21</t>
  </si>
  <si>
    <t>AlarmH_TMR[53]</t>
  </si>
  <si>
    <t>AlarmL.ALM[0].11</t>
  </si>
  <si>
    <t>Compressor Discharge Temperature - Low Alarm</t>
  </si>
  <si>
    <t>AlarmH_SP[53]</t>
  </si>
  <si>
    <t>AlarmHH_TMR[53]</t>
  </si>
  <si>
    <t>AlarmHH_SP[53]</t>
  </si>
  <si>
    <t>AlarmL.ALM[0].12</t>
  </si>
  <si>
    <t>Lube Oil Injection Temperature - Low Alarm</t>
  </si>
  <si>
    <t>Multilin_RTD[3]</t>
  </si>
  <si>
    <t>AlarmL.ALM[0].13</t>
  </si>
  <si>
    <t>Oil/Gas Separator Oil Temperature - Low Alarm</t>
  </si>
  <si>
    <t>te_111e</t>
  </si>
  <si>
    <t>TE-111E</t>
  </si>
  <si>
    <t>AlarmHH.ALM[1].22</t>
  </si>
  <si>
    <t>TAHH-111E</t>
  </si>
  <si>
    <t>AlarmH.ALM[1].22</t>
  </si>
  <si>
    <t>AlarmH_TMR[54]</t>
  </si>
  <si>
    <t>AlarmL.ALM[0].25</t>
  </si>
  <si>
    <t>AlarmH_SP[54]</t>
  </si>
  <si>
    <t>AlarmHH_TMR[54]</t>
  </si>
  <si>
    <t>AlarmL.ALM[0].9</t>
  </si>
  <si>
    <t>Suction Coalescing Filter Inlet Pressure - Low Alarm</t>
  </si>
  <si>
    <t>AlarmHH_SP[54]</t>
  </si>
  <si>
    <t>Multilin_RTD[4]</t>
  </si>
  <si>
    <t>AlarmL.ALM[1].1</t>
  </si>
  <si>
    <t>Discharge Scrubber Level - Low Alarm</t>
  </si>
  <si>
    <t>te_111f</t>
  </si>
  <si>
    <t>TE-111F</t>
  </si>
  <si>
    <t>AlarmHH.ALM[1].23</t>
  </si>
  <si>
    <t>TAHH-111F</t>
  </si>
  <si>
    <t>AlarmH.ALM[1].23</t>
  </si>
  <si>
    <t>AlarmL.ALM[1].10</t>
  </si>
  <si>
    <t>Condensate Pump Flow - Low Low Alarm 1</t>
  </si>
  <si>
    <t>AlarmH_TMR[55]</t>
  </si>
  <si>
    <t>AlarmH_SP[55]</t>
  </si>
  <si>
    <t>AlarmHH_TMR[55]</t>
  </si>
  <si>
    <t>AlarmL.ALM[1].11</t>
  </si>
  <si>
    <t>Condensate Pump Flow - Low Low Alarm 2</t>
  </si>
  <si>
    <t>AlarmHH_SP[55]</t>
  </si>
  <si>
    <t>Multilin_RTD[5]</t>
  </si>
  <si>
    <t>AlarmL.ALM[1].2</t>
  </si>
  <si>
    <t>Slug Catcher Level Switch Low Low - Alarm</t>
  </si>
  <si>
    <t>te_111g</t>
  </si>
  <si>
    <t>TE-111G</t>
  </si>
  <si>
    <t>Motor Outboard Bearing Temperature</t>
  </si>
  <si>
    <t>AlarmHH.ALM[1].24</t>
  </si>
  <si>
    <t>TAHH-111G</t>
  </si>
  <si>
    <t>Motor Outboard Bearing Temperature - High High Alarm</t>
  </si>
  <si>
    <t>AlarmH.ALM[1].24</t>
  </si>
  <si>
    <t>Motor Outboard Bearing Temperature - High Alarm</t>
  </si>
  <si>
    <t>AlarmL.ALM[1].9</t>
  </si>
  <si>
    <t>Condensate Pump Flow - Low Low Alarm</t>
  </si>
  <si>
    <t>AlarmH_TMR[56]</t>
  </si>
  <si>
    <t>Motor Outboard Bearing Temperature - High Alarm Delay</t>
  </si>
  <si>
    <t>AlarmH_SP[56]</t>
  </si>
  <si>
    <t>Motor Outboard Bearing Temperature - High Alarm Setpoint</t>
  </si>
  <si>
    <t>AlarmHH_TMR[56]</t>
  </si>
  <si>
    <t>Motor Outboard Bearing Temperature - High High Alarm Delay</t>
  </si>
  <si>
    <t>AlarmHH_SP[56]</t>
  </si>
  <si>
    <t>Motor Outboard Bearing Temperature - High High Alarm Setpoint</t>
  </si>
  <si>
    <t>Multilin_RTD[6]</t>
  </si>
  <si>
    <t>Motor Outboard Bearing Temperature - Process Value</t>
  </si>
  <si>
    <t>te_111h</t>
  </si>
  <si>
    <t>TE-111H</t>
  </si>
  <si>
    <t>AlarmHH.ALM[1].25</t>
  </si>
  <si>
    <t>TAHH-111H</t>
  </si>
  <si>
    <t>AlarmH.ALM[1].25</t>
  </si>
  <si>
    <t>AlarmH_TMR[57]</t>
  </si>
  <si>
    <t>AlarmH_SP[57]</t>
  </si>
  <si>
    <t>AlarmHH_TMR[57]</t>
  </si>
  <si>
    <t>AlarmHH_SP[57]</t>
  </si>
  <si>
    <t>Multilin_RTD[7]</t>
  </si>
  <si>
    <t>te_111j</t>
  </si>
  <si>
    <t>TE-111J</t>
  </si>
  <si>
    <t>Motor Inboard Bearing Temperature</t>
  </si>
  <si>
    <t>AlarmHH.ALM[1].26</t>
  </si>
  <si>
    <t>TAHH-111J</t>
  </si>
  <si>
    <t>Motor Inboard Bearing Temperature - High High Alarm</t>
  </si>
  <si>
    <t>AlarmH.ALM[1].26</t>
  </si>
  <si>
    <t>Motor Inboard Bearing Temperature - High Alarm</t>
  </si>
  <si>
    <t>AlarmH_TMR[58]</t>
  </si>
  <si>
    <t>Motor Inboard Bearing Temperature - High Alarm Delay</t>
  </si>
  <si>
    <t>AlarmH_SP[58]</t>
  </si>
  <si>
    <t>Motor Inboard Bearing Temperature - High Alarm Setpoint</t>
  </si>
  <si>
    <t>AlarmHH_TMR[58]</t>
  </si>
  <si>
    <t>Motor Inboard Bearing Temperature - High High Alarm Delay</t>
  </si>
  <si>
    <t>AlarmHH_SP[58]</t>
  </si>
  <si>
    <t>Motor Inboard Bearing Temperature - High High Alarm Setpoint</t>
  </si>
  <si>
    <t>AlarmH_TMR[11]</t>
  </si>
  <si>
    <t>Compressor Discharge Temperature - High Alarm Delay</t>
  </si>
  <si>
    <t>AlarmH_SP[11]</t>
  </si>
  <si>
    <t>Compressor Discharge Temperature - High Alarm Setpoint</t>
  </si>
  <si>
    <t>Transmitter Fail</t>
  </si>
  <si>
    <t>AlarmXMTR.ALM[0].0</t>
  </si>
  <si>
    <t>Compressor Suction Pressure - Transmitter Fail</t>
  </si>
  <si>
    <t>AlarmHH_TMR[11]</t>
  </si>
  <si>
    <t>Compressor Discharge Temperature - High High Alarm Delay</t>
  </si>
  <si>
    <t>AlarmHH_SP[11]</t>
  </si>
  <si>
    <t>Compressor Discharge Temperature - High High Alarm Setpoint</t>
  </si>
  <si>
    <t>AlarmXMTR.ALM[0].1</t>
  </si>
  <si>
    <t>Compressor Discharge Pressure - Transmitter Fail</t>
  </si>
  <si>
    <t>AlarmL_TMR[11]</t>
  </si>
  <si>
    <t>Compressor Discharge Temperature - Low Alarm Delay</t>
  </si>
  <si>
    <t>AlarmL_SP[11]</t>
  </si>
  <si>
    <t>Compressor Discharge Temperature - Low Alarm Setpoint</t>
  </si>
  <si>
    <t>AlarmXMTR.ALM[0].10</t>
  </si>
  <si>
    <t>Compressor Suction Temperature - Transmitter Fail</t>
  </si>
  <si>
    <t>AlarmLL_TMR[11]</t>
  </si>
  <si>
    <t>Compressor Discharge Temperature - Low Low Alarm Delay</t>
  </si>
  <si>
    <t>AlarmLL_SP[11]</t>
  </si>
  <si>
    <t>Compressor Discharge Temperature - Low Low Alarm Setpoint</t>
  </si>
  <si>
    <t>AI[11]</t>
  </si>
  <si>
    <t>Compressor Discharge Temperature - Process Value</t>
  </si>
  <si>
    <t>Local:3:C.Ch12Config.HighEngineering</t>
  </si>
  <si>
    <t>Compressor Discharge Temperature - PV Maximum Scaled Value</t>
  </si>
  <si>
    <t>Local:3:C.Ch12Config.LowEngineering</t>
  </si>
  <si>
    <t>Compressor Discharge Temperature - PV Minimum Scaled Value</t>
  </si>
  <si>
    <t>AlarmXMTR.ALM[0].11</t>
  </si>
  <si>
    <t>Compressor Discharge Temperature - Transmitter Fail</t>
  </si>
  <si>
    <t>AlarmXMTR.ALM[0].12</t>
  </si>
  <si>
    <t>Lube Oil Injection Temperature - Transmitter Fail</t>
  </si>
  <si>
    <t>AlarmH_TMR[13]</t>
  </si>
  <si>
    <t>Oil/Gas Separator Oil Temperature - High Alarm Delay</t>
  </si>
  <si>
    <t>AlarmH_SP[13]</t>
  </si>
  <si>
    <t>Oil/Gas Separator Oil Temperature - High Alarm Setpoint</t>
  </si>
  <si>
    <t>AlarmXMTR.ALM[0].13</t>
  </si>
  <si>
    <t>Oil/Gas Separator Oil Temperature - Transmitter Fail</t>
  </si>
  <si>
    <t>AlarmHH_TMR[13]</t>
  </si>
  <si>
    <t>Oil/Gas Separator Oil Temperature - High High Alarm Delay</t>
  </si>
  <si>
    <t>AlarmHH_SP[13]</t>
  </si>
  <si>
    <t>Oil/Gas Separator Oil Temperature - High High Alarm Setpoint</t>
  </si>
  <si>
    <t>AlarmXMTR.ALM[0].16</t>
  </si>
  <si>
    <t>Condensate Pumps Discharge Header Pressure - Transmitter Fail</t>
  </si>
  <si>
    <t>AlarmL_TMR[13]</t>
  </si>
  <si>
    <t>Oil/Gas Separator Oil Temperature - Low Alarm Delay</t>
  </si>
  <si>
    <t>AlarmL_SP[13]</t>
  </si>
  <si>
    <t>Oil/Gas Separator Oil Temperature - Low Alarm Setpoint</t>
  </si>
  <si>
    <t>AlarmXMTR.ALM[0].2</t>
  </si>
  <si>
    <t>Lube Oil Supply Pressure - Transmitter Fail</t>
  </si>
  <si>
    <t>AlarmLL_TMR[13]</t>
  </si>
  <si>
    <t>Oil/Gas Separator Oil Temperature - Low Low Alarm Delay</t>
  </si>
  <si>
    <t>AlarmLL_SP[13]</t>
  </si>
  <si>
    <t>Oil/Gas Separator Oil Temperature - Low Low Alarm Setpoint</t>
  </si>
  <si>
    <t>AI[13]</t>
  </si>
  <si>
    <t>Oil/Gas Separator Oil Temperature - Process Value</t>
  </si>
  <si>
    <t>Local:3:C.Ch13Config.HighEngineering</t>
  </si>
  <si>
    <t>Oil/Gas Separator Oil Temperature - PV Maximum Scaled Value</t>
  </si>
  <si>
    <t>Local:3:C.Ch13Config.LowEngineering</t>
  </si>
  <si>
    <t>Oil/Gas Separator Oil Temperature - PV Minimum Scaled Value</t>
  </si>
  <si>
    <t>position_fail</t>
  </si>
  <si>
    <t>Position Feedback Transmitter Fail</t>
  </si>
  <si>
    <t>AlarmXMTR.ALM[0].20</t>
  </si>
  <si>
    <t>Slide Stop - Position Feedback Transmitter Fail</t>
  </si>
  <si>
    <t>AlarmXMTR.ALM[0].21</t>
  </si>
  <si>
    <t>Slide Valve - Position Feedback Transmitter Fail</t>
  </si>
  <si>
    <t>AlarmH_TMR[12]</t>
  </si>
  <si>
    <t>Lube Oil Injection Temperature - High Alarm Delay</t>
  </si>
  <si>
    <t>AlarmH_SP[12]</t>
  </si>
  <si>
    <t>Lube Oil Injection Temperature - High Alarm Setpoint</t>
  </si>
  <si>
    <t>AlarmXMTR.ALM[0].22</t>
  </si>
  <si>
    <t>Compressor Motor Current - Transmitter Fail</t>
  </si>
  <si>
    <t>AlarmHH_TMR[12]</t>
  </si>
  <si>
    <t>Lube Oil Injection Temperature - High High Alarm Delay</t>
  </si>
  <si>
    <t>AlarmHH_SP[12]</t>
  </si>
  <si>
    <t>Lube Oil Injection Temperature - High High Alarm Setpoint</t>
  </si>
  <si>
    <t>AlarmXMTR.ALM[0].23</t>
  </si>
  <si>
    <t>Compressor Inboard Bearing Vibration - Transmitter Fail</t>
  </si>
  <si>
    <t>AlarmL_TMR[12]</t>
  </si>
  <si>
    <t>Lube Oil Injection Temperature - Low Alarm Delay</t>
  </si>
  <si>
    <t>AlarmL_SP[12]</t>
  </si>
  <si>
    <t>Lube Oil Injection Temperature - Low Alarm Setpoint</t>
  </si>
  <si>
    <t>AlarmXMTR.ALM[0].24</t>
  </si>
  <si>
    <t>Compressor Outboard Bearing Vibration - Transmitter Fail</t>
  </si>
  <si>
    <t>AlarmLL_TMR[12]</t>
  </si>
  <si>
    <t>Lube Oil Injection Temperature - Low Low Alarm Delay</t>
  </si>
  <si>
    <t>AlarmLL_SP[12]</t>
  </si>
  <si>
    <t>Lube Oil Injection Temperature - Low Low Alarm Setpoint</t>
  </si>
  <si>
    <t>AI[12]</t>
  </si>
  <si>
    <t>Lube Oil Injection Temperature - Process Value</t>
  </si>
  <si>
    <t>Local:4:C.Ch11Config.HighEngineering</t>
  </si>
  <si>
    <t>Lube Oil Injection Temperature - PV Maximum Scaled Value</t>
  </si>
  <si>
    <t>Local:4:C.Ch11Config.LowEngineering</t>
  </si>
  <si>
    <t>Lube Oil Injection Temperature - PV Minimum Scaled Value</t>
  </si>
  <si>
    <t>AlarmXMTR.ALM[0].25</t>
  </si>
  <si>
    <t>Site Instrument Air Pressure - Transmitter Fail</t>
  </si>
  <si>
    <t>AlarmXMTR.ALM[0].26</t>
  </si>
  <si>
    <t>UV/IR Flame Detector - Transmitter Fail</t>
  </si>
  <si>
    <t>AlarmH_TMR[15]</t>
  </si>
  <si>
    <t>Gas Cooler Outlet Temperature - High Alarm Delay</t>
  </si>
  <si>
    <t>AlarmH_SP[15]</t>
  </si>
  <si>
    <t>Gas Cooler Outlet Temperature - High Alarm Setpoint</t>
  </si>
  <si>
    <t>AI[15]</t>
  </si>
  <si>
    <t>Gas Cooler Outlet Temperature - Process Value</t>
  </si>
  <si>
    <t>Local:4:C.Ch15Config.HighEngineering</t>
  </si>
  <si>
    <t>Gas Cooler Outlet Temperature - PV Maximum Scaled Value</t>
  </si>
  <si>
    <t>Local:4:C.Ch15Config.LowEngineering</t>
  </si>
  <si>
    <t>Gas Cooler Outlet Temperature - PV Minimum Scaled Value</t>
  </si>
  <si>
    <t>vessels</t>
  </si>
  <si>
    <t>v_103</t>
  </si>
  <si>
    <t>heater_output</t>
  </si>
  <si>
    <t>V-103</t>
  </si>
  <si>
    <t>Oil/Gas Separator Vessel</t>
  </si>
  <si>
    <t>Heater Out Command</t>
  </si>
  <si>
    <t>DO_Oil_Heater</t>
  </si>
  <si>
    <t>Oil/Gas Separator Vessel - Heater Out Command</t>
  </si>
  <si>
    <t>AlarmXMTR.ALM[0].3</t>
  </si>
  <si>
    <t>Lube Oil Filter Inlet Pressure - Transmitter Fail</t>
  </si>
  <si>
    <t>AlarmH_TMR[23]</t>
  </si>
  <si>
    <t>Compressor Inboard Bearing Vibration - High Alarm Delay</t>
  </si>
  <si>
    <t>ips</t>
  </si>
  <si>
    <t>AlarmH_SP[23]</t>
  </si>
  <si>
    <t>#,##0.00#</t>
  </si>
  <si>
    <t>Compressor Inboard Bearing Vibration - High Alarm Setpoint</t>
  </si>
  <si>
    <t>AlarmXMTR.ALM[0].5</t>
  </si>
  <si>
    <t>Suction Coalescing Filter Differential Pressure - Transmitter Fail</t>
  </si>
  <si>
    <t>AlarmHH_TMR[23]</t>
  </si>
  <si>
    <t>Compressor Inboard Bearing Vibration - High High Alarm Delay</t>
  </si>
  <si>
    <t>AlarmHH_SP[23]</t>
  </si>
  <si>
    <t>Compressor Inboard Bearing Vibration - High High Alarm Setpoint</t>
  </si>
  <si>
    <t>AI[23]</t>
  </si>
  <si>
    <t>Compressor Inboard Bearing Vibration - Process Value</t>
  </si>
  <si>
    <t>Compressor Inboard Bearing Vibration - PV Maximum Scaled Value</t>
  </si>
  <si>
    <t>Compressor Inboard Bearing Vibration - PV Minimum Scaled Value</t>
  </si>
  <si>
    <t>AlarmXMTR.ALM[0].6</t>
  </si>
  <si>
    <t>Oil/Gas Separator Outlet Pressure - Transmitter Fail</t>
  </si>
  <si>
    <t>AlarmXMTR.ALM[0].7</t>
  </si>
  <si>
    <t>Gas Cooler Outlet Pressure - Transmitter Fail</t>
  </si>
  <si>
    <t>AlarmH_TMR[24]</t>
  </si>
  <si>
    <t>Compressor Outboard Bearing Vibration - High Alarm Delay</t>
  </si>
  <si>
    <t>AlarmH_SP[24]</t>
  </si>
  <si>
    <t>Compressor Outboard Bearing Vibration - High Alarm Setpoint</t>
  </si>
  <si>
    <t>AlarmXMTR.ALM[0].8</t>
  </si>
  <si>
    <t>Oil/Gas Separator Coalescer Differential Pressure - Transmitter Fail</t>
  </si>
  <si>
    <t>AlarmHH_TMR[24]</t>
  </si>
  <si>
    <t>Compressor Outboard Bearing Vibration - High High Alarm Delay</t>
  </si>
  <si>
    <t>AlarmHH_SP[24]</t>
  </si>
  <si>
    <t>Compressor Outboard Bearing Vibration - High High Alarm Setpoint</t>
  </si>
  <si>
    <t>AI[24]</t>
  </si>
  <si>
    <t>Compressor Outboard Bearing Vibration - Process Value</t>
  </si>
  <si>
    <t>Compressor Outboard Bearing Vibration - PV Maximum Scaled Value</t>
  </si>
  <si>
    <t>Compressor Outboard Bearing Vibration - PV Minimum Scaled Value</t>
  </si>
  <si>
    <t>AlarmXMTR.ALM[0].9</t>
  </si>
  <si>
    <t>Suction Coalescing Filter Inlet Pressure - Transmitter Fail</t>
  </si>
  <si>
    <t>AlarmXMTR.ALM[1].1</t>
  </si>
  <si>
    <t>Discharge Scrubber Level - Transmitter Fail</t>
  </si>
  <si>
    <t>AlarmDD_TMR[35]</t>
  </si>
  <si>
    <t>Cooler Fan North Vibration Switch High - Alarm Delay</t>
  </si>
  <si>
    <t>1=Ok;0=High Vibration</t>
  </si>
  <si>
    <t>DI_Cooler_Mtr2_Vib_VSH</t>
  </si>
  <si>
    <t>Cooler Fan North Vibration Switch High - Input</t>
  </si>
  <si>
    <t>AlarmXMTR.ALM[1].2</t>
  </si>
  <si>
    <t>Slug Catcher Level - Transmitter Fail</t>
  </si>
  <si>
    <t>AlarmDD_TMR[34]</t>
  </si>
  <si>
    <t>Cooler Fan South Vibration Switch High - Alarm Delay</t>
  </si>
  <si>
    <t>DI_Cooler_Mtr1_Vib_VSH</t>
  </si>
  <si>
    <t>Cooler Fan South Vibration Switch High - Input</t>
  </si>
  <si>
    <t>AlarmXMTR.ALM[1].3</t>
  </si>
  <si>
    <t>Slug Catcher Level Switch Low Low - Transmitter Fail</t>
  </si>
  <si>
    <t>AlarmHH_TMR[26]</t>
  </si>
  <si>
    <t>UV/IR Flame Detector - High High Alarm Delay</t>
  </si>
  <si>
    <t>AlarmHH_SP[26]</t>
  </si>
  <si>
    <t>UV/IR Flame Detector - High High Alarm Setpoint</t>
  </si>
  <si>
    <t>Maintenance Bypass Time</t>
  </si>
  <si>
    <t>UV_IR_Bypass_Rem</t>
  </si>
  <si>
    <t>UV/IR Flame Detector - Maintenance Bypass Time</t>
  </si>
  <si>
    <t>AI[26]</t>
  </si>
  <si>
    <t>UV/IR Flame Detector - Process Value</t>
  </si>
  <si>
    <t>Local:4:C.Ch5Config.HighEngineering</t>
  </si>
  <si>
    <t>UV/IR Flame Detector - PV Maximum Scaled Value</t>
  </si>
  <si>
    <t>Local:4:C.Ch5Config.LowEngineering</t>
  </si>
  <si>
    <t>UV/IR Flame Detector - PV Minimum Scaled Value</t>
  </si>
  <si>
    <t>bypass_active</t>
  </si>
  <si>
    <t>Transmitter Alarm Bypasses Active</t>
  </si>
  <si>
    <t>0=Not Bypassed;1=Bypassed</t>
  </si>
  <si>
    <t>UV_IR_Bypass</t>
  </si>
  <si>
    <t>UV/IR Flame Detector - Transmitter Alarm Bypasses Active</t>
  </si>
  <si>
    <t>AlarmXMTR.ALM[1].4</t>
  </si>
  <si>
    <t>Slug Catcher Level Switch High High - Transmitter Fail</t>
  </si>
  <si>
    <t>Invalid Allowed_Sequence.</t>
  </si>
  <si>
    <t>X</t>
  </si>
  <si>
    <t>UV_IR_Bypass_PRE</t>
  </si>
  <si>
    <t>xv_125</t>
  </si>
  <si>
    <t>XV-125</t>
  </si>
  <si>
    <t>Station Blowdown ESD Valve</t>
  </si>
  <si>
    <t>Blowdown_Valve_Setpoint</t>
  </si>
  <si>
    <t>Station Blowdown ESD Valve - Close Setpoint</t>
  </si>
  <si>
    <t>DO_Blowdown_Valve</t>
  </si>
  <si>
    <t>Station Blowdown ESD Valve - Output Command</t>
  </si>
  <si>
    <t>0=Closed; 1=Open</t>
  </si>
  <si>
    <t>EXPRESSION TAG</t>
  </si>
  <si>
    <t>Station Gas Inlet ESD Valve - Status</t>
  </si>
  <si>
    <t>Station Gas Outlet ESD Valve - Status</t>
  </si>
  <si>
    <t>xv_402</t>
  </si>
  <si>
    <t>XV-402</t>
  </si>
  <si>
    <t>Condensate Pumps Discharge ESD Valve</t>
  </si>
  <si>
    <t>Condensate Pumps Discharge ESD Valve - Status</t>
  </si>
  <si>
    <t>xv_403</t>
  </si>
  <si>
    <t>XV-403</t>
  </si>
  <si>
    <t>Station LP Discharge To Vent Stack ESD Valve</t>
  </si>
  <si>
    <t>Station LP Discharge To Vent Stack ESD Valve - Status</t>
  </si>
  <si>
    <t>DI_ZSC_400</t>
  </si>
  <si>
    <t>Station Gas Inlet ESD Valve - Closed Switch Status</t>
  </si>
  <si>
    <t>0=Not Open;1=Open</t>
  </si>
  <si>
    <t>DI_ZSO_400</t>
  </si>
  <si>
    <t>Station Gas Inlet ESD Valve - Open Switch Status</t>
  </si>
  <si>
    <t>AlarmXMTR.ALM[1].5</t>
  </si>
  <si>
    <t>Drain Tank Level Switch High - Transmitter Fail</t>
  </si>
  <si>
    <t>DI_ZSC_401</t>
  </si>
  <si>
    <t>Station Gas Outlet ESD Valve - Closed Switch Status</t>
  </si>
  <si>
    <t>DI_ZSO_401</t>
  </si>
  <si>
    <t>Station Gas Outlet ESD Valve - Open Switch Status</t>
  </si>
  <si>
    <t>AlarmXMTR.ALM[1].9</t>
  </si>
  <si>
    <t>Condensate Pump Flow - Transmitter Fail</t>
  </si>
  <si>
    <t>DI_ZSC_402</t>
  </si>
  <si>
    <t>Condensate Pumps Discharge ESD Valve - Closed Switch Status</t>
  </si>
  <si>
    <t>DI_ZSO_402</t>
  </si>
  <si>
    <t>Condensate Pumps Discharge ESD Valve - Open Switch Status</t>
  </si>
  <si>
    <t>DI_ZSC_403</t>
  </si>
  <si>
    <t>Station LP Discharge To Vent Stack ESD Valve - Closed Switch Status</t>
  </si>
  <si>
    <t>DI_ZSO_403</t>
  </si>
  <si>
    <t>Station LP Discharge To Vent Stack ESD Valve - Open Switch Status</t>
  </si>
  <si>
    <t>25r</t>
  </si>
  <si>
    <t>k18</t>
  </si>
  <si>
    <t>K-18</t>
  </si>
  <si>
    <t>STV LLP to LP Screw Compressor</t>
  </si>
  <si>
    <t>CS_25R_K18</t>
  </si>
  <si>
    <t>CS 25R</t>
  </si>
  <si>
    <t>STV LLP to LP Screw Compressor - Lube Oil Pump Running Permissive Status</t>
  </si>
  <si>
    <t>STV LLP to LP Screw Compressor - Coolers Running Permissive Status</t>
  </si>
  <si>
    <t>STV LLP to LP Screw Compressor - Differential Pressure Across Compressor Too High To Start</t>
  </si>
  <si>
    <t>STV LLP to LP Screw Compressor - Start Fail (Run Status)</t>
  </si>
  <si>
    <t>STV LLP to LP Screw Compressor - Start Fail (Motor Current)</t>
  </si>
  <si>
    <t>STV LLP to LP Screw Compressor - Run Fail</t>
  </si>
  <si>
    <t>STV LLP to LP Screw Compressor - Stop Fail (Run Status)</t>
  </si>
  <si>
    <t>STV LLP to LP Screw Compressor - Stop Fail (Motor Current)</t>
  </si>
  <si>
    <t>STV LLP to LP Screw Compressor - False Start (Run Status)</t>
  </si>
  <si>
    <t>STV LLP to LP Screw Compressor - False Start (Motor Current)</t>
  </si>
  <si>
    <t>STV LLP to LP Screw Compressor - Motor Protection Relay Trip</t>
  </si>
  <si>
    <t>STV LLP to LP Screw Compressor - Oil Log Shutdown</t>
  </si>
  <si>
    <t>AlarmHH.ALM[1].4</t>
  </si>
  <si>
    <t>DPALL-OIL</t>
  </si>
  <si>
    <t>Oil Circuit Pressure Drop (Calculated) - Low Low Alarm</t>
  </si>
  <si>
    <t>PAHH-101</t>
  </si>
  <si>
    <t>PALL-101</t>
  </si>
  <si>
    <t>Slug Catcher Inlet Pressure - Low Low Alarm</t>
  </si>
  <si>
    <t>te_111k</t>
  </si>
  <si>
    <t>TE-111K</t>
  </si>
  <si>
    <t>AlarmHH.ALM[1].27</t>
  </si>
  <si>
    <t>TAHH-111K</t>
  </si>
  <si>
    <t>Cooler Fan Northeast Vibration Switch High</t>
  </si>
  <si>
    <t>Cooler Fan Northeast Vibration Switch High - Alarm</t>
  </si>
  <si>
    <t>Cooler Fan Southwest Vibration Switch High</t>
  </si>
  <si>
    <t>Cooler Fan Southwest Vibration Switch High - Alarm</t>
  </si>
  <si>
    <t>at_133</t>
  </si>
  <si>
    <t>AT-133</t>
  </si>
  <si>
    <t>Oxygen Concentration</t>
  </si>
  <si>
    <t>AlarmHH.ALM[0].27</t>
  </si>
  <si>
    <t>AAHH-133</t>
  </si>
  <si>
    <t>Oxygen Concentration - High High Alarm</t>
  </si>
  <si>
    <t>xt_102</t>
  </si>
  <si>
    <t>XT-102</t>
  </si>
  <si>
    <t>Gas Detector</t>
  </si>
  <si>
    <t>AlarmLL.ALM[0].28</t>
  </si>
  <si>
    <t>XALL-102</t>
  </si>
  <si>
    <t>Gas Detector - Low Low Alarm</t>
  </si>
  <si>
    <t>STV LLP to LP Screw Compressor - Emergency Stop Pushbutton</t>
  </si>
  <si>
    <t>xt_101</t>
  </si>
  <si>
    <t>XT-101</t>
  </si>
  <si>
    <t>AlarmHH.ALM[0].28</t>
  </si>
  <si>
    <t>Gas Detected</t>
  </si>
  <si>
    <t>Gas Detector - High High Alarm</t>
  </si>
  <si>
    <t>xv_103</t>
  </si>
  <si>
    <t>XV-103</t>
  </si>
  <si>
    <t>STV LLP to LP Screw Compressor - Motor Protection Relay Warning</t>
  </si>
  <si>
    <t>AlarmH_TMR[27]</t>
  </si>
  <si>
    <t>Oxygen Concentration - High Alarm Delay</t>
  </si>
  <si>
    <t>AlarmH_SP[27]</t>
  </si>
  <si>
    <t>Oxygen Concentration - High Alarm Setpoint</t>
  </si>
  <si>
    <t>AlarmHH_TMR[27]</t>
  </si>
  <si>
    <t>Oxygen Concentration - High High Alarm Delay</t>
  </si>
  <si>
    <t>AlarmHH_SP[27]</t>
  </si>
  <si>
    <t>Oxygen Concentration - High High Alarm Setpoint</t>
  </si>
  <si>
    <t>AI[27]</t>
  </si>
  <si>
    <t>Oxygen Concentration - Process Value</t>
  </si>
  <si>
    <t>Oxygen Concentration - PV Maximum Scaled Value</t>
  </si>
  <si>
    <t>Oxygen Concentration - PV Minimum Scaled Value</t>
  </si>
  <si>
    <t>Cooler Fan Southwest</t>
  </si>
  <si>
    <t>Cooler Fan Southwest - Run Fail</t>
  </si>
  <si>
    <t>Oil_Circuit.Oil_Minus_Discharge_Alarm_Timer</t>
  </si>
  <si>
    <t>Oil Circuit Pressure Drop (Calculated) - Low Alarm Delay</t>
  </si>
  <si>
    <t>Oil Circuit Pressure Drop (Calculated) - Low Alarm Setpoint</t>
  </si>
  <si>
    <t>Cooler Fan Northeast</t>
  </si>
  <si>
    <t>Cooler Fan Northeast - Run Fail</t>
  </si>
  <si>
    <t>Oil_Circuit.Oil_Minus_Discharge_Shutdown_Timer</t>
  </si>
  <si>
    <t>Oil Circuit Pressure Drop (Calculated) - Low Low Alarm Delay</t>
  </si>
  <si>
    <t>Oil Circuit Pressure Drop (Calculated) - Low Low Alarm Setpoint</t>
  </si>
  <si>
    <t>Oil_Circuit.Oil_Minus_Discharge</t>
  </si>
  <si>
    <t>dpit_100</t>
  </si>
  <si>
    <t>DPIT-100</t>
  </si>
  <si>
    <t>P-200 Suction Strainer Differential Pressure</t>
  </si>
  <si>
    <t>AI[44]</t>
  </si>
  <si>
    <t>P-200 Suction Strainer Differential Pressure - Process Value</t>
  </si>
  <si>
    <t>P-200 Suction Strainer Differential Pressure - PV Maximum Scaled Value</t>
  </si>
  <si>
    <t>P-200 Suction Strainer Differential Pressure - PV Minimum Scaled Value</t>
  </si>
  <si>
    <t>dpit_101</t>
  </si>
  <si>
    <t>DPIT-101</t>
  </si>
  <si>
    <t>P-201 Suction Strainer Differential Pressure</t>
  </si>
  <si>
    <t>AI[45]</t>
  </si>
  <si>
    <t>P-201 Suction Strainer Differential Pressure - Process Value</t>
  </si>
  <si>
    <t>P-201 Suction Strainer Differential Pressure - PV Maximum Scaled Value</t>
  </si>
  <si>
    <t>P-201 Suction Strainer Differential Pressure - PV Minimum Scaled Value</t>
  </si>
  <si>
    <t>Oil Circuit Pressure Drop (Calculated) - Low Alarm</t>
  </si>
  <si>
    <t>Cooler Fan Southwest - Auto Status</t>
  </si>
  <si>
    <t>Cooler Fan Southwest - Run Command</t>
  </si>
  <si>
    <t>p_200</t>
  </si>
  <si>
    <t>P-200</t>
  </si>
  <si>
    <t>Cooler Fan Southwest - Run Status</t>
  </si>
  <si>
    <t>start</t>
  </si>
  <si>
    <t>Start Setpoint</t>
  </si>
  <si>
    <t>Gas_Cooler_Fan_On</t>
  </si>
  <si>
    <t>Cooler Fan Southwest - Start Setpoint</t>
  </si>
  <si>
    <t>Stop Setpoint</t>
  </si>
  <si>
    <t>Gas_Cooler_Fan_Off</t>
  </si>
  <si>
    <t>Cooler Fan Southwest - Stop Setpoint</t>
  </si>
  <si>
    <t>Cooler Fan Northeast - Auto Status</t>
  </si>
  <si>
    <t>Cooler Fan Northeast - Run Command</t>
  </si>
  <si>
    <t>p_201</t>
  </si>
  <si>
    <t>P-201</t>
  </si>
  <si>
    <t>Cooler Fan Northeast - Run Status</t>
  </si>
  <si>
    <t>f_101_2</t>
  </si>
  <si>
    <t>F-101/2</t>
  </si>
  <si>
    <t>Lube Oil Filters</t>
  </si>
  <si>
    <t>DO_RY_103</t>
  </si>
  <si>
    <t>cfg</t>
  </si>
  <si>
    <t>Lube Oil Filters - Heater Out Command</t>
  </si>
  <si>
    <t>fcu_2618</t>
  </si>
  <si>
    <t>FCU-2618</t>
  </si>
  <si>
    <t>TotalFlow[6]</t>
  </si>
  <si>
    <t>TotalFlow[5]</t>
  </si>
  <si>
    <t>mmscfd</t>
  </si>
  <si>
    <t>fcv_100</t>
  </si>
  <si>
    <t>FCV-100</t>
  </si>
  <si>
    <t>Condensate Pumps Discharge Flow Control Valve</t>
  </si>
  <si>
    <t>Condensate_FCV.PID_Manual</t>
  </si>
  <si>
    <t>Condensate Pumps Discharge Flow Control Valve - Auto/Manual Mode</t>
  </si>
  <si>
    <t>Condensate_FCV.PID.OUT</t>
  </si>
  <si>
    <t>Condensate Pumps Discharge Flow Control Valve - Control Variable</t>
  </si>
  <si>
    <t>Condensate_FCV.PID.KD</t>
  </si>
  <si>
    <t>Condensate Pumps Discharge Flow Control Valve - Derivative</t>
  </si>
  <si>
    <t>Condensate_FCV.PID.KI</t>
  </si>
  <si>
    <t>Condensate Pumps Discharge Flow Control Valve - Integral</t>
  </si>
  <si>
    <t>Condensate_FCV.PID_Manual_Output</t>
  </si>
  <si>
    <t>Condensate Pumps Discharge Flow Control Valve - Manual Output</t>
  </si>
  <si>
    <t>Condensate_FCV.PID_Max</t>
  </si>
  <si>
    <t>Condensate Pumps Discharge Flow Control Valve - Maximum CV</t>
  </si>
  <si>
    <t>Condensate_FCV.PID_Min</t>
  </si>
  <si>
    <t>Condensate Pumps Discharge Flow Control Valve - Minimum CV</t>
  </si>
  <si>
    <t>Condensate_FCV.PID.PV</t>
  </si>
  <si>
    <t>Condensate Pumps Discharge Flow Control Valve - Process Variable</t>
  </si>
  <si>
    <t>Condensate_FCV.PID.KP</t>
  </si>
  <si>
    <t>Condensate Pumps Discharge Flow Control Valve - Proportional</t>
  </si>
  <si>
    <t>Condensate_FCV.PID.SP</t>
  </si>
  <si>
    <t>Condensate Pumps Discharge Flow Control Valve - Setpoint</t>
  </si>
  <si>
    <t>Lead_Pump_SP</t>
  </si>
  <si>
    <t>lsh_129</t>
  </si>
  <si>
    <t>LSH-129</t>
  </si>
  <si>
    <t>Discharge Scrubber Level Switch High</t>
  </si>
  <si>
    <t>AlarmD.ALM[0].26</t>
  </si>
  <si>
    <t>Discharge Scrubber Level Switch High - Alarm</t>
  </si>
  <si>
    <t>lsl_f135</t>
  </si>
  <si>
    <t>LSL-F135</t>
  </si>
  <si>
    <t>F-101 Lube Oil Filter Level Switch Low</t>
  </si>
  <si>
    <t>AlarmD.ALM[0].27</t>
  </si>
  <si>
    <t>F-101 Lube Oil Filter Level Switch Low - Alarm</t>
  </si>
  <si>
    <t>lsl_f136</t>
  </si>
  <si>
    <t>LSL-F136</t>
  </si>
  <si>
    <t>F-102 Lube Oil Filter Level Switch Low</t>
  </si>
  <si>
    <t>AlarmD.ALM[0].28</t>
  </si>
  <si>
    <t>F-102 Lube Oil Filter Level Switch Low - Alarm</t>
  </si>
  <si>
    <t>hv_100</t>
  </si>
  <si>
    <t>HV-100</t>
  </si>
  <si>
    <t>Manual Blowdown Valve</t>
  </si>
  <si>
    <t>DI_ZSH_100</t>
  </si>
  <si>
    <t>Manual Blowdown Valve - Open Switch Status</t>
  </si>
  <si>
    <t>Manual Blowdown Valve - Status</t>
  </si>
  <si>
    <t>lsh_102a</t>
  </si>
  <si>
    <t>LSH-102A</t>
  </si>
  <si>
    <t>STV LLP to LP Screw Compressor - Slide Valve Unable to Unload</t>
  </si>
  <si>
    <t>lsh_102b</t>
  </si>
  <si>
    <t>LSH-102B</t>
  </si>
  <si>
    <t>AlarmD.ALM[1].0</t>
  </si>
  <si>
    <t>AlarmD.ALM[1].1</t>
  </si>
  <si>
    <t>Manual Blowdown Valve - Valve Open</t>
  </si>
  <si>
    <t>STV LLP to LP Screw Compressor - Auto Status</t>
  </si>
  <si>
    <t>STV LLP to LP Screw Compressor - Capacity Control Discharge Pressure Force Unload Setpoint</t>
  </si>
  <si>
    <t>STV LLP to LP Screw Compressor - Capacity Control Discharge Pressure Setpoint</t>
  </si>
  <si>
    <t>STV LLP to LP Screw Compressor - Capacity Control Discharge Pressure Stop Load Setpoint</t>
  </si>
  <si>
    <t>STV LLP to LP Screw Compressor - Capacity Control Mode Selected</t>
  </si>
  <si>
    <t>STV LLP to LP Screw Compressor - Capacity Control Motor Current Force Unload Setpoint</t>
  </si>
  <si>
    <t>STV LLP to LP Screw Compressor - Capacity Control Motor Current Setpoint</t>
  </si>
  <si>
    <t>STV LLP to LP Screw Compressor - Capacity Control Motor Current Stop Load Setpoint</t>
  </si>
  <si>
    <t>STV LLP to LP Screw Compressor - Capacity Control Suction Pressure Force Unload Setpoint</t>
  </si>
  <si>
    <t>STV LLP to LP Screw Compressor - Capacity Control Suction Pressure Setpoint</t>
  </si>
  <si>
    <t>STV LLP to LP Screw Compressor - Capacity Control Suction Pressure Stop Load Setpoint</t>
  </si>
  <si>
    <t>STV LLP to LP Screw Compressor - Emergency Stop Status</t>
  </si>
  <si>
    <t>STV LLP to LP Screw Compressor - Maximum Differential Pressure Across Compressor Start Permissive Setpoint</t>
  </si>
  <si>
    <t>STV LLP to LP Screw Compressor - Motor Full Load Amps</t>
  </si>
  <si>
    <t>STV LLP to LP Screw Compressor - Motor Full Load Amps Setpoint</t>
  </si>
  <si>
    <t>STV LLP to LP Screw Compressor - Motor Protection Relay Trip Status</t>
  </si>
  <si>
    <t>STV LLP to LP Screw Compressor - Motor Protection Relay Warning Status</t>
  </si>
  <si>
    <t>STV LLP to LP Screw Compressor - Motor Voltage</t>
  </si>
  <si>
    <t>STV LLP to LP Screw Compressor - Permissive Status</t>
  </si>
  <si>
    <t>STV LLP to LP Screw Compressor - Run Command</t>
  </si>
  <si>
    <t>STV LLP to LP Screw Compressor - Run Status</t>
  </si>
  <si>
    <t>STV LLP to LP Screw Compressor - Runtime</t>
  </si>
  <si>
    <t>STV LLP to LP Screw Compressor - Runtime Since Last Shutdown - Hour Counter</t>
  </si>
  <si>
    <t>STV LLP to LP Screw Compressor - Runtime Since Last Shutdown - Min Counter</t>
  </si>
  <si>
    <t>STV LLP to LP Screw Compressor - Slide Valve Maximum Position Permissive Setpoint</t>
  </si>
  <si>
    <t>STV LLP to LP Screw Compressor - Start Lockout Status</t>
  </si>
  <si>
    <t>STV LLP to LP Screw Compressor - Start Lockout Timer</t>
  </si>
  <si>
    <t>STV LLP to LP Screw Compressor - Start Up Load Inhibit Timer</t>
  </si>
  <si>
    <t>STV LLP to LP Screw Compressor - Status</t>
  </si>
  <si>
    <t>STV LLP to LP Screw Compressor - Stop Command</t>
  </si>
  <si>
    <t>lit_101</t>
  </si>
  <si>
    <t>LIT-101</t>
  </si>
  <si>
    <t>Drain Tank Level</t>
  </si>
  <si>
    <t>Drain Tank Level - High Alarm Delay</t>
  </si>
  <si>
    <t>AlarmH_SP[37]</t>
  </si>
  <si>
    <t>Drain Tank Level - High Alarm Setpoint</t>
  </si>
  <si>
    <t>Drain Tank Level - Process Value</t>
  </si>
  <si>
    <t>Drain Tank Level - PV Maximum Scaled Value</t>
  </si>
  <si>
    <t>Drain Tank Level - PV Minimum Scaled Value</t>
  </si>
  <si>
    <t>Suction Coalescer Inlet Section Blowcase Level Switch High - Alarm Delay</t>
  </si>
  <si>
    <t>AlarmD_TMR[32]</t>
  </si>
  <si>
    <t>AlarmD_TMR[26]</t>
  </si>
  <si>
    <t>Discharge Scrubber Level Switch High - Alarm Delay</t>
  </si>
  <si>
    <t>DI_Disch_Scrubber_LSH</t>
  </si>
  <si>
    <t>Discharge Scrubber Level Switch High - Input</t>
  </si>
  <si>
    <t>AlarmHH_TMR[36]</t>
  </si>
  <si>
    <t>AlarmD_TMR[27]</t>
  </si>
  <si>
    <t>F-101 Lube Oil Filter Level Switch Low - Alarm Delay</t>
  </si>
  <si>
    <t>DI_LSL_F135</t>
  </si>
  <si>
    <t>F-101 Lube Oil Filter Level Switch Low - Input</t>
  </si>
  <si>
    <t>AlarmD_TMR[28]</t>
  </si>
  <si>
    <t>F-102 Lube Oil Filter Level Switch Low - Alarm Delay</t>
  </si>
  <si>
    <t>DI_LSL_F136</t>
  </si>
  <si>
    <t>F-102 Lube Oil Filter Level Switch Low - Input</t>
  </si>
  <si>
    <t>AlarmL_TMR[35]</t>
  </si>
  <si>
    <t>Local:4:C.Ch10Config.HighEngineering</t>
  </si>
  <si>
    <t>Local:4:C.Ch10Config.LowEngineering</t>
  </si>
  <si>
    <t>pit_102</t>
  </si>
  <si>
    <t>PIT-102</t>
  </si>
  <si>
    <t>AlarmH.ALM[0].27</t>
  </si>
  <si>
    <t>Oxygen Concentration - High Alarm</t>
  </si>
  <si>
    <t>AlarmH.ALM[0].28</t>
  </si>
  <si>
    <t>Gas Detector - High Alarm</t>
  </si>
  <si>
    <t>p_200_1</t>
  </si>
  <si>
    <t>lag_call</t>
  </si>
  <si>
    <t>P-200/1</t>
  </si>
  <si>
    <t>Lag Pump Call</t>
  </si>
  <si>
    <t>Cond_Pump_Lag_Run</t>
  </si>
  <si>
    <t>Slug Catcher Condensate Pumps - Lag Pump Call</t>
  </si>
  <si>
    <t>lag_start</t>
  </si>
  <si>
    <t>Lag Start Setpoint</t>
  </si>
  <si>
    <t>Cond_Pump_Lag_Start</t>
  </si>
  <si>
    <t>Slug Catcher Condensate Pumps - Lag Start Setpoint</t>
  </si>
  <si>
    <t>pcv_107</t>
  </si>
  <si>
    <t>PCV-107</t>
  </si>
  <si>
    <t>Slug Catcher Inlet Pressure - Low Alarm Delay</t>
  </si>
  <si>
    <t>Slug Catcher Inlet Pressure - Low Alarm Setpoint</t>
  </si>
  <si>
    <t>Slug Catcher Inlet Pressure - Low Low Alarm Delay</t>
  </si>
  <si>
    <t>Slug Catcher Inlet Pressure - Low Low Alarm Setpoint</t>
  </si>
  <si>
    <t>AlarmH.ALM[1].27</t>
  </si>
  <si>
    <t>Drain Tank Level - High Alarm</t>
  </si>
  <si>
    <t>PLC-K18</t>
  </si>
  <si>
    <t>1=Off;0=On</t>
  </si>
  <si>
    <t>DO_Beacon_Amber</t>
  </si>
  <si>
    <t>Compressor PLC - Beacon Status</t>
  </si>
  <si>
    <t>Slug Catcher Inlet Pressure - Low Alarm</t>
  </si>
  <si>
    <t>AlarmL.ALM[1].3</t>
  </si>
  <si>
    <t>Multilin_RTD[8]</t>
  </si>
  <si>
    <t>Motor Inboard Bearing Temperature - Process Value</t>
  </si>
  <si>
    <t>AlarmH_TMR[59]</t>
  </si>
  <si>
    <t>AlarmH_SP[59]</t>
  </si>
  <si>
    <t>AlarmHH_TMR[59]</t>
  </si>
  <si>
    <t>AlarmHH_SP[59]</t>
  </si>
  <si>
    <t>Multilin_RTD[9]</t>
  </si>
  <si>
    <t>AlarmXMTR.ALM[0].15</t>
  </si>
  <si>
    <t>Gas Cooler Outlet Temperature - Transmitter Fail</t>
  </si>
  <si>
    <t>Local:4:C.Ch12Config.HighEngineering</t>
  </si>
  <si>
    <t>Local:4:C.Ch12Config.LowEngineering</t>
  </si>
  <si>
    <t>AlarmXMTR.ALM[0].27</t>
  </si>
  <si>
    <t>Oxygen Concentration - Transmitter Fail</t>
  </si>
  <si>
    <t>AlarmXMTR.ALM[0].29</t>
  </si>
  <si>
    <t>Cooler Fan Northeast Vibration Switch High - Alarm Delay</t>
  </si>
  <si>
    <t>Cooler Fan Northeast Vibration Switch High - Input</t>
  </si>
  <si>
    <t>Cooler Fan Southwest Vibration Switch High - Alarm Delay</t>
  </si>
  <si>
    <t>Cooler Fan Southwest Vibration Switch High - Input</t>
  </si>
  <si>
    <t>Slug Catcher Inlet Pressure - Transmitter Fail</t>
  </si>
  <si>
    <t>AlarmH_TMR[28]</t>
  </si>
  <si>
    <t>Gas Detector - High Alarm Delay</t>
  </si>
  <si>
    <t>AlarmH_SP[28]</t>
  </si>
  <si>
    <t>Gas Detector - High Alarm Setpoint</t>
  </si>
  <si>
    <t>P-200 Suction Strainer Differential Pressure - Transmitter Fail</t>
  </si>
  <si>
    <t>AlarmHH_TMR[28]</t>
  </si>
  <si>
    <t>Gas Detector - High High Alarm Delay</t>
  </si>
  <si>
    <t>AlarmHH_SP[28]</t>
  </si>
  <si>
    <t>Gas Detector - High High Alarm Setpoint</t>
  </si>
  <si>
    <t>P-201 Suction Strainer Differential Pressure - Transmitter Fail</t>
  </si>
  <si>
    <t>AlarmLL_TMR[28]</t>
  </si>
  <si>
    <t>Gas Detector - Low Low Alarm Delay</t>
  </si>
  <si>
    <t>AlarmLL_SP[28]</t>
  </si>
  <si>
    <t>Gas Detector - Low Low Alarm Setpoint</t>
  </si>
  <si>
    <t>AI[28]</t>
  </si>
  <si>
    <t>Gas Detector - Process Value</t>
  </si>
  <si>
    <t>Gas Detector - PV Maximum Scaled Value</t>
  </si>
  <si>
    <t>Gas Detector - PV Minimum Scaled Value</t>
  </si>
  <si>
    <t>Drain Tank Level - Transmitter Fail</t>
  </si>
  <si>
    <t>xv_101</t>
  </si>
  <si>
    <t>XV-101</t>
  </si>
  <si>
    <t>Station LLP Inlet To Vent Stack ESD Valve</t>
  </si>
  <si>
    <t>DI_ZSC_101</t>
  </si>
  <si>
    <t>Station LLP Inlet To Vent Stack ESD Valve - Closed Switch Status</t>
  </si>
  <si>
    <t>Station LLP Inlet To Vent Stack ESD Valve - Open Switch Status</t>
  </si>
  <si>
    <t>Station LLP Inlet To Vent Stack ESD Valve - Status</t>
  </si>
  <si>
    <t>xv_102</t>
  </si>
  <si>
    <t>XV-102</t>
  </si>
  <si>
    <t>DI_ZSC_102</t>
  </si>
  <si>
    <t>DI_ZSO_102</t>
  </si>
  <si>
    <t>DI_ZSC_103</t>
  </si>
  <si>
    <t>xv_104</t>
  </si>
  <si>
    <t>XV-104</t>
  </si>
  <si>
    <t>Vent to STV Vacuum ESD Valve</t>
  </si>
  <si>
    <t>DI_ZSC_104</t>
  </si>
  <si>
    <t>Vent to STV Vacuum ESD Valve - Closed Switch Status</t>
  </si>
  <si>
    <t>Vent to STV Vacuum ESD Valve - Open Switch Status</t>
  </si>
  <si>
    <t>Vent to STV Vacuum ESD Valve - Status</t>
  </si>
  <si>
    <t>xv_105</t>
  </si>
  <si>
    <t>XV-105</t>
  </si>
  <si>
    <t>33s</t>
  </si>
  <si>
    <t>cs_33s</t>
  </si>
  <si>
    <t>fcv_171</t>
  </si>
  <si>
    <t>FCV-171</t>
  </si>
  <si>
    <t>Condensate Flow Control Valve</t>
  </si>
  <si>
    <t>LY_D171</t>
  </si>
  <si>
    <t>CS_33S_K59_K60</t>
  </si>
  <si>
    <t>CS 33S</t>
  </si>
  <si>
    <t>BOP</t>
  </si>
  <si>
    <t>Condensate Flow Control Valve - Output Command</t>
  </si>
  <si>
    <t>See Final Val. Alerts tab for details</t>
  </si>
  <si>
    <t>0=FIC-D171; 1=LIC-V501</t>
  </si>
  <si>
    <t>Condensate Flow Control Valve - PID in Control</t>
  </si>
  <si>
    <t>fic_d171</t>
  </si>
  <si>
    <t>FIC-D171</t>
  </si>
  <si>
    <t>Condensate Pump Flow Controller</t>
  </si>
  <si>
    <t>FIC_D171.SWM</t>
  </si>
  <si>
    <t>CS_33S_K59_60</t>
  </si>
  <si>
    <t>Condensate Pump Flow Controller - Auto/Manual Mode</t>
  </si>
  <si>
    <t>FIC_D171_CV</t>
  </si>
  <si>
    <t>Condensate Pump Flow Controller - Control Variable</t>
  </si>
  <si>
    <t>FIC_D171.KD</t>
  </si>
  <si>
    <t>Condensate Pump Flow Controller - Derivative</t>
  </si>
  <si>
    <t>FIC_D171.KI</t>
  </si>
  <si>
    <t>Condensate Pump Flow Controller - Integral</t>
  </si>
  <si>
    <t>FIC_D171.MO</t>
  </si>
  <si>
    <t>Condensate Pump Flow Controller - Manual Mode</t>
  </si>
  <si>
    <t>FIC_D171.SO</t>
  </si>
  <si>
    <t>Condensate Pump Flow Controller - Manual Output</t>
  </si>
  <si>
    <t>FIC_D171.MAXO</t>
  </si>
  <si>
    <t>Condensate Pump Flow Controller - Maximum CV</t>
  </si>
  <si>
    <t>FIC_D171.MINO</t>
  </si>
  <si>
    <t>Condensate Pump Flow Controller - Minimum CV</t>
  </si>
  <si>
    <t>FIC_D171.PV</t>
  </si>
  <si>
    <t>Condensate Pump Flow Controller - Process Variable</t>
  </si>
  <si>
    <t>FIC_D171.KP</t>
  </si>
  <si>
    <t>Condensate Pump Flow Controller - Proportional</t>
  </si>
  <si>
    <t>FIC_D171.SP</t>
  </si>
  <si>
    <t>Condensate Pump Flow Controller - Setpoint</t>
  </si>
  <si>
    <t>k59</t>
  </si>
  <si>
    <t>fit_2459</t>
  </si>
  <si>
    <t>FIT-2459</t>
  </si>
  <si>
    <t>Fuel Gas TotalFlow</t>
  </si>
  <si>
    <t>Totalflow_Float[46]</t>
  </si>
  <si>
    <t>K-59</t>
  </si>
  <si>
    <t>Fuel Gas TotalFlow - Day 0 Volume</t>
  </si>
  <si>
    <t>Totalflow_Float[47]</t>
  </si>
  <si>
    <t>Fuel Gas TotalFlow - Day 1 Volume</t>
  </si>
  <si>
    <t>FCU_FLOAT[28]</t>
  </si>
  <si>
    <t>Fuel Gas TotalFlow - Differential Pressure</t>
  </si>
  <si>
    <t>FCU_FLOAT[29]</t>
  </si>
  <si>
    <t>Fuel Gas TotalFlow - Pressure</t>
  </si>
  <si>
    <t>FCU_FLOAT[31]</t>
  </si>
  <si>
    <t>Fuel Gas TotalFlow - Rate</t>
  </si>
  <si>
    <t>FCU_FLOAT[30]</t>
  </si>
  <si>
    <t>Fuel Gas TotalFlow - Temperature</t>
  </si>
  <si>
    <t>k60</t>
  </si>
  <si>
    <t>fit_2460</t>
  </si>
  <si>
    <t>FIT-2460</t>
  </si>
  <si>
    <t>Totalflow_Float[40]</t>
  </si>
  <si>
    <t>K-60</t>
  </si>
  <si>
    <t>Totalflow_Float[41]</t>
  </si>
  <si>
    <t>FCU_FLOAT[24]</t>
  </si>
  <si>
    <t>FCU_FLOAT[25]</t>
  </si>
  <si>
    <t>FCU_FLOAT[27]</t>
  </si>
  <si>
    <t>FCU_FLOAT[26]</t>
  </si>
  <si>
    <t>fit_d171</t>
  </si>
  <si>
    <t>FIT-D171</t>
  </si>
  <si>
    <t>READFLOAT[9]</t>
  </si>
  <si>
    <t>READFLOAT[10]</t>
  </si>
  <si>
    <t>ALARM[19].1</t>
  </si>
  <si>
    <t>Condensate Pump Flow - Low Alarm</t>
  </si>
  <si>
    <t>low_1</t>
  </si>
  <si>
    <t>Low Alarm 1</t>
  </si>
  <si>
    <t>ALARM[19].3</t>
  </si>
  <si>
    <t>Condensate Pump Flow - Low Alarm 1</t>
  </si>
  <si>
    <t>Low Alarm 1 Delay</t>
  </si>
  <si>
    <t>0,001</t>
  </si>
  <si>
    <t>FAL_D171_P502_TMR</t>
  </si>
  <si>
    <t>Condensate Pump Flow - Low Alarm 1 Delay</t>
  </si>
  <si>
    <t>Low Alarm 1 Setpoint</t>
  </si>
  <si>
    <t>FAL_D171_SP</t>
  </si>
  <si>
    <t>Condensate Pump Flow - Low Alarm 1 Setpoint</t>
  </si>
  <si>
    <t>FAL_D171_P501_TMR</t>
  </si>
  <si>
    <t>Condensate Pump Flow - Low Alarm Delay</t>
  </si>
  <si>
    <t>Condensate Pump Flow - Low Alarm Setpoint</t>
  </si>
  <si>
    <t>ALARM[19].0</t>
  </si>
  <si>
    <t>ALARM[19].2</t>
  </si>
  <si>
    <t>FALL_D171_P502_TMR</t>
  </si>
  <si>
    <t>FALL_D171_SP</t>
  </si>
  <si>
    <t>FALL_D171_P501_TMR</t>
  </si>
  <si>
    <t>Local:6:C.Ch6Config.HighEngineering</t>
  </si>
  <si>
    <t>Local:6:C.Ch6Config.LowEngineering</t>
  </si>
  <si>
    <t>FT_D171</t>
  </si>
  <si>
    <t>fit_k59</t>
  </si>
  <si>
    <t>FIT-K59</t>
  </si>
  <si>
    <t>Totalflow_Float[28]</t>
  </si>
  <si>
    <t>Totalflow_Float[29]</t>
  </si>
  <si>
    <t>FCU_FLOAT[16]</t>
  </si>
  <si>
    <t>FCU_FLOAT[17]</t>
  </si>
  <si>
    <t>FCU_FLOAT[19]</t>
  </si>
  <si>
    <t>FCU_FLOAT[18]</t>
  </si>
  <si>
    <t>fit_k60</t>
  </si>
  <si>
    <t>FIT-K60</t>
  </si>
  <si>
    <t>Totalflow_Float[34]</t>
  </si>
  <si>
    <t>Totalflow_Float[35]</t>
  </si>
  <si>
    <t>FCU_FLOAT[20]</t>
  </si>
  <si>
    <t>FCU_FLOAT[21]</t>
  </si>
  <si>
    <t>FCU_FLOAT[23]</t>
  </si>
  <si>
    <t>FCU_FLOAT[22]</t>
  </si>
  <si>
    <t>bop_shutdown</t>
  </si>
  <si>
    <t>STV LP to HP Reciprocating Compressor</t>
  </si>
  <si>
    <t>BOP Shutdown Status</t>
  </si>
  <si>
    <t>0=Shutdown;1=Ok</t>
  </si>
  <si>
    <t>SLOT_12_4</t>
  </si>
  <si>
    <t>STV LP to HP Reciprocating Compressor - BOP Shutdown Status</t>
  </si>
  <si>
    <t>ALARM[14].13</t>
  </si>
  <si>
    <t>STV LP to HP Reciprocating Compressor - Run Fail</t>
  </si>
  <si>
    <t>XL_K59</t>
  </si>
  <si>
    <t>STV LP to HP Reciprocating Compressor - Run Status</t>
  </si>
  <si>
    <t> </t>
  </si>
  <si>
    <t>SLOT_12_15</t>
  </si>
  <si>
    <t>ALARM[14].14</t>
  </si>
  <si>
    <t>XL_K60</t>
  </si>
  <si>
    <t>lic_v501</t>
  </si>
  <si>
    <t>LIC-V501</t>
  </si>
  <si>
    <t>Slug Catcher Level Controller</t>
  </si>
  <si>
    <t>LIC_V501.SWM</t>
  </si>
  <si>
    <t>Slug Catcher Level Controller - Auto/Manual Mode</t>
  </si>
  <si>
    <t>LIC_V501_CV</t>
  </si>
  <si>
    <t>Slug Catcher Level Controller - Control Variable</t>
  </si>
  <si>
    <t>LIC_V501.KD</t>
  </si>
  <si>
    <t>Slug Catcher Level Controller - Derivative</t>
  </si>
  <si>
    <t>LIC_V501.KI</t>
  </si>
  <si>
    <t>Slug Catcher Level Controller - Integral</t>
  </si>
  <si>
    <t>LIC_V501.MO</t>
  </si>
  <si>
    <t>Slug Catcher Level Controller - Manual Mode</t>
  </si>
  <si>
    <t>LIC_V501.SO</t>
  </si>
  <si>
    <t>Slug Catcher Level Controller - Manual Output</t>
  </si>
  <si>
    <t>LIC_V501.MAXO</t>
  </si>
  <si>
    <t>Slug Catcher Level Controller - Maximum CV</t>
  </si>
  <si>
    <t>LIC_V501.MINO</t>
  </si>
  <si>
    <t>Slug Catcher Level Controller - Minimum CV</t>
  </si>
  <si>
    <t>LIC_V501.PV</t>
  </si>
  <si>
    <t>Slug Catcher Level Controller - Process Variable</t>
  </si>
  <si>
    <t>LIC_V501.KP</t>
  </si>
  <si>
    <t>Slug Catcher Level Controller - Proportional</t>
  </si>
  <si>
    <t>LIC_V501.SP</t>
  </si>
  <si>
    <t>Slug Catcher Level Controller - Setpoint</t>
  </si>
  <si>
    <t>lit_v501</t>
  </si>
  <si>
    <t>LIT-V501</t>
  </si>
  <si>
    <t>ALARM[8].10</t>
  </si>
  <si>
    <t>LAH_V501_SP</t>
  </si>
  <si>
    <t>ALARM[8].11</t>
  </si>
  <si>
    <t>Slug Catcher Level - High High Alarm</t>
  </si>
  <si>
    <t>LAHH_V501_SP</t>
  </si>
  <si>
    <t>Slug Catcher Level - High High Alarm Setpoint</t>
  </si>
  <si>
    <t>ALARM[8].9</t>
  </si>
  <si>
    <t>LAL_V501_SP</t>
  </si>
  <si>
    <t>ALARM[8].8</t>
  </si>
  <si>
    <t>Slug Catcher Level - Low Low Alarm</t>
  </si>
  <si>
    <t>LALL_V501_SP</t>
  </si>
  <si>
    <t>Slug Catcher Level - Low Low Alarm Setpoint</t>
  </si>
  <si>
    <t>LIT_V501</t>
  </si>
  <si>
    <t>Local:5:C.Ch6Config.HighEngineering</t>
  </si>
  <si>
    <t>Local:5:C.Ch6Config.LowEngineering</t>
  </si>
  <si>
    <t>lshh_v501</t>
  </si>
  <si>
    <t>LSHH-V501</t>
  </si>
  <si>
    <t>ALARM[14].0</t>
  </si>
  <si>
    <t>LAHH_V501_TMR</t>
  </si>
  <si>
    <t>LSHH_V501</t>
  </si>
  <si>
    <t>lshh_v503</t>
  </si>
  <si>
    <t>LSHH-V503</t>
  </si>
  <si>
    <t>Condensate Blowcase Level Switch High High</t>
  </si>
  <si>
    <t>ALARM[14].2</t>
  </si>
  <si>
    <t>Condensate Blowcase Level Switch High High - Alarm</t>
  </si>
  <si>
    <t>LAHH_V503_TMR</t>
  </si>
  <si>
    <t>Condensate Blowcase Level Switch High High - Alarm Delay</t>
  </si>
  <si>
    <t>LSHH_V503</t>
  </si>
  <si>
    <t>Condensate Blowcase Level Switch High High - Input</t>
  </si>
  <si>
    <t>lsh_t10</t>
  </si>
  <si>
    <t>LSH-T10</t>
  </si>
  <si>
    <t>LSH_T10</t>
  </si>
  <si>
    <t>Drain Tank Level Switch High - Input</t>
  </si>
  <si>
    <t>lsh_v502</t>
  </si>
  <si>
    <t>LSH-V502</t>
  </si>
  <si>
    <t>ALARM[14].11</t>
  </si>
  <si>
    <t>LSH_V502</t>
  </si>
  <si>
    <t>lsh_v503</t>
  </si>
  <si>
    <t>LSH-V503</t>
  </si>
  <si>
    <t>Condensate Blowcase Level Switch High</t>
  </si>
  <si>
    <t>LSH_V503</t>
  </si>
  <si>
    <t>Condensate Blowcase Level Switch High - Input</t>
  </si>
  <si>
    <t>lsll_v501</t>
  </si>
  <si>
    <t>LSLL-V501</t>
  </si>
  <si>
    <t>ALARM[14].1</t>
  </si>
  <si>
    <t>LALL_V501_TMR</t>
  </si>
  <si>
    <t>LSLL_V501</t>
  </si>
  <si>
    <t>Slug Catcher Level Switch Low Low - Input</t>
  </si>
  <si>
    <t>lsll_v503</t>
  </si>
  <si>
    <t>LSLL-V503</t>
  </si>
  <si>
    <t>Condensate Blowcase Level Switch Low Low</t>
  </si>
  <si>
    <t>ALARM[14].5</t>
  </si>
  <si>
    <t>Condensate Blowcase Level Switch Low Low - Alarm</t>
  </si>
  <si>
    <t>LALL_V503_TMR</t>
  </si>
  <si>
    <t>Condensate Blowcase Level Switch Low Low - Alarm Delay</t>
  </si>
  <si>
    <t>LSLL_V503</t>
  </si>
  <si>
    <t>Condensate Blowcase Level Switch Low Low - Input</t>
  </si>
  <si>
    <t>lsl_t10</t>
  </si>
  <si>
    <t>LSL-T10</t>
  </si>
  <si>
    <t>Drain Tank Level Switch Low</t>
  </si>
  <si>
    <t>LSL_T10</t>
  </si>
  <si>
    <t>Drain Tank Level Switch Low - Input</t>
  </si>
  <si>
    <t>lsl_v502</t>
  </si>
  <si>
    <t>LSL-V502</t>
  </si>
  <si>
    <t>Discharge Scrubber Level Switch Low</t>
  </si>
  <si>
    <t>ALARM[14].12</t>
  </si>
  <si>
    <t>Discharge Scrubber Level Switch Low - Alarm</t>
  </si>
  <si>
    <t>LSL_V502</t>
  </si>
  <si>
    <t>Discharge Scrubber Level Switch Low - Input</t>
  </si>
  <si>
    <t>lsl_v503</t>
  </si>
  <si>
    <t>LSL-V503</t>
  </si>
  <si>
    <t>Condensate Blowcase Level Switch Low</t>
  </si>
  <si>
    <t>LSL_V503</t>
  </si>
  <si>
    <t>Condensate Blowcase Level Switch Low - Input</t>
  </si>
  <si>
    <t>p_501</t>
  </si>
  <si>
    <t>P-501</t>
  </si>
  <si>
    <t>0=Not in Auto;1=Auto</t>
  </si>
  <si>
    <t>HOA_P501</t>
  </si>
  <si>
    <t>XC_P501</t>
  </si>
  <si>
    <t>ALARM[18].11</t>
  </si>
  <si>
    <t>XI_P501</t>
  </si>
  <si>
    <t>0=Lead;1=Lag</t>
  </si>
  <si>
    <t>p_501_502</t>
  </si>
  <si>
    <t>P-501/502</t>
  </si>
  <si>
    <t>START_LEAD</t>
  </si>
  <si>
    <t>P501_START_SP</t>
  </si>
  <si>
    <t>lag_stop</t>
  </si>
  <si>
    <t>Lag Stop Setpoint</t>
  </si>
  <si>
    <t>P501_STOP_SP</t>
  </si>
  <si>
    <t>Slug Catcher Condensate Pumps - Lag Stop Setpoint</t>
  </si>
  <si>
    <t>START_LAG</t>
  </si>
  <si>
    <t>P502_START_SP</t>
  </si>
  <si>
    <t>P502_STOP_SP</t>
  </si>
  <si>
    <t>0 = P-501;1= P-502</t>
  </si>
  <si>
    <t>V501_PUMP_SELECT</t>
  </si>
  <si>
    <t>Slug Catcher Condensate Pumps - Lead/Lag Status</t>
  </si>
  <si>
    <t>p_502</t>
  </si>
  <si>
    <t>P-502</t>
  </si>
  <si>
    <t>HOA_P502</t>
  </si>
  <si>
    <t>XC_P502</t>
  </si>
  <si>
    <t>ALARM[18].13</t>
  </si>
  <si>
    <t>XI_P502</t>
  </si>
  <si>
    <t>pcv_501</t>
  </si>
  <si>
    <t>cmd_read_path</t>
  </si>
  <si>
    <t>PCV-501</t>
  </si>
  <si>
    <t>Slug Catcher Pressure Control Valve</t>
  </si>
  <si>
    <t>PIC_501_AM</t>
  </si>
  <si>
    <t>Slug Catcher Pressure Control Valve - Auto/Manual Mode</t>
  </si>
  <si>
    <t>PIC_501_CV</t>
  </si>
  <si>
    <t>Slug Catcher Pressure Control Valve - Control Variable</t>
  </si>
  <si>
    <t>PIC_501.KD</t>
  </si>
  <si>
    <t>Slug Catcher Pressure Control Valve - Derivative</t>
  </si>
  <si>
    <t>PIC_501.KI</t>
  </si>
  <si>
    <t>Slug Catcher Pressure Control Valve - Integral</t>
  </si>
  <si>
    <t>PIC_501.MO</t>
  </si>
  <si>
    <t>Slug Catcher Pressure Control Valve - Manual Mode</t>
  </si>
  <si>
    <t>PIC_501_Manual_Output</t>
  </si>
  <si>
    <t>Slug Catcher Pressure Control Valve - Manual Output</t>
  </si>
  <si>
    <t>PIC_501.MAXO</t>
  </si>
  <si>
    <t>Slug Catcher Pressure Control Valve - Maximum CV</t>
  </si>
  <si>
    <t>PIC_501.MINO</t>
  </si>
  <si>
    <t>Slug Catcher Pressure Control Valve - Minimum CV</t>
  </si>
  <si>
    <t>PIC_501.PV</t>
  </si>
  <si>
    <t>Slug Catcher Pressure Control Valve - Process Variable</t>
  </si>
  <si>
    <t>PIC_501.KP</t>
  </si>
  <si>
    <t>Slug Catcher Pressure Control Valve - Proportional</t>
  </si>
  <si>
    <t>PIC_501.SP</t>
  </si>
  <si>
    <t>Slug Catcher Pressure Control Valve - Setpoint</t>
  </si>
  <si>
    <t>pcv_k59</t>
  </si>
  <si>
    <t>PCV-K59</t>
  </si>
  <si>
    <t>PIC_K59_1.SWM</t>
  </si>
  <si>
    <t>PIC_K59_1_CV</t>
  </si>
  <si>
    <t>PIC_K59_1.KD</t>
  </si>
  <si>
    <t>PIC_K59_1.KI</t>
  </si>
  <si>
    <t>PIC_K59_1.SO</t>
  </si>
  <si>
    <t>PIC_K59_1.MAXO</t>
  </si>
  <si>
    <t>PIC_K59_1.MINO</t>
  </si>
  <si>
    <t>PIC_K59_1.PV</t>
  </si>
  <si>
    <t>PIC_K59_1.KP</t>
  </si>
  <si>
    <t>PIC_K59_1.SP</t>
  </si>
  <si>
    <t>pcv_k60</t>
  </si>
  <si>
    <t>PCV-K60</t>
  </si>
  <si>
    <t>PIC_K60_1.SWM</t>
  </si>
  <si>
    <t>PIC_K60_1_CV</t>
  </si>
  <si>
    <t>PIC_K60_1.KD</t>
  </si>
  <si>
    <t>PIC_K60_1.KI</t>
  </si>
  <si>
    <t>PIC_K60_1.SO</t>
  </si>
  <si>
    <t>PIC_K60_1.MAXO</t>
  </si>
  <si>
    <t>PIC_K60_1.MINO</t>
  </si>
  <si>
    <t>PIC_K60_1.PV</t>
  </si>
  <si>
    <t>PIC_K60_1.KP</t>
  </si>
  <si>
    <t>PIC_K60_1.SP</t>
  </si>
  <si>
    <t>pit_33shp</t>
  </si>
  <si>
    <t>PIT-33SHP</t>
  </si>
  <si>
    <t>Compressor Discharge Header Pressure</t>
  </si>
  <si>
    <t>PT_33SHP</t>
  </si>
  <si>
    <t>Compressor Discharge Header Pressure - Process Value</t>
  </si>
  <si>
    <t>REMOTE_EN2T:5:C.Ch3Config.HighEngineering</t>
  </si>
  <si>
    <t>Compressor Discharge Header Pressure - PV Maximum Scaled Value</t>
  </si>
  <si>
    <t>REMOTE_EN2T:5:C.Ch3Config.LowEngineering</t>
  </si>
  <si>
    <t>Compressor Discharge Header Pressure - PV Minimum Scaled Value</t>
  </si>
  <si>
    <t>pit_501a</t>
  </si>
  <si>
    <t>PIT-501A</t>
  </si>
  <si>
    <t>PIT_501A</t>
  </si>
  <si>
    <t>Local:4:C.Ch3Config.HighEngineering</t>
  </si>
  <si>
    <t>Local:4:C.Ch3Config.LowEngineering</t>
  </si>
  <si>
    <t>pit_501b</t>
  </si>
  <si>
    <t>PIT-501B</t>
  </si>
  <si>
    <t>PIT_501B</t>
  </si>
  <si>
    <t>pit_502</t>
  </si>
  <si>
    <t>PIT-502</t>
  </si>
  <si>
    <t>Slug Catcher Outlet Pressure</t>
  </si>
  <si>
    <t>REMOTE_EN2T:5:I.Ch2Data</t>
  </si>
  <si>
    <t>Slug Catcher Outlet Pressure - Process Value</t>
  </si>
  <si>
    <t>REMOTE_EN2T:5:C.Ch2Config.HighEngineering</t>
  </si>
  <si>
    <t>Slug Catcher Outlet Pressure - PV Maximum Scaled Value</t>
  </si>
  <si>
    <t>REMOTE_EN2T:5:C.Ch2Config.LowEngineering</t>
  </si>
  <si>
    <t>Slug Catcher Outlet Pressure - PV Minimum Scaled Value</t>
  </si>
  <si>
    <t>pit_k59</t>
  </si>
  <si>
    <t>PIT-K59</t>
  </si>
  <si>
    <t>ALARM[10].16</t>
  </si>
  <si>
    <t>TIMER[0]</t>
  </si>
  <si>
    <t>WRITEFLOAT[118]</t>
  </si>
  <si>
    <t>ALARM[10].17</t>
  </si>
  <si>
    <t>TIMER[1]</t>
  </si>
  <si>
    <t>WRITEFLOAT[119]</t>
  </si>
  <si>
    <t>PIT_K59_1</t>
  </si>
  <si>
    <t>REMOTE_EN2T:5:C.Ch0Config.HighEngineering</t>
  </si>
  <si>
    <t>REMOTE_EN2T:5:C.Ch0Config.LowEngineering</t>
  </si>
  <si>
    <t>pit_k60</t>
  </si>
  <si>
    <t>PIT-K60</t>
  </si>
  <si>
    <t>ALARM[10].18</t>
  </si>
  <si>
    <t>TIMER[2]</t>
  </si>
  <si>
    <t>WRITEFLOAT[123]</t>
  </si>
  <si>
    <t>ALARM[10].19</t>
  </si>
  <si>
    <t>TIMER[3]</t>
  </si>
  <si>
    <t>WRITEFLOAT[124]</t>
  </si>
  <si>
    <t>PIT_K60_1</t>
  </si>
  <si>
    <t>REMOTE_EN2T:5:C.Ch1Config.HighEngineering</t>
  </si>
  <si>
    <t>REMOTE_EN2T:5:C.Ch1Config.LowEngineering</t>
  </si>
  <si>
    <t>PLC-BOP</t>
  </si>
  <si>
    <t>Compressor Station PLC</t>
  </si>
  <si>
    <t>ALARM[16].11</t>
  </si>
  <si>
    <t xml:space="preserve">Compressor Station PLC - Emergency Shutdown Relay Trip Shutdown </t>
  </si>
  <si>
    <t>uvir_bypass</t>
  </si>
  <si>
    <t>Flame Detection Bypass Status</t>
  </si>
  <si>
    <t>0=Normal;1=Bypass</t>
  </si>
  <si>
    <t>PB_2</t>
  </si>
  <si>
    <t>Compressor Station PLC - Flame Detection Bypass Status</t>
  </si>
  <si>
    <t>Flame Detection Bypassed</t>
  </si>
  <si>
    <t>ALARM[16].12</t>
  </si>
  <si>
    <t>Compressor Station PLC - Flame Detection Bypassed</t>
  </si>
  <si>
    <t>Utilize proper casing for states field Invalid Allowed_Sequence.</t>
  </si>
  <si>
    <t>Mode Status</t>
  </si>
  <si>
    <t>0=ESOZ Inj.; 1=STV HP</t>
  </si>
  <si>
    <t>WRITEFLOAT[0]</t>
  </si>
  <si>
    <t>Compressor Station PLC - Mode Status</t>
  </si>
  <si>
    <t>0=ESD;1=Ok</t>
  </si>
  <si>
    <t>ESR_4</t>
  </si>
  <si>
    <t>Compressor Station PLC - Site ESD Status</t>
  </si>
  <si>
    <t>RESET_CIMREX</t>
  </si>
  <si>
    <t>Compressor Station PLC - Alarm Reset</t>
  </si>
  <si>
    <t>psll_504</t>
  </si>
  <si>
    <t>PSLL-504</t>
  </si>
  <si>
    <t>Instrument Air Pressure Switch Low Low</t>
  </si>
  <si>
    <t>ALARM[14].10</t>
  </si>
  <si>
    <t>Instrument Air Pressure Switch Low Low - Alarm</t>
  </si>
  <si>
    <t>PSLL_504</t>
  </si>
  <si>
    <t>Instrument Air Pressure Switch Low Low - Input</t>
  </si>
  <si>
    <t>te_1l</t>
  </si>
  <si>
    <t>TE-1L</t>
  </si>
  <si>
    <t>Power Cylinder 1L Temperature</t>
  </si>
  <si>
    <t>REMOTE_EN2T:1:I.Ch[6].Data</t>
  </si>
  <si>
    <t>Power Cylinder 1L Temperature - Process Value</t>
  </si>
  <si>
    <t>REMOTE_EN2T:3:I.Ch[6].Data</t>
  </si>
  <si>
    <t>te_1r</t>
  </si>
  <si>
    <t>TE-1R</t>
  </si>
  <si>
    <t>Power Cylinder 1R Temperature</t>
  </si>
  <si>
    <t>REMOTE_EN2T:1:I.Ch[0].Data</t>
  </si>
  <si>
    <t>Power Cylinder 1R Temperature - Process Value</t>
  </si>
  <si>
    <t>REMOTE_EN2T:3:I.Ch[0].Data</t>
  </si>
  <si>
    <t>te_2l</t>
  </si>
  <si>
    <t>TE-2L</t>
  </si>
  <si>
    <t>Power Cylinder 2L Temperature</t>
  </si>
  <si>
    <t>REMOTE_EN2T:1:I.Ch[7].Data</t>
  </si>
  <si>
    <t>Power Cylinder 2L Temperature - Process Value</t>
  </si>
  <si>
    <t>REMOTE_EN2T:3:I.Ch[7].Data</t>
  </si>
  <si>
    <t>te_2r</t>
  </si>
  <si>
    <t>TE-2R</t>
  </si>
  <si>
    <t>Power Cylinder 2R Temperature</t>
  </si>
  <si>
    <t>REMOTE_EN2T:1:I.Ch[1].Data</t>
  </si>
  <si>
    <t>Power Cylinder 2R Temperature - Process Value</t>
  </si>
  <si>
    <t>REMOTE_EN2T:3:I.Ch[1].Data</t>
  </si>
  <si>
    <t>te_3l</t>
  </si>
  <si>
    <t>TE-3L</t>
  </si>
  <si>
    <t>Power Cylinder 3L Temperature</t>
  </si>
  <si>
    <t>REMOTE_EN2T:2:I.Ch[0].Data</t>
  </si>
  <si>
    <t>Power Cylinder 3L Temperature - Process Value</t>
  </si>
  <si>
    <t>REMOTE_EN2T:4:I.Ch[0].Data</t>
  </si>
  <si>
    <t>te_3r</t>
  </si>
  <si>
    <t>TE-3R</t>
  </si>
  <si>
    <t>Power Cylinder 3R Temperature</t>
  </si>
  <si>
    <t>REMOTE_EN2T:1:I.Ch[2].Data</t>
  </si>
  <si>
    <t>Power Cylinder 3R Temperature - Process Value</t>
  </si>
  <si>
    <t>REMOTE_EN2T:3:I.Ch[2].Data</t>
  </si>
  <si>
    <t>te_4l</t>
  </si>
  <si>
    <t>TE-4L</t>
  </si>
  <si>
    <t>Power Cylinder 4L Temperature</t>
  </si>
  <si>
    <t>REMOTE_EN2T:2:I.Ch[1].Data</t>
  </si>
  <si>
    <t>Power Cylinder 4L Temperature - Process Value</t>
  </si>
  <si>
    <t>REMOTE_EN2T:4:I.Ch[1].Data</t>
  </si>
  <si>
    <t>te_4r</t>
  </si>
  <si>
    <t>TE-4R</t>
  </si>
  <si>
    <t>Power Cylinder 4R Temperature</t>
  </si>
  <si>
    <t>REMOTE_EN2T:1:I.Ch[3].Data</t>
  </si>
  <si>
    <t>Power Cylinder 4R Temperature - Process Value</t>
  </si>
  <si>
    <t>REMOTE_EN2T:3:I.Ch[3].Data</t>
  </si>
  <si>
    <t>te_5l</t>
  </si>
  <si>
    <t>TE-5L</t>
  </si>
  <si>
    <t>Power Cylinder 5L Temperature</t>
  </si>
  <si>
    <t>REMOTE_EN2T:2:I.Ch[2].Data</t>
  </si>
  <si>
    <t>Power Cylinder 5L Temperature - Process Value</t>
  </si>
  <si>
    <t>REMOTE_EN2T:4:I.Ch[2].Data</t>
  </si>
  <si>
    <t>te_5r</t>
  </si>
  <si>
    <t>TE-5R</t>
  </si>
  <si>
    <t>Power Cylinder 5R Temperature</t>
  </si>
  <si>
    <t>REMOTE_EN2T:1:I.Ch[4].Data</t>
  </si>
  <si>
    <t>Power Cylinder 5R Temperature - Process Value</t>
  </si>
  <si>
    <t>REMOTE_EN2T:3:I.Ch[4].Data</t>
  </si>
  <si>
    <t>te_6l</t>
  </si>
  <si>
    <t>TE-6L</t>
  </si>
  <si>
    <t>Power Cylinder 6L Temperature</t>
  </si>
  <si>
    <t>REMOTE_EN2T:2:I.Ch[3].Data</t>
  </si>
  <si>
    <t>Power Cylinder 6L Temperature - Process Value</t>
  </si>
  <si>
    <t>REMOTE_EN2T:4:I.Ch[3].Data</t>
  </si>
  <si>
    <t>te_6r</t>
  </si>
  <si>
    <t>TE-6R</t>
  </si>
  <si>
    <t>Power Cylinder 6R Temperature</t>
  </si>
  <si>
    <t>REMOTE_EN2T:1:I.Ch[5].Data</t>
  </si>
  <si>
    <t>Power Cylinder 6R Temperature - Process Value</t>
  </si>
  <si>
    <t>REMOTE_EN2T:3:I.Ch[5].Data</t>
  </si>
  <si>
    <t>XCV-101</t>
  </si>
  <si>
    <t>Station STV Gas Outlet ESD Valve</t>
  </si>
  <si>
    <t>XSC_101</t>
  </si>
  <si>
    <t>Station STV Gas Outlet ESD Valve - Closed Switch Status</t>
  </si>
  <si>
    <t>XSO_101</t>
  </si>
  <si>
    <t>Station STV Gas Outlet ESD Valve - Open Switch Status</t>
  </si>
  <si>
    <t>XY_101</t>
  </si>
  <si>
    <t>Station STV Gas Outlet ESD Valve - Output Command</t>
  </si>
  <si>
    <t>XCV-102</t>
  </si>
  <si>
    <t>Fuel Gas Inlet ESD Valve</t>
  </si>
  <si>
    <t>XSC_102</t>
  </si>
  <si>
    <t>Fuel Gas Inlet ESD Valve - Closed Switch Status</t>
  </si>
  <si>
    <t>XSO_102</t>
  </si>
  <si>
    <t>Fuel Gas Inlet ESD Valve - Open Switch Status</t>
  </si>
  <si>
    <t>XY_102</t>
  </si>
  <si>
    <t>Fuel Gas Inlet ESD Valve - Output Command</t>
  </si>
  <si>
    <t>XCV-103</t>
  </si>
  <si>
    <t>XSC_103</t>
  </si>
  <si>
    <t>Station Blowdown ESD Valve - Closed Switch Status</t>
  </si>
  <si>
    <t>XSO_103</t>
  </si>
  <si>
    <t>Station Blowdown ESD Valve - Open Switch Status</t>
  </si>
  <si>
    <t>XY_103</t>
  </si>
  <si>
    <t>xcv_104</t>
  </si>
  <si>
    <t>XCV-104</t>
  </si>
  <si>
    <t>Station STV Discharge To Vent Stack ESD Valve</t>
  </si>
  <si>
    <t>Station STV Discharge To Vent Stack ESD Valve - Output Command</t>
  </si>
  <si>
    <t>xcv_105</t>
  </si>
  <si>
    <t>XCV-105</t>
  </si>
  <si>
    <t>Site Fuel Gas to Vent ESD Valve</t>
  </si>
  <si>
    <t>Site Fuel Gas to Vent ESD Valve - Output Command</t>
  </si>
  <si>
    <t>xv_106</t>
  </si>
  <si>
    <t>XCV-106</t>
  </si>
  <si>
    <t>Station ESOZ Gas Outlet ESD Valve</t>
  </si>
  <si>
    <t>ZSC_106</t>
  </si>
  <si>
    <t>Station ESOZ Gas Outlet ESD Valve - Closed Switch Status</t>
  </si>
  <si>
    <t>ZSO_106</t>
  </si>
  <si>
    <t>Station ESOZ Gas Outlet ESD Valve - Open Switch Status</t>
  </si>
  <si>
    <t>XY_106</t>
  </si>
  <si>
    <t>Station ESOZ Gas Outlet ESD Valve - Output Command</t>
  </si>
  <si>
    <t>xcv_107</t>
  </si>
  <si>
    <t>XCV-107</t>
  </si>
  <si>
    <t>Station SOZ Discharge To Vent Stack ESD Valve</t>
  </si>
  <si>
    <t>0=Not Closed; 1=Closed</t>
  </si>
  <si>
    <t>ZSC_107</t>
  </si>
  <si>
    <t>Station SOZ Discharge To Vent Stack ESD Valve - Closed Switch Status</t>
  </si>
  <si>
    <t>ZSO_107</t>
  </si>
  <si>
    <t>Station SOZ Discharge To Vent Stack ESD Valve - Open Switch Status</t>
  </si>
  <si>
    <t>Station SOZ Discharge To Vent Stack ESD Valve - Output Command</t>
  </si>
  <si>
    <t>xv_501</t>
  </si>
  <si>
    <t>XCV-501</t>
  </si>
  <si>
    <t>ZSC_V501</t>
  </si>
  <si>
    <t>ZSO_V501</t>
  </si>
  <si>
    <t>XY_501</t>
  </si>
  <si>
    <t>Station Gas Inlet ESD Valve - Output Command</t>
  </si>
  <si>
    <t>xv_502</t>
  </si>
  <si>
    <t>XCV-502</t>
  </si>
  <si>
    <t>ZSC_V502</t>
  </si>
  <si>
    <t>ZSO_V502</t>
  </si>
  <si>
    <t>XY_502</t>
  </si>
  <si>
    <t>Condensate Pumps Discharge ESD Valve - Output Command</t>
  </si>
  <si>
    <t>xv_503</t>
  </si>
  <si>
    <t>XCV-503</t>
  </si>
  <si>
    <t>Condensate Blowcase Drive Gas Valve</t>
  </si>
  <si>
    <t>XY_503</t>
  </si>
  <si>
    <t>Condensate Blowcase Drive Gas Valve - Output Command</t>
  </si>
  <si>
    <t>xt_500</t>
  </si>
  <si>
    <t>XT-500</t>
  </si>
  <si>
    <t>ALARM[5].11</t>
  </si>
  <si>
    <t>XT_500</t>
  </si>
  <si>
    <t>xt_k59</t>
  </si>
  <si>
    <t>XT-K59</t>
  </si>
  <si>
    <t>ALARM[5].3</t>
  </si>
  <si>
    <t>XT_K59</t>
  </si>
  <si>
    <t>xt_k60</t>
  </si>
  <si>
    <t>XT-K60</t>
  </si>
  <si>
    <t>ALARM[5].7</t>
  </si>
  <si>
    <t>XT_K60</t>
  </si>
  <si>
    <t>zs_ds1</t>
  </si>
  <si>
    <t>ZS-DS1</t>
  </si>
  <si>
    <t>PLC Door Switch</t>
  </si>
  <si>
    <t>ALARM[16].10</t>
  </si>
  <si>
    <t>PLC Door Switch - Alarm</t>
  </si>
  <si>
    <t>The 'not Ok' state for a switch should typically be in the format: High/Low &lt;Variable&gt; (e.g., High/Low Level)</t>
  </si>
  <si>
    <t>0=Door Open;1=Ok</t>
  </si>
  <si>
    <t>DS1</t>
  </si>
  <si>
    <t>PLC Door Switch - Input</t>
  </si>
  <si>
    <t>36b_2d</t>
  </si>
  <si>
    <t>gas</t>
  </si>
  <si>
    <t>compressors</t>
  </si>
  <si>
    <t>c_4930a</t>
  </si>
  <si>
    <t>C-4930A</t>
  </si>
  <si>
    <t>VRU Screw Compressor</t>
  </si>
  <si>
    <t>DigIn_7.5</t>
  </si>
  <si>
    <t>TF_2D_36B_VRU_4930</t>
  </si>
  <si>
    <t>TF 2D 36B</t>
  </si>
  <si>
    <t>Gas</t>
  </si>
  <si>
    <t>VRU Screw Compressor - Auto Status</t>
  </si>
  <si>
    <t>VRU Screw Compressor - Lead/Lag Status</t>
  </si>
  <si>
    <t>oil</t>
  </si>
  <si>
    <t>at_101</t>
  </si>
  <si>
    <t>AT-101</t>
  </si>
  <si>
    <t>P-106 Discharge Oil BS&amp;W</t>
  </si>
  <si>
    <t>ALARM[0].21</t>
  </si>
  <si>
    <t>TF_2D_36B</t>
  </si>
  <si>
    <t>Oil</t>
  </si>
  <si>
    <t>P-106 Discharge Oil BS&amp;W - High High Alarm</t>
  </si>
  <si>
    <t>ALARM[0].22</t>
  </si>
  <si>
    <t>P-106 Discharge Oil BS&amp;W - High Alarm</t>
  </si>
  <si>
    <t>utilities</t>
  </si>
  <si>
    <t>plcs</t>
  </si>
  <si>
    <t>tf</t>
  </si>
  <si>
    <t>comm_fail_vru</t>
  </si>
  <si>
    <t>PLC-TF</t>
  </si>
  <si>
    <t>Tank Farm PLC</t>
  </si>
  <si>
    <t>Communication Failure with VRU PLC</t>
  </si>
  <si>
    <t>ALARM[0].30</t>
  </si>
  <si>
    <t>Tank Farm PLC - Communication Failure with VRU PLC</t>
  </si>
  <si>
    <t>p_101</t>
  </si>
  <si>
    <t>P-101</t>
  </si>
  <si>
    <t>Suction Scrubber Condensate Pump</t>
  </si>
  <si>
    <t>ALARM[4].29</t>
  </si>
  <si>
    <t>TF_2D_36B_VRU_101</t>
  </si>
  <si>
    <t>Suction Scrubber Condensate Pump - Run Fail</t>
  </si>
  <si>
    <t>lit_t108</t>
  </si>
  <si>
    <t>LIT-T108</t>
  </si>
  <si>
    <t>Stock Tank Level</t>
  </si>
  <si>
    <t>ALARM[26].0</t>
  </si>
  <si>
    <t>LAHH-T108</t>
  </si>
  <si>
    <t>Stock Tank Level - High High Alarm</t>
  </si>
  <si>
    <t>SD (Site)</t>
  </si>
  <si>
    <t>ALARM[26].1</t>
  </si>
  <si>
    <t>Stock Tank Level - High Alarm</t>
  </si>
  <si>
    <t>water</t>
  </si>
  <si>
    <t>xv_v562a</t>
  </si>
  <si>
    <t>XV-V562A</t>
  </si>
  <si>
    <t>ISF Skim Out Out Block Valve</t>
  </si>
  <si>
    <t>REMOTE_IO:15:O.Data.10</t>
  </si>
  <si>
    <t>Water</t>
  </si>
  <si>
    <t>ISF Skim Out Out Block Valve - Output Command</t>
  </si>
  <si>
    <t>lshh_t102</t>
  </si>
  <si>
    <t>LSHH-T102</t>
  </si>
  <si>
    <t>Drain Tank Level Switch High High</t>
  </si>
  <si>
    <t>ALARM[26].17</t>
  </si>
  <si>
    <t>LS-LSHH-T102</t>
  </si>
  <si>
    <t>Drain Tank Level Switch High High - Alarm</t>
  </si>
  <si>
    <t>lit_t102</t>
  </si>
  <si>
    <t>LIT-T102</t>
  </si>
  <si>
    <t>ALARM[26].18</t>
  </si>
  <si>
    <t>ALARM[26].2</t>
  </si>
  <si>
    <t>Stock Tank Level - Low Alarm</t>
  </si>
  <si>
    <t>lsll_t102</t>
  </si>
  <si>
    <t>LSLL-T102</t>
  </si>
  <si>
    <t>Drain Tank Level Switch Low Low</t>
  </si>
  <si>
    <t>ALARM[26].20</t>
  </si>
  <si>
    <t>Drain Tank Level Switch Low Low - Alarm</t>
  </si>
  <si>
    <t>pshh_102</t>
  </si>
  <si>
    <t>PSHH-102</t>
  </si>
  <si>
    <t>Drain Tank Pump Discharge Pressure Switch High High</t>
  </si>
  <si>
    <t>ALARM[26].21</t>
  </si>
  <si>
    <t>Drain Tank Pump Discharge Pressure Switch High High - Alarm</t>
  </si>
  <si>
    <t>fit_p30</t>
  </si>
  <si>
    <t>FIT-P30</t>
  </si>
  <si>
    <t>P-106 Oil Transfer Pump Discharge Flow</t>
  </si>
  <si>
    <t>ALARM[26].25</t>
  </si>
  <si>
    <t>P-106 Oil Transfer Pump Discharge Flow - Low Alarm</t>
  </si>
  <si>
    <t>pit_703</t>
  </si>
  <si>
    <t>PIT-703</t>
  </si>
  <si>
    <t>25B Production Inlet Pressure</t>
  </si>
  <si>
    <t>ALARM[26].27</t>
  </si>
  <si>
    <t>25B Production Inlet Pressure - High Alarm</t>
  </si>
  <si>
    <t>ALARM[26].28</t>
  </si>
  <si>
    <t>25B Production Inlet Pressure - Low Alarm</t>
  </si>
  <si>
    <t>ALARM[26].3</t>
  </si>
  <si>
    <t>LALL-T108</t>
  </si>
  <si>
    <t>Stock Tank Level - Low Low Alarm</t>
  </si>
  <si>
    <t>SD (P-30)</t>
  </si>
  <si>
    <t>xs_ds1</t>
  </si>
  <si>
    <t>XS-DS1</t>
  </si>
  <si>
    <t>PLC Remote I/O Near Drain Tank Door Switch</t>
  </si>
  <si>
    <t>ALARM[3].15</t>
  </si>
  <si>
    <t>PLC Remote I/O Near Drain Tank Door Switch - Alarm</t>
  </si>
  <si>
    <t>vshh_e101</t>
  </si>
  <si>
    <t>VSHH-E101</t>
  </si>
  <si>
    <t>Cooler Fan Vibration Switch High</t>
  </si>
  <si>
    <t>ALARM[4].22</t>
  </si>
  <si>
    <t>Cooler Fan Vibration Switch High - Alarm</t>
  </si>
  <si>
    <t>Comp_A_SDFlag</t>
  </si>
  <si>
    <t>VRU Screw Compressor - Permissive Status</t>
  </si>
  <si>
    <t>fsl_k101a</t>
  </si>
  <si>
    <t>FSL-K101A</t>
  </si>
  <si>
    <t>K-101A Compressor Lubricator Flow Switch Low Low</t>
  </si>
  <si>
    <t>ALARM[4].24</t>
  </si>
  <si>
    <t>K-101A Compressor Lubricator Flow Switch Low Low - Alarm</t>
  </si>
  <si>
    <t>vshh_k101a</t>
  </si>
  <si>
    <t>VSHH-K101A</t>
  </si>
  <si>
    <t>K-101A Compressor Vibration Switch High High</t>
  </si>
  <si>
    <t>ALARM[4].25</t>
  </si>
  <si>
    <t>K-101A Compressor Vibration Switch High High - Alarm</t>
  </si>
  <si>
    <t>DigOut_11.0</t>
  </si>
  <si>
    <t>VRU Screw Compressor - Run Command</t>
  </si>
  <si>
    <t>fsl_k101b</t>
  </si>
  <si>
    <t>FSL-K101B</t>
  </si>
  <si>
    <t>K-101B Compressor Lubricator Flow Switch Low Low</t>
  </si>
  <si>
    <t>ALARM[4].27</t>
  </si>
  <si>
    <t>K-101B Compressor Lubricator Flow Switch Low Low - Alarm</t>
  </si>
  <si>
    <t>vshh_k101b</t>
  </si>
  <si>
    <t>VSHH-K101B</t>
  </si>
  <si>
    <t>K-101B Compressor Vibration Switch High High</t>
  </si>
  <si>
    <t>ALARM[4].28</t>
  </si>
  <si>
    <t>K-101B Compressor Vibration Switch High High - Alarm</t>
  </si>
  <si>
    <t>SLOT_4_24_VDC_INPUT_TABLE[0].10</t>
  </si>
  <si>
    <t>Suction Scrubber Condensate Pump - Run Status</t>
  </si>
  <si>
    <t>lsh_v101</t>
  </si>
  <si>
    <t>LSH-V101</t>
  </si>
  <si>
    <t>V-101 Suction Scrubber Level Switch High</t>
  </si>
  <si>
    <t>ALARM[4].30</t>
  </si>
  <si>
    <t>V-101 Suction Scrubber Level Switch High - Alarm</t>
  </si>
  <si>
    <t>lsh_v102</t>
  </si>
  <si>
    <t>LSH-V102</t>
  </si>
  <si>
    <t>V-102 Discharge Scrubber Level Switch High</t>
  </si>
  <si>
    <t>ALARM[4].31</t>
  </si>
  <si>
    <t>V-102 Discharge Scrubber Level Switch High - Alarm</t>
  </si>
  <si>
    <t>xs_ds2</t>
  </si>
  <si>
    <t>XS-DS2</t>
  </si>
  <si>
    <t>PLC Remote I/O Near Water Tanks Door Switch</t>
  </si>
  <si>
    <t>ALARM[4].4</t>
  </si>
  <si>
    <t>PLC Remote I/O Near Water Tanks Door Switch - Alarm</t>
  </si>
  <si>
    <t>e_101</t>
  </si>
  <si>
    <t>E-101</t>
  </si>
  <si>
    <t>Process Cooler</t>
  </si>
  <si>
    <t>ALARM[5].0</t>
  </si>
  <si>
    <t>Process Cooler - Run Fail</t>
  </si>
  <si>
    <t>DigShtdwns[0].18</t>
  </si>
  <si>
    <t>VRU Screw Compressor - Run Fail</t>
  </si>
  <si>
    <t>SD (C-4930A)</t>
  </si>
  <si>
    <t>CompA_Run_Status.DigitalInput</t>
  </si>
  <si>
    <t>VRU Screw Compressor - Run Status</t>
  </si>
  <si>
    <t>Comp_A.Total</t>
  </si>
  <si>
    <t>VRU Screw Compressor - Runtime</t>
  </si>
  <si>
    <t>xs_ds3</t>
  </si>
  <si>
    <t>XS-DS3</t>
  </si>
  <si>
    <t>K-101 PLC Door Switch</t>
  </si>
  <si>
    <t>ALARM[5].4</t>
  </si>
  <si>
    <t>K-101 PLC Door Switch - Alarm</t>
  </si>
  <si>
    <t>c_4930a_b</t>
  </si>
  <si>
    <t>control_mode</t>
  </si>
  <si>
    <t>C-4930A/B</t>
  </si>
  <si>
    <t>Vapor Recovery Compressors</t>
  </si>
  <si>
    <t>Control Mode</t>
  </si>
  <si>
    <t>0=VFD Control;1=Recycle Control</t>
  </si>
  <si>
    <t>PressCtrlMode</t>
  </si>
  <si>
    <t>Vapor Recovery Compressors - Control Mode</t>
  </si>
  <si>
    <t>HMIReal[1]</t>
  </si>
  <si>
    <t>Vapor Recovery Compressors - Lead Start Setpoint</t>
  </si>
  <si>
    <t>HMIReal[0]</t>
  </si>
  <si>
    <t>Vapor Recovery Compressors - Lead Stop Setpoint</t>
  </si>
  <si>
    <t>lead_lag_mode</t>
  </si>
  <si>
    <t>Lead/Lag Control Mode</t>
  </si>
  <si>
    <t>0=Auto Swap;1=Operator Selection</t>
  </si>
  <si>
    <t>Vapor Recovery Compressors - Lead/Lag Control Mode</t>
  </si>
  <si>
    <t>1=C-4930A Lead;2=C-4930B Lead</t>
  </si>
  <si>
    <t>Comp_Control[0]</t>
  </si>
  <si>
    <t>Vapor Recovery Compressors - Lead/Lag Status</t>
  </si>
  <si>
    <t>HMIDint[2]</t>
  </si>
  <si>
    <t>5=ESD Stop;10=Shutdown;15=HOAs not in Auto;20=No BOP Perm.;25=Ready to Start;30=Start Initiated;40= Class B Start Up Delay;50=Running</t>
  </si>
  <si>
    <t>Sequence</t>
  </si>
  <si>
    <t>Vapor Recovery Compressors - Status</t>
  </si>
  <si>
    <t>c_4930b</t>
  </si>
  <si>
    <t>C-4930B</t>
  </si>
  <si>
    <t>DigIn_7.7</t>
  </si>
  <si>
    <t>Comp_B_SDFlag</t>
  </si>
  <si>
    <t>DigOut_12.0</t>
  </si>
  <si>
    <t>DigShtdwns[0].19</t>
  </si>
  <si>
    <t>SD (C-4930B)</t>
  </si>
  <si>
    <t>CompB_Run_Status.DigitalInput</t>
  </si>
  <si>
    <t>Comp_B.Total</t>
  </si>
  <si>
    <t>cv_v4972a_07</t>
  </si>
  <si>
    <t>CV-V4972A-07</t>
  </si>
  <si>
    <t>Recycle Control Valve</t>
  </si>
  <si>
    <t>1=Auto; 0=Manual</t>
  </si>
  <si>
    <t>RecycleCtrl.ModeSelectHMI</t>
  </si>
  <si>
    <t>Recycle Control Valve - Auto/Manual Mode</t>
  </si>
  <si>
    <t>Recycle.OUT</t>
  </si>
  <si>
    <t>Recycle Control Valve - Control Variable</t>
  </si>
  <si>
    <t>Recycle.KD</t>
  </si>
  <si>
    <t>Recycle Control Valve - Derivative</t>
  </si>
  <si>
    <t>Recycle.KI</t>
  </si>
  <si>
    <t>Recycle Control Valve - Integral</t>
  </si>
  <si>
    <t>RecycleCtrl.HMIManualValue</t>
  </si>
  <si>
    <t>Recycle Control Valve - Manual Output</t>
  </si>
  <si>
    <t>Recycle.MAXO</t>
  </si>
  <si>
    <t>Recycle Control Valve - Maximum CV</t>
  </si>
  <si>
    <t>Recycle.MINO</t>
  </si>
  <si>
    <t>Recycle Control Valve - Minimum CV</t>
  </si>
  <si>
    <t>Recycle.PV</t>
  </si>
  <si>
    <t>Recycle Control Valve - Process Variable</t>
  </si>
  <si>
    <t>Recycle.KP</t>
  </si>
  <si>
    <t>Recycle Control Valve - Proportional</t>
  </si>
  <si>
    <t>Recycle.SP</t>
  </si>
  <si>
    <t>Recycle Control Valve - Setpoint</t>
  </si>
  <si>
    <t>e_4929</t>
  </si>
  <si>
    <t>E-4929</t>
  </si>
  <si>
    <t>Gas Cooler</t>
  </si>
  <si>
    <t>DigIn_7.13</t>
  </si>
  <si>
    <t>Gas Cooler - Auto Status</t>
  </si>
  <si>
    <t>DigOut_11.2</t>
  </si>
  <si>
    <t>Gas Cooler - Run Command</t>
  </si>
  <si>
    <t>DigAlarms[0].24</t>
  </si>
  <si>
    <t>Gas Cooler - Run Fail</t>
  </si>
  <si>
    <t>E_4929_Run_Status.DigitalInput</t>
  </si>
  <si>
    <t>Gas Cooler - Run Status</t>
  </si>
  <si>
    <t>it_c4930a</t>
  </si>
  <si>
    <t>IT-C4930A</t>
  </si>
  <si>
    <t>C-4930A Motor Current</t>
  </si>
  <si>
    <t>AnaAlarms[2].16</t>
  </si>
  <si>
    <t>C-4930A Motor Current - High Alarm</t>
  </si>
  <si>
    <t>C4930A_VFD_AMP.HTimerAlert</t>
  </si>
  <si>
    <t>C-4930A Motor Current - High Alarm Delay</t>
  </si>
  <si>
    <t>AlarmSPWrite[96]</t>
  </si>
  <si>
    <t>C-4930A Motor Current - High Alarm Setpoint</t>
  </si>
  <si>
    <t>C4930A_VFD_AMP.HSetpoint</t>
  </si>
  <si>
    <t>AnaShtdwns[2].16</t>
  </si>
  <si>
    <t>IAHH-C4930A</t>
  </si>
  <si>
    <t>C-4930A Motor Current - High High Alarm</t>
  </si>
  <si>
    <t>C4930A_VFD_AMP.HHTimerAlarm</t>
  </si>
  <si>
    <t>C-4930A Motor Current - High High Alarm Delay</t>
  </si>
  <si>
    <t>C4930A_VFD_AMP.HHSetpoint</t>
  </si>
  <si>
    <t>C-4930A Motor Current - High High Alarm Setpoint</t>
  </si>
  <si>
    <t>ShtdwnSPWrite[96]</t>
  </si>
  <si>
    <t>C4930A_VFD_AMP.ProcessValue</t>
  </si>
  <si>
    <t>C-4930A Motor Current - Process Value</t>
  </si>
  <si>
    <t>C-4930A Motor Current - PV Maximum Scaled Value</t>
  </si>
  <si>
    <t>C-4930A Motor Current - PV Minimum Scaled Value</t>
  </si>
  <si>
    <t>it_c4930b</t>
  </si>
  <si>
    <t>IT-C4930B</t>
  </si>
  <si>
    <t>C-4930B Motor Current</t>
  </si>
  <si>
    <t>AnaAlarms[2].18</t>
  </si>
  <si>
    <t>C-4930B Motor Current - High Alarm</t>
  </si>
  <si>
    <t>C4930B_VFD_AMP.HTimerAlert</t>
  </si>
  <si>
    <t>C-4930B Motor Current - High Alarm Delay</t>
  </si>
  <si>
    <t>AlarmSPWrite[98]</t>
  </si>
  <si>
    <t>C-4930B Motor Current - High Alarm Setpoint</t>
  </si>
  <si>
    <t>C4930B_VFD_AMP.HSetpoint</t>
  </si>
  <si>
    <t>AnaShtdwns[2].18</t>
  </si>
  <si>
    <t>IAHH-C4930B</t>
  </si>
  <si>
    <t>C-4930B Motor Current - High High Alarm</t>
  </si>
  <si>
    <t>C4930B_VFD_AMP.HHTimerAlarm</t>
  </si>
  <si>
    <t>C-4930B Motor Current - High High Alarm Delay</t>
  </si>
  <si>
    <t>C4930B_VFD_AMP.HHSetpoint</t>
  </si>
  <si>
    <t>C-4930B Motor Current - High High Alarm Setpoint</t>
  </si>
  <si>
    <t>ShtdwnSPWrite[98]</t>
  </si>
  <si>
    <t>C4930B_VFD_AMP.ProcessValue</t>
  </si>
  <si>
    <t>C-4930B Motor Current - Process Value</t>
  </si>
  <si>
    <t>C-4930B Motor Current - PV Maximum Scaled Value</t>
  </si>
  <si>
    <t>C-4930B Motor Current - PV Minimum Scaled Value</t>
  </si>
  <si>
    <t>lit_v4927b_08</t>
  </si>
  <si>
    <t>LIT-V4927B-08</t>
  </si>
  <si>
    <t>V-4972B Suction Blowcase Level</t>
  </si>
  <si>
    <t>AnaAlarms[0].4</t>
  </si>
  <si>
    <t>V-4972B Suction Blowcase Level - High Alarm</t>
  </si>
  <si>
    <t>LT_V4927B_08.HTimerAlert</t>
  </si>
  <si>
    <t>V-4972B Suction Blowcase Level - High Alarm Delay</t>
  </si>
  <si>
    <t>AlarmSPWrite[4]</t>
  </si>
  <si>
    <t>V-4972B Suction Blowcase Level - High Alarm Setpoint</t>
  </si>
  <si>
    <t>LT_V4927B_08.HSetpoint</t>
  </si>
  <si>
    <t>AnaShtdwns[0].4</t>
  </si>
  <si>
    <t>V-4972B Suction Blowcase Level - High High Alarm</t>
  </si>
  <si>
    <t>LT_V4927B_08.HHTimerAlarm</t>
  </si>
  <si>
    <t>V-4972B Suction Blowcase Level - High High Alarm Delay</t>
  </si>
  <si>
    <t>LT_V4927B_08.HHSetpoint</t>
  </si>
  <si>
    <t>V-4972B Suction Blowcase Level - High High Alarm Setpoint</t>
  </si>
  <si>
    <t>ShtdwnSPWrite[4]</t>
  </si>
  <si>
    <t>AnaShtdwns[0].5</t>
  </si>
  <si>
    <t>V-4972B Suction Blowcase Level - Low Low Alarm</t>
  </si>
  <si>
    <t>LT_V4927B_08.LLTimerAlarm</t>
  </si>
  <si>
    <t>V-4972B Suction Blowcase Level - Low Low Alarm Delay</t>
  </si>
  <si>
    <t>LT_V4927B_08.LLSetpoint</t>
  </si>
  <si>
    <t>V-4972B Suction Blowcase Level - Low Low Alarm Setpoint</t>
  </si>
  <si>
    <t>ShtdwnSPWrite[5]</t>
  </si>
  <si>
    <t>LT_V4927B_08.ProcessValue</t>
  </si>
  <si>
    <t>V-4972B Suction Blowcase Level - Process Value</t>
  </si>
  <si>
    <t>Local:2:C.Ch2Config.HighEngineering</t>
  </si>
  <si>
    <t>V-4972B Suction Blowcase Level - PV Maximum Scaled Value</t>
  </si>
  <si>
    <t>Local:2:C.Ch2Config.LowEngineering</t>
  </si>
  <si>
    <t>V-4972B Suction Blowcase Level - PV Minimum Scaled Value</t>
  </si>
  <si>
    <t>lit_v4928_05</t>
  </si>
  <si>
    <t>LIT-V4928-05</t>
  </si>
  <si>
    <t>V-4928 Discharge Scrubber Level</t>
  </si>
  <si>
    <t>AnaAlarms[1].16</t>
  </si>
  <si>
    <t>V-4928 Discharge Scrubber Level - High Alarm</t>
  </si>
  <si>
    <t>LT_V4928_05.HTimerAlert</t>
  </si>
  <si>
    <t>V-4928 Discharge Scrubber Level - High Alarm Delay</t>
  </si>
  <si>
    <t>AlarmSPWrite[56]</t>
  </si>
  <si>
    <t>V-4928 Discharge Scrubber Level - High Alarm Setpoint</t>
  </si>
  <si>
    <t>LT_V4928_05.HSetpoint</t>
  </si>
  <si>
    <t>AnaShtdwns[1].16</t>
  </si>
  <si>
    <t>V-4928 Discharge Scrubber Level - High High Alarm</t>
  </si>
  <si>
    <t>LT_V4928_05.HHTimerAlarm</t>
  </si>
  <si>
    <t>V-4928 Discharge Scrubber Level - High High Alarm Delay</t>
  </si>
  <si>
    <t>LT_V4928_05.HHSetpoint</t>
  </si>
  <si>
    <t>V-4928 Discharge Scrubber Level - High High Alarm Setpoint</t>
  </si>
  <si>
    <t>ShtdwnSPWrite[56]</t>
  </si>
  <si>
    <t>AnaShtdwns[1].17</t>
  </si>
  <si>
    <t>V-4928 Discharge Scrubber Level - Low Low Alarm</t>
  </si>
  <si>
    <t>LT_V4928_05.LLTimerAlarm</t>
  </si>
  <si>
    <t>V-4928 Discharge Scrubber Level - Low Low Alarm Delay</t>
  </si>
  <si>
    <t>LT_V4928_05.LLSetpoint</t>
  </si>
  <si>
    <t>V-4928 Discharge Scrubber Level - Low Low Alarm Setpoint</t>
  </si>
  <si>
    <t>ShtdwnSPWrite[57]</t>
  </si>
  <si>
    <t>LT_V4928_05.ProcessValue</t>
  </si>
  <si>
    <t>V-4928 Discharge Scrubber Level - Process Value</t>
  </si>
  <si>
    <t>V-4928 Discharge Scrubber Level - PV Maximum Scaled Value</t>
  </si>
  <si>
    <t>V-4928 Discharge Scrubber Level - PV Minimum Scaled Value</t>
  </si>
  <si>
    <t>lsh_v4927_09</t>
  </si>
  <si>
    <t>LSH-V4927-09</t>
  </si>
  <si>
    <t>V-4972B Suction Blowcase Level Switch High</t>
  </si>
  <si>
    <t>DigAlarms[0].4</t>
  </si>
  <si>
    <t>V-4972B Suction Blowcase Level Switch High - Alarm</t>
  </si>
  <si>
    <t>LSH_V4927B_09.TimerAlarm</t>
  </si>
  <si>
    <t>V-4972B Suction Blowcase Level Switch High - Alarm Delay</t>
  </si>
  <si>
    <t>Local:8:I.Data.4</t>
  </si>
  <si>
    <t>V-4972B Suction Blowcase Level Switch High - Input</t>
  </si>
  <si>
    <t>lsh_v4927a_05</t>
  </si>
  <si>
    <t>LSH-V4927A-05</t>
  </si>
  <si>
    <t>V-4972A Suction Scrubber Level Switch High</t>
  </si>
  <si>
    <t>DigShtdwns[0].2</t>
  </si>
  <si>
    <t>LS-LSH-V4927A-05</t>
  </si>
  <si>
    <t>V-4972A Suction Scrubber Level Switch High - Alarm</t>
  </si>
  <si>
    <t>SD (C-4930A/B)</t>
  </si>
  <si>
    <t>LSHH_V4927A_05.TimerShtdwn</t>
  </si>
  <si>
    <t>V-4972A Suction Scrubber Level Switch High - Alarm Delay</t>
  </si>
  <si>
    <t>0=Ok;1=High Level</t>
  </si>
  <si>
    <t>LSHH_V4927A_05.DigitalInput</t>
  </si>
  <si>
    <t>V-4972A Suction Scrubber Level Switch High - Input</t>
  </si>
  <si>
    <t>lsh_v4928_06</t>
  </si>
  <si>
    <t>LSH-V4928-06</t>
  </si>
  <si>
    <t>V-4928 Discharge Scrubber Level Switch High</t>
  </si>
  <si>
    <t>DigAlarms[0].11</t>
  </si>
  <si>
    <t>V-4928 Discharge Scrubber Level Switch High - Alarm</t>
  </si>
  <si>
    <t>LSH_V4928_06.TimerAlarm</t>
  </si>
  <si>
    <t>V-4928 Discharge Scrubber Level Switch High - Alarm Delay</t>
  </si>
  <si>
    <t>LSH_V4928_06.DigitalInput</t>
  </si>
  <si>
    <t>V-4928 Discharge Scrubber Level Switch High - Input</t>
  </si>
  <si>
    <t>lsh_v4930a_05</t>
  </si>
  <si>
    <t>LSH-V4930A-05</t>
  </si>
  <si>
    <t>V-4930A Oil/Gas Separator Level Switch High</t>
  </si>
  <si>
    <t>DigShtdwns[0].6</t>
  </si>
  <si>
    <t>LS-LSH-V4930A-05</t>
  </si>
  <si>
    <t>V-4930A Oil/Gas Separator Level Switch High - Alarm</t>
  </si>
  <si>
    <t>LSH_V4930A_05.TimerShtdwn</t>
  </si>
  <si>
    <t>V-4930A Oil/Gas Separator Level Switch High - Alarm Delay</t>
  </si>
  <si>
    <t>LSH_V4930A_05.DigitalInput</t>
  </si>
  <si>
    <t>V-4930A Oil/Gas Separator Level Switch High - Input</t>
  </si>
  <si>
    <t>lsh_v4930b_05</t>
  </si>
  <si>
    <t>LSH-V4930B-05</t>
  </si>
  <si>
    <t>V-4930B Oil/Gas Separator Level Switch High</t>
  </si>
  <si>
    <t>DigShtdwns[0].8</t>
  </si>
  <si>
    <t>LS-LSH-V4930B-05</t>
  </si>
  <si>
    <t>V-4930B Oil/Gas Separator Level Switch High - Alarm</t>
  </si>
  <si>
    <t>LSH_V4930B_05.TimerShtdwn</t>
  </si>
  <si>
    <t>V-4930B Oil/Gas Separator Level Switch High - Alarm Delay</t>
  </si>
  <si>
    <t>LSH_V4930B_05.DigitalInput</t>
  </si>
  <si>
    <t>V-4930B Oil/Gas Separator Level Switch High - Input</t>
  </si>
  <si>
    <t>lsl_v4927a_06</t>
  </si>
  <si>
    <t>LSL-V4927A-06</t>
  </si>
  <si>
    <t>DigAlarms[0].3</t>
  </si>
  <si>
    <t>LSH_V4927A_06.TimerAlarm</t>
  </si>
  <si>
    <t>0=Ok;1=Low Level</t>
  </si>
  <si>
    <t>LSH_V4927A_06.DigitalInput</t>
  </si>
  <si>
    <t>lsl_v4927b_10</t>
  </si>
  <si>
    <t>LSL-V4927B-10</t>
  </si>
  <si>
    <t>V-4972B Suction Blowcase Level Switch Low</t>
  </si>
  <si>
    <t>DigAlarms[0].5</t>
  </si>
  <si>
    <t>V-4972B Suction Blowcase Level Switch Low - Alarm</t>
  </si>
  <si>
    <t>LSL_V4927B_10.TimerAlarm</t>
  </si>
  <si>
    <t>V-4972B Suction Blowcase Level Switch Low - Alarm Delay</t>
  </si>
  <si>
    <t>LSL_V4927B_10.DigitalInput</t>
  </si>
  <si>
    <t>V-4972B Suction Blowcase Level Switch Low - Input</t>
  </si>
  <si>
    <t>lsl_v4928_07</t>
  </si>
  <si>
    <t>LSL-V4928-07</t>
  </si>
  <si>
    <t>V-4928 Discharge Scrubber Level Switch Low</t>
  </si>
  <si>
    <t>LSL_V4928_07.DigitalInput</t>
  </si>
  <si>
    <t>V-4928 Discharge Scrubber Level Switch Low - Input</t>
  </si>
  <si>
    <t>lsl_v4930a_06</t>
  </si>
  <si>
    <t>LSL-V4930A-06</t>
  </si>
  <si>
    <t>V-4930A Oil/Gas Separator Level Switch Low</t>
  </si>
  <si>
    <t>DigShtdwns[0].7</t>
  </si>
  <si>
    <t>LS-LSL-V4930A-06</t>
  </si>
  <si>
    <t>V-4930A Oil/Gas Separator Level Switch Low - Alarm</t>
  </si>
  <si>
    <t>LSL_V4930A_06.TimerShtdwn</t>
  </si>
  <si>
    <t>V-4930A Oil/Gas Separator Level Switch Low - Alarm Delay</t>
  </si>
  <si>
    <t>LSL_V4930A_06.DigitalInput</t>
  </si>
  <si>
    <t>V-4930A Oil/Gas Separator Level Switch Low - Input</t>
  </si>
  <si>
    <t>lsl_v4930b_06</t>
  </si>
  <si>
    <t>LSL-V4930B-06</t>
  </si>
  <si>
    <t>V-4930B Oil/Gas Separator Level Switch Low</t>
  </si>
  <si>
    <t>DigShtdwns[0].10</t>
  </si>
  <si>
    <t>LS-LSL-V4930B-06</t>
  </si>
  <si>
    <t>V-4930B Oil/Gas Separator Level Switch Low - Alarm</t>
  </si>
  <si>
    <t>LSL_V4930B_06.TimerShtdwn</t>
  </si>
  <si>
    <t>V-4930B Oil/Gas Separator Level Switch Low - Alarm Delay</t>
  </si>
  <si>
    <t>LSL_V4930B_06.DigitalInput</t>
  </si>
  <si>
    <t>V-4930B Oil/Gas Separator Level Switch Low - Input</t>
  </si>
  <si>
    <t>lv_v4928_01</t>
  </si>
  <si>
    <t>LV-V4928-01</t>
  </si>
  <si>
    <t>V-4928 Discharge Scrubber Dump Valve</t>
  </si>
  <si>
    <t>V02.LevelSP1</t>
  </si>
  <si>
    <t>V-4928 Discharge Scrubber Dump Valve - Close Setpoint</t>
  </si>
  <si>
    <t>V02.LevelSP2</t>
  </si>
  <si>
    <t>V-4928 Discharge Scrubber Dump Valve - Open Setpoint</t>
  </si>
  <si>
    <t>DigOut_11.10</t>
  </si>
  <si>
    <t>V-4928 Discharge Scrubber Dump Valve - Output Command</t>
  </si>
  <si>
    <t>lv_v4972b_02</t>
  </si>
  <si>
    <t>LV-V4972B-02</t>
  </si>
  <si>
    <t>V-4972B Suction Blowcase Dump Valve</t>
  </si>
  <si>
    <t>V01.LevelSP1</t>
  </si>
  <si>
    <t>V-4972B Suction Blowcase Dump Valve - Close Setpoint</t>
  </si>
  <si>
    <t>V01.LevelSP2</t>
  </si>
  <si>
    <t>V-4972B Suction Blowcase Dump Valve - Open Setpoint</t>
  </si>
  <si>
    <t>DigOut_11.7</t>
  </si>
  <si>
    <t>V-4972B Suction Blowcase Dump Valve - Output Command</t>
  </si>
  <si>
    <t>p_4930a</t>
  </si>
  <si>
    <t>P-4930A</t>
  </si>
  <si>
    <t>C-4930A Lube Oil Make Up Pump</t>
  </si>
  <si>
    <t>DigIn_7.9</t>
  </si>
  <si>
    <t>C-4930A Lube Oil Make Up Pump - Auto Status</t>
  </si>
  <si>
    <t>DigOut_11.1</t>
  </si>
  <si>
    <t>C-4930A Lube Oil Make Up Pump - Run Command</t>
  </si>
  <si>
    <t>DigAlarms[0].22</t>
  </si>
  <si>
    <t>C-4930A Lube Oil Make Up Pump - Run Fail</t>
  </si>
  <si>
    <t>P_4930A_Run_Status.DigitalInput</t>
  </si>
  <si>
    <t>C-4930A Lube Oil Make Up Pump - Run Status</t>
  </si>
  <si>
    <t>p_4930b</t>
  </si>
  <si>
    <t>P-4930B</t>
  </si>
  <si>
    <t>C-4930B Lube Oil Make Up Pump</t>
  </si>
  <si>
    <t>DigIn_7.11</t>
  </si>
  <si>
    <t>C-4930B Lube Oil Make Up Pump - Auto Status</t>
  </si>
  <si>
    <t>xv_p135</t>
  </si>
  <si>
    <t>XV-P135</t>
  </si>
  <si>
    <t>Disposal Pump Discharge Block Valve</t>
  </si>
  <si>
    <t>REMOTE_IO:11:I.Data.23</t>
  </si>
  <si>
    <t>Disposal Pump Discharge Block Valve - Open Switch Status</t>
  </si>
  <si>
    <t>REMOTE_IO:11:I.Data.24</t>
  </si>
  <si>
    <t>Disposal Pump Discharge Block Valve - Closed Switch Status</t>
  </si>
  <si>
    <t>REMOTE_IO:14:O.Data.11</t>
  </si>
  <si>
    <t>Disposal Pump Discharge Block Valve - Output Command</t>
  </si>
  <si>
    <t>DigOut_12.1</t>
  </si>
  <si>
    <t>C-4930B Lube Oil Make Up Pump - Run Command</t>
  </si>
  <si>
    <t>SLOT_6_24_VDC_OUTPUT_TABLE[0].5</t>
  </si>
  <si>
    <t>Suction Scrubber Condensate Pump - Run Command</t>
  </si>
  <si>
    <t>enable</t>
  </si>
  <si>
    <t>Enable</t>
  </si>
  <si>
    <t>1=Manual On;2=Disabled;3=Enabled</t>
  </si>
  <si>
    <t>WRITEFLOAT[213]</t>
  </si>
  <si>
    <t>Suction Scrubber Condensate Pump - Enable</t>
  </si>
  <si>
    <t>p_102</t>
  </si>
  <si>
    <t>P-102</t>
  </si>
  <si>
    <t>Drain Tank Pump</t>
  </si>
  <si>
    <t>ALARM[23].17</t>
  </si>
  <si>
    <t>Drain Tank Pump - Run Fail</t>
  </si>
  <si>
    <t>Local:5:I.Data.8</t>
  </si>
  <si>
    <t>Drain Tank Pump - Auto Status</t>
  </si>
  <si>
    <t>XC_P102</t>
  </si>
  <si>
    <t>Drain Tank Pump - Run Command</t>
  </si>
  <si>
    <t>XI_P102</t>
  </si>
  <si>
    <t>Drain Tank Pump - Run Status</t>
  </si>
  <si>
    <t>ft</t>
  </si>
  <si>
    <t>LCH_T102</t>
  </si>
  <si>
    <t>Drain Tank Pump - Start Setpoint</t>
  </si>
  <si>
    <t>LCL_T102</t>
  </si>
  <si>
    <t>Drain Tank Pump - Stop Setpoint</t>
  </si>
  <si>
    <t>WRITEFLOAT[566]</t>
  </si>
  <si>
    <t>Drain Tank Pump - Enable</t>
  </si>
  <si>
    <t>DigAlarms[0].23</t>
  </si>
  <si>
    <t>C-4930B Lube Oil Make Up Pump - Run Fail</t>
  </si>
  <si>
    <t>P_4930B_Run_Status.DigitalInput</t>
  </si>
  <si>
    <t>C-4930B Lube Oil Make Up Pump - Run Status</t>
  </si>
  <si>
    <t>pdit_e4930a_04</t>
  </si>
  <si>
    <t>PDIT-E4930A-04</t>
  </si>
  <si>
    <t>C-4930A Lube Oil Filter Differential Pressure</t>
  </si>
  <si>
    <t>AnaAlarms[0].12</t>
  </si>
  <si>
    <t>C-4930A Lube Oil Filter Differential Pressure - High Alarm</t>
  </si>
  <si>
    <t>PDIT_E4930A_04.HTimerAlert</t>
  </si>
  <si>
    <t>C-4930A Lube Oil Filter Differential Pressure - High Alarm Delay</t>
  </si>
  <si>
    <t>AlarmSPWrite[12]</t>
  </si>
  <si>
    <t>C-4930A Lube Oil Filter Differential Pressure - High Alarm Setpoint</t>
  </si>
  <si>
    <t>PDIT_E4930A_04.HSetpoint</t>
  </si>
  <si>
    <t>AnaShtdwns[0].12</t>
  </si>
  <si>
    <t>C-4930A Lube Oil Filter Differential Pressure - High High Alarm</t>
  </si>
  <si>
    <t>PDIT_E4930A_04.HHTimerAlarm</t>
  </si>
  <si>
    <t>C-4930A Lube Oil Filter Differential Pressure - High High Alarm Delay</t>
  </si>
  <si>
    <t>PDIT_E4930A_04.HHSetpoint</t>
  </si>
  <si>
    <t>C-4930A Lube Oil Filter Differential Pressure - High High Alarm Setpoint</t>
  </si>
  <si>
    <t>ShtdwnSPWrite[12]</t>
  </si>
  <si>
    <t>PDIT_E4930A_04.ProcessValue</t>
  </si>
  <si>
    <t>C-4930A Lube Oil Filter Differential Pressure - Process Value</t>
  </si>
  <si>
    <t>Local:2:C.Ch6Config.HighEngineering</t>
  </si>
  <si>
    <t>C-4930A Lube Oil Filter Differential Pressure - PV Maximum Scaled Value</t>
  </si>
  <si>
    <t>Local:2:C.Ch6Config.LowEngineering</t>
  </si>
  <si>
    <t>C-4930A Lube Oil Filter Differential Pressure - PV Minimum Scaled Value</t>
  </si>
  <si>
    <t>pdit_e4930b_04</t>
  </si>
  <si>
    <t>PDIT-E4930B-04</t>
  </si>
  <si>
    <t>C-4930B Lube Oil Filter Differential Pressure</t>
  </si>
  <si>
    <t>AnaAlarms[1].6</t>
  </si>
  <si>
    <t>C-4930B Lube Oil Filter Differential Pressure - High Alarm</t>
  </si>
  <si>
    <t>PDIT_E4930B_04.HTimerAlert</t>
  </si>
  <si>
    <t>C-4930B Lube Oil Filter Differential Pressure - High Alarm Delay</t>
  </si>
  <si>
    <t>AlarmSPWrite[46]</t>
  </si>
  <si>
    <t>C-4930B Lube Oil Filter Differential Pressure - High Alarm Setpoint</t>
  </si>
  <si>
    <t>PDIT_E4930B_04.HSetpoint</t>
  </si>
  <si>
    <t>AnaShtdwns[1].6</t>
  </si>
  <si>
    <t>C-4930B Lube Oil Filter Differential Pressure - High High Alarm</t>
  </si>
  <si>
    <t>PDIT_E4930B_04.HHTimerAlarm</t>
  </si>
  <si>
    <t>C-4930B Lube Oil Filter Differential Pressure - High High Alarm Delay</t>
  </si>
  <si>
    <t>PDIT_E4930B_04.HHSetpoint</t>
  </si>
  <si>
    <t>C-4930B Lube Oil Filter Differential Pressure - High High Alarm Setpoint</t>
  </si>
  <si>
    <t>ShtdwnSPWrite[46]</t>
  </si>
  <si>
    <t>PDIT_E4930B_04.ProcessValue</t>
  </si>
  <si>
    <t>C-4930B Lube Oil Filter Differential Pressure - Process Value</t>
  </si>
  <si>
    <t>C-4930B Lube Oil Filter Differential Pressure - PV Maximum Scaled Value</t>
  </si>
  <si>
    <t>C-4930B Lube Oil Filter Differential Pressure - PV Minimum Scaled Value</t>
  </si>
  <si>
    <t>pit_e4930a_05</t>
  </si>
  <si>
    <t>PIT-E4930A-05</t>
  </si>
  <si>
    <t>C-4930A Lube Oil Supply Pressure</t>
  </si>
  <si>
    <t>AnaAlarms[0].14</t>
  </si>
  <si>
    <t>C-4930A Lube Oil Supply Pressure - High Alarm</t>
  </si>
  <si>
    <t>PIT_E4930A_05.HTimerAlert</t>
  </si>
  <si>
    <t>C-4930A Lube Oil Supply Pressure - High Alarm Delay</t>
  </si>
  <si>
    <t>AlarmSPWrite[14]</t>
  </si>
  <si>
    <t>C-4930A Lube Oil Supply Pressure - High Alarm Setpoint</t>
  </si>
  <si>
    <t>PIT_E4930A_05.HSetpoint</t>
  </si>
  <si>
    <t>AnaShtdwns[0].14</t>
  </si>
  <si>
    <t>C-4930A Lube Oil Supply Pressure - High High Alarm</t>
  </si>
  <si>
    <t>PIT_E4930A_05.HHTimerAlarm</t>
  </si>
  <si>
    <t>C-4930A Lube Oil Supply Pressure - High High Alarm Delay</t>
  </si>
  <si>
    <t>PIT_E4930A_05.HHSetpoint</t>
  </si>
  <si>
    <t>C-4930A Lube Oil Supply Pressure - High High Alarm Setpoint</t>
  </si>
  <si>
    <t>ShtdwnSPWrite[14]</t>
  </si>
  <si>
    <t>AnaAlarms[0].15</t>
  </si>
  <si>
    <t>C-4930A Lube Oil Supply Pressure - Low Alarm</t>
  </si>
  <si>
    <t>PIT_E4930A_05.LTimerAlert</t>
  </si>
  <si>
    <t>C-4930A Lube Oil Supply Pressure - Low Alarm Delay</t>
  </si>
  <si>
    <t>p_106</t>
  </si>
  <si>
    <t>tank_selection</t>
  </si>
  <si>
    <t>P-106</t>
  </si>
  <si>
    <t>Oil Transfer Pump</t>
  </si>
  <si>
    <t>Tank Selection Command</t>
  </si>
  <si>
    <t>0=T-110;1=T-108</t>
  </si>
  <si>
    <t>BIT[1].21</t>
  </si>
  <si>
    <t>Oil Transfer Pump - Tank Selection Command</t>
  </si>
  <si>
    <t>AlarmSPWrite[15]</t>
  </si>
  <si>
    <t>C-4930A Lube Oil Supply Pressure - Low Alarm Setpoint</t>
  </si>
  <si>
    <t>preset_met</t>
  </si>
  <si>
    <t>Preset Volume Met</t>
  </si>
  <si>
    <t>1=Preset Volume Met</t>
  </si>
  <si>
    <t>BIT[1].29</t>
  </si>
  <si>
    <t>Oil Transfer Pump - Preset Volume Met</t>
  </si>
  <si>
    <t>PIT_E4930A_05.LSetpoint</t>
  </si>
  <si>
    <t>T-11 Production Bypass Valve</t>
  </si>
  <si>
    <t>ALARM[26].16</t>
  </si>
  <si>
    <t>T-11 Production Bypass Valve - Valve Open</t>
  </si>
  <si>
    <t>AnaShtdwns[0].15</t>
  </si>
  <si>
    <t>C-4930A Lube Oil Supply Pressure - Low Low Alarm</t>
  </si>
  <si>
    <t>Local:4:I.Data.11</t>
  </si>
  <si>
    <t>Oil Transfer Pump - Auto Status</t>
  </si>
  <si>
    <t>PIT_E4930A_05.LLTimerAlarm</t>
  </si>
  <si>
    <t>C-4930A Lube Oil Supply Pressure - Low Low Alarm Delay</t>
  </si>
  <si>
    <t>0=Ok;1=E-Stop</t>
  </si>
  <si>
    <t>REMOTE_IO:11:I.Data.31</t>
  </si>
  <si>
    <t>Tank Farm PLC - Emergency Stop Pushbutton</t>
  </si>
  <si>
    <t>PIT_E4930A_05.LLSetpoint</t>
  </si>
  <si>
    <t>C-4930A Lube Oil Supply Pressure - Low Low Alarm Setpoint</t>
  </si>
  <si>
    <t>ShtdwnSPWrite[15]</t>
  </si>
  <si>
    <t>PIT_E4930A_05.ProcessValue</t>
  </si>
  <si>
    <t>C-4930A Lube Oil Supply Pressure - Process Value</t>
  </si>
  <si>
    <t>Local:2:C.Ch7Config.HighEngineering</t>
  </si>
  <si>
    <t>C-4930A Lube Oil Supply Pressure - PV Maximum Scaled Value</t>
  </si>
  <si>
    <t>Local:2:C.Ch7Config.LowEngineering</t>
  </si>
  <si>
    <t>C-4930A Lube Oil Supply Pressure - PV Minimum Scaled Value</t>
  </si>
  <si>
    <t>pit_e4930b_05</t>
  </si>
  <si>
    <t>PIT-E4930B-05</t>
  </si>
  <si>
    <t>C-4930B Lube Oil Supply Pressure</t>
  </si>
  <si>
    <t>AnaAlarms[1].8</t>
  </si>
  <si>
    <t>C-4930B Lube Oil Supply Pressure - High Alarm</t>
  </si>
  <si>
    <t>PIT_E4930B_05.HTimerAlert</t>
  </si>
  <si>
    <t>C-4930B Lube Oil Supply Pressure - High Alarm Delay</t>
  </si>
  <si>
    <t>AlarmSPWrite[48]</t>
  </si>
  <si>
    <t>C-4930B Lube Oil Supply Pressure - High Alarm Setpoint</t>
  </si>
  <si>
    <t>Local:6:O.Data.7</t>
  </si>
  <si>
    <t>T-11 Production Bypass Valve - Output Command</t>
  </si>
  <si>
    <t>site_shutdown</t>
  </si>
  <si>
    <t>Site Well Shutdown Active</t>
  </si>
  <si>
    <t>SITE_SHUTDOWN</t>
  </si>
  <si>
    <t>Tank Farm PLC - Site Well Shutdown Active</t>
  </si>
  <si>
    <t>PUMP_CHARGE[1].MOTOR_RUN_BIT</t>
  </si>
  <si>
    <t>Oil Transfer Pump - Run Command</t>
  </si>
  <si>
    <t>2=Reset</t>
  </si>
  <si>
    <t>WRITEFLOAT[1]</t>
  </si>
  <si>
    <t>Tank Farm PLC - Alarm Reset</t>
  </si>
  <si>
    <t>SLOT_4_24_VDC_INPUT_TABLE[0].13</t>
  </si>
  <si>
    <t>Oil Transfer Pump - Run Status</t>
  </si>
  <si>
    <t>LEVEL_TRANSMITTER[4].LCL_1_Set_Point</t>
  </si>
  <si>
    <t>Oil Transfer Pump - Stop Setpoint</t>
  </si>
  <si>
    <t>LEVEL_TRANSMITTER[4].UCL_1_Set_Point</t>
  </si>
  <si>
    <t>Oil Transfer Pump - Start Setpoint</t>
  </si>
  <si>
    <t>PUMP_CHARGE[1].Fail_to_Run_alarm</t>
  </si>
  <si>
    <t>Oil Transfer Pump - Run Fail</t>
  </si>
  <si>
    <t>WRITEFLOAT[140]</t>
  </si>
  <si>
    <t>WRITEFLOAT[141]</t>
  </si>
  <si>
    <t>WRITEFLOAT[564]</t>
  </si>
  <si>
    <t>Oil Transfer Pump - Enable</t>
  </si>
  <si>
    <t>preset_volume</t>
  </si>
  <si>
    <t>Preset Volume</t>
  </si>
  <si>
    <t>WRITEFLOAT[99]</t>
  </si>
  <si>
    <t>Oil Transfer Pump - Preset Volume</t>
  </si>
  <si>
    <t>PIT_E4930B_05.HSetpoint</t>
  </si>
  <si>
    <t>AnaShtdwns[1].8</t>
  </si>
  <si>
    <t>C-4930B Lube Oil Supply Pressure - High High Alarm</t>
  </si>
  <si>
    <t>SLOT_5_24_VDC_INPUT_TABLE[0].2</t>
  </si>
  <si>
    <t>T-11 Production Bypass Valve - Open Switch Status</t>
  </si>
  <si>
    <t>FAL_P30_OND</t>
  </si>
  <si>
    <t>P-106 Oil Transfer Pump Discharge Flow - Low Alarm Delay</t>
  </si>
  <si>
    <t>bpd</t>
  </si>
  <si>
    <t>FAL_P30_SP</t>
  </si>
  <si>
    <t>P-106 Oil Transfer Pump Discharge Flow - Low Alarm Setpoint</t>
  </si>
  <si>
    <t>FIT_P30</t>
  </si>
  <si>
    <t>P-106 Oil Transfer Pump Discharge Flow - Rate</t>
  </si>
  <si>
    <t>fit_v100</t>
  </si>
  <si>
    <t>FIT-V100</t>
  </si>
  <si>
    <t>Production Inlet Separator Liquid Out Flow</t>
  </si>
  <si>
    <t>FIT_V100_FLOW_DAY[0]</t>
  </si>
  <si>
    <t>Production Inlet Separator Liquid Out Flow - Day 0 Volume</t>
  </si>
  <si>
    <t>FIT_V100_FLOW_DAY[1]</t>
  </si>
  <si>
    <t>Production Inlet Separator Liquid Out Flow - Day 1 Volume</t>
  </si>
  <si>
    <t>fit_v562a_3</t>
  </si>
  <si>
    <t>FIT-V562A-3</t>
  </si>
  <si>
    <t>ISF Eductor Water Flow</t>
  </si>
  <si>
    <t>FLOW_TRANSMITTER[10].Value</t>
  </si>
  <si>
    <t>ISF Eductor Water Flow - Rate</t>
  </si>
  <si>
    <t>fit_p135</t>
  </si>
  <si>
    <t>FIT-P135</t>
  </si>
  <si>
    <t>Disposal Pump Discharge Flow</t>
  </si>
  <si>
    <t>FLOW_TRANSMITTER[11].Alarm_High_BIT</t>
  </si>
  <si>
    <t>Disposal Pump Discharge Flow - High Alarm</t>
  </si>
  <si>
    <t>FLOW_TRANSMITTER[11].Alarm_High_High_BIT</t>
  </si>
  <si>
    <t>FAHH-P135</t>
  </si>
  <si>
    <t>Disposal Pump Discharge Flow - High High Alarm</t>
  </si>
  <si>
    <t>SD (P-135)</t>
  </si>
  <si>
    <t>FLOW_TRANSMITTER[11].Alarm_High_High_TMR</t>
  </si>
  <si>
    <t>Disposal Pump Discharge Flow - High High Alarm Delay</t>
  </si>
  <si>
    <t>FLOW_TRANSMITTER[11].Alarm_High_TMR</t>
  </si>
  <si>
    <t>Disposal Pump Discharge Flow - High Alarm Delay</t>
  </si>
  <si>
    <t>FLOW_TRANSMITTER[11].Alarm_Low_BIT</t>
  </si>
  <si>
    <t>Disposal Pump Discharge Flow - Low Alarm</t>
  </si>
  <si>
    <t>FLOW_TRANSMITTER[11].Alarm_Low_Low_BIT</t>
  </si>
  <si>
    <t>FALL-P135</t>
  </si>
  <si>
    <t>Disposal Pump Discharge Flow - Low Low Alarm</t>
  </si>
  <si>
    <t>FLOW_TRANSMITTER[11].Alarm_Low_Low_TMR</t>
  </si>
  <si>
    <t>Disposal Pump Discharge Flow - Low Low Alarm Delay</t>
  </si>
  <si>
    <t>FLOW_TRANSMITTER[11].Alarm_Low_TMR</t>
  </si>
  <si>
    <t>Disposal Pump Discharge Flow - Low Alarm Delay</t>
  </si>
  <si>
    <t>FLOW_TRANSMITTER[11].Value</t>
  </si>
  <si>
    <t>Disposal Pump Discharge Flow - Rate</t>
  </si>
  <si>
    <t>fit_p125</t>
  </si>
  <si>
    <t>FIT-P125</t>
  </si>
  <si>
    <t>Injection Water Booster Pumps Discharge Flow</t>
  </si>
  <si>
    <t>FLOW_TRANSMITTER[3].Alarm_High_BIT</t>
  </si>
  <si>
    <t>Injection Water Booster Pumps Discharge Flow - High Alarm</t>
  </si>
  <si>
    <t>FLOW_TRANSMITTER[3].Alarm_High_High_BIT</t>
  </si>
  <si>
    <t>FAHH-P125</t>
  </si>
  <si>
    <t>Injection Water Booster Pumps Discharge Flow - High High Alarm</t>
  </si>
  <si>
    <t>SD (P-125A/B)</t>
  </si>
  <si>
    <t>FLOW_TRANSMITTER[3].Alarm_High_High_TMR</t>
  </si>
  <si>
    <t>Injection Water Booster Pumps Discharge Flow - High High Alarm Delay</t>
  </si>
  <si>
    <t>FLOW_TRANSMITTER[3].Alarm_High_TMR</t>
  </si>
  <si>
    <t>Injection Water Booster Pumps Discharge Flow - High Alarm Delay</t>
  </si>
  <si>
    <t>FLOW_TRANSMITTER[3].Alarm_Low_BIT</t>
  </si>
  <si>
    <t>Injection Water Booster Pumps Discharge Flow - Low Alarm</t>
  </si>
  <si>
    <t>FLOW_TRANSMITTER[3].Alarm_Low_Low_BIT</t>
  </si>
  <si>
    <t>FALL-P125</t>
  </si>
  <si>
    <t>Injection Water Booster Pumps Discharge Flow - Low Low Alarm</t>
  </si>
  <si>
    <t>FLOW_TRANSMITTER[3].Alarm_Low_Low_TMR</t>
  </si>
  <si>
    <t>Injection Water Booster Pumps Discharge Flow - Low Low Alarm Delay</t>
  </si>
  <si>
    <t>FLOW_TRANSMITTER[3].Alarm_Low_TMR</t>
  </si>
  <si>
    <t>Injection Water Booster Pumps Discharge Flow - Low Alarm Delay</t>
  </si>
  <si>
    <t>FLOW_TRANSMITTER[3].Value</t>
  </si>
  <si>
    <t>Injection Water Booster Pumps Discharge Flow - Rate</t>
  </si>
  <si>
    <t>fit_p145</t>
  </si>
  <si>
    <t>FIT-P145</t>
  </si>
  <si>
    <t>Dirty Backwash Pumps Discharge Flow</t>
  </si>
  <si>
    <t>FLOW_TRANSMITTER[4].Alarm_High_BIT</t>
  </si>
  <si>
    <t>Dirty Backwash Pumps Discharge Flow - High Alarm</t>
  </si>
  <si>
    <t>FLOW_TRANSMITTER[4].Alarm_High_High_BIT</t>
  </si>
  <si>
    <t>FAHH-P145</t>
  </si>
  <si>
    <t>Dirty Backwash Pumps Discharge Flow - High High Alarm</t>
  </si>
  <si>
    <t>SD (P-145A/B)</t>
  </si>
  <si>
    <t>FLOW_TRANSMITTER[4].Alarm_High_High_TMR</t>
  </si>
  <si>
    <t>Dirty Backwash Pumps Discharge Flow - High High Alarm Delay</t>
  </si>
  <si>
    <t>FLOW_TRANSMITTER[4].Alarm_High_TMR</t>
  </si>
  <si>
    <t>Dirty Backwash Pumps Discharge Flow - High Alarm Delay</t>
  </si>
  <si>
    <t>FLOW_TRANSMITTER[4].Alarm_Low_BIT</t>
  </si>
  <si>
    <t>Dirty Backwash Pumps Discharge Flow - Low Alarm</t>
  </si>
  <si>
    <t>FLOW_TRANSMITTER[4].Alarm_Low_Low_BIT</t>
  </si>
  <si>
    <t>FALL-P145</t>
  </si>
  <si>
    <t>Dirty Backwash Pumps Discharge Flow - Low Low Alarm</t>
  </si>
  <si>
    <t>FLOW_TRANSMITTER[4].Alarm_Low_Low_TMR</t>
  </si>
  <si>
    <t>Dirty Backwash Pumps Discharge Flow - Low Low Alarm Delay</t>
  </si>
  <si>
    <t>FLOW_TRANSMITTER[4].Alarm_Low_TMR</t>
  </si>
  <si>
    <t>Dirty Backwash Pumps Discharge Flow - Low Alarm Delay</t>
  </si>
  <si>
    <t>FLOW_TRANSMITTER[4].Value</t>
  </si>
  <si>
    <t>Dirty Backwash Pumps Discharge Flow - Rate</t>
  </si>
  <si>
    <t>fit_p205</t>
  </si>
  <si>
    <t>FIT-P205</t>
  </si>
  <si>
    <t>ISF Feed Pumps Discharge Flow</t>
  </si>
  <si>
    <t>FLOW_TRANSMITTER[5].Alarm_High_BIT</t>
  </si>
  <si>
    <t>ISF Feed Pumps Discharge Flow - High Alarm</t>
  </si>
  <si>
    <t>FLOW_TRANSMITTER[5].Alarm_High_High_BIT</t>
  </si>
  <si>
    <t>FAHH-P205</t>
  </si>
  <si>
    <t>ISF Feed Pumps Discharge Flow - High High Alarm</t>
  </si>
  <si>
    <t>SD(P-205)</t>
  </si>
  <si>
    <t>FLOW_TRANSMITTER[5].Alarm_High_High_TMR</t>
  </si>
  <si>
    <t>ISF Feed Pumps Discharge Flow - High High Alarm Delay</t>
  </si>
  <si>
    <t>FLOW_TRANSMITTER[5].Alarm_High_TMR</t>
  </si>
  <si>
    <t>ISF Feed Pumps Discharge Flow - High Alarm Delay</t>
  </si>
  <si>
    <t>FLOW_TRANSMITTER[5].Alarm_Low_BIT</t>
  </si>
  <si>
    <t>ISF Feed Pumps Discharge Flow - Low Alarm</t>
  </si>
  <si>
    <t>FLOW_TRANSMITTER[5].Alarm_Low_TMR</t>
  </si>
  <si>
    <t>ISF Feed Pumps Discharge Flow - Low Alarm Delay</t>
  </si>
  <si>
    <t>FLOW_TRANSMITTER[5].Value</t>
  </si>
  <si>
    <t>ISF Feed Pumps Discharge Flow - Rate</t>
  </si>
  <si>
    <t>FLOW_TRANSMITTER[7].Alarm_High_BIT</t>
  </si>
  <si>
    <t>ISF Eductor Water Flow - High Alarm</t>
  </si>
  <si>
    <t>FLOW_TRANSMITTER[7].Alarm_High_High_BIT</t>
  </si>
  <si>
    <t>FAHH-V562A-3</t>
  </si>
  <si>
    <t>ISF Eductor Water Flow - High High Alarm</t>
  </si>
  <si>
    <t>SD (P-563A-1/2)</t>
  </si>
  <si>
    <t>FLOW_TRANSMITTER[7].Alarm_High_High_TMR</t>
  </si>
  <si>
    <t>ISF Eductor Water Flow - High High Alarm Delay</t>
  </si>
  <si>
    <t>FLOW_TRANSMITTER[7].Alarm_High_TMR</t>
  </si>
  <si>
    <t>ISF Eductor Water Flow - High Alarm Delay</t>
  </si>
  <si>
    <t>FLOW_TRANSMITTER[7].Alarm_Low_BIT</t>
  </si>
  <si>
    <t>ISF Eductor Water Flow - Low Alarm</t>
  </si>
  <si>
    <t>FLOW_TRANSMITTER[7].Alarm_Low_Low_BIT</t>
  </si>
  <si>
    <t>FALL-V562A-3</t>
  </si>
  <si>
    <t>ISF Eductor Water Flow - Low Low Alarm</t>
  </si>
  <si>
    <t>FLOW_TRANSMITTER[7].Alarm_Low_Low_TMR</t>
  </si>
  <si>
    <t>ISF Eductor Water Flow - Low Low Alarm Delay</t>
  </si>
  <si>
    <t>FLOW_TRANSMITTER[7].Alarm_Low_TMR</t>
  </si>
  <si>
    <t>ISF Eductor Water Flow - Low Alarm Delay</t>
  </si>
  <si>
    <t>fit_v562a_1</t>
  </si>
  <si>
    <t>FIT-V562A-1</t>
  </si>
  <si>
    <t>ISF Water Inlet Flow</t>
  </si>
  <si>
    <t>FLOW_TRANSMITTER[8].Alarm_High_BIT</t>
  </si>
  <si>
    <t>ISF Water Inlet Flow - High Alarm</t>
  </si>
  <si>
    <t>FLOW_TRANSMITTER[8].Alarm_High_TMR</t>
  </si>
  <si>
    <t>ISF Water Inlet Flow - High Alarm Delay</t>
  </si>
  <si>
    <t>FLOW_TRANSMITTER[8].Alarm_Low_BIT</t>
  </si>
  <si>
    <t>ISF Water Inlet Flow - Low Alarm</t>
  </si>
  <si>
    <t>FLOW_TRANSMITTER[8].Alarm_Low_TMR</t>
  </si>
  <si>
    <t>ISF Water Inlet Flow - Low Alarm Delay</t>
  </si>
  <si>
    <t>FLOW_TRANSMITTER[8].Value</t>
  </si>
  <si>
    <t>ISF Water Inlet Flow - Rate</t>
  </si>
  <si>
    <t>FQIT_P135_FLOW_DAY[0]</t>
  </si>
  <si>
    <t>Disposal Pump Discharge Flow - Day 0 Volume</t>
  </si>
  <si>
    <t>FQIT_P135_FLOW_DAY[1]</t>
  </si>
  <si>
    <t>Disposal Pump Discharge Flow - Day 1 Volume</t>
  </si>
  <si>
    <t>FQIT_P30_FLOW_DAY[0]</t>
  </si>
  <si>
    <t>P-106 Oil Transfer Pump Discharge Flow - Day 0 Volume</t>
  </si>
  <si>
    <t>FQIT_P30_FLOW_DAY[1]</t>
  </si>
  <si>
    <t>P-106 Oil Transfer Pump Discharge Flow - Day 1 Volume</t>
  </si>
  <si>
    <t>SLOT_5_24_VDC_INPUT_TABLE[0].3</t>
  </si>
  <si>
    <t>T-11 Production Bypass Valve - Closed Switch Status</t>
  </si>
  <si>
    <t>T-11 Production Inlet Valve</t>
  </si>
  <si>
    <t>ALARM[26].15</t>
  </si>
  <si>
    <t>T-11 Production Inlet Valve - Valve Closed</t>
  </si>
  <si>
    <t>Local:6:O.Data.6</t>
  </si>
  <si>
    <t>T-11 Production Inlet Valve - Output Command</t>
  </si>
  <si>
    <t>SLOT_5_24_VDC_INPUT_TABLE[0].0</t>
  </si>
  <si>
    <t>T-11 Production Inlet Valve - Open Switch Status</t>
  </si>
  <si>
    <t>SLOT_5_24_VDC_INPUT_TABLE[0].1</t>
  </si>
  <si>
    <t>T-11 Production Inlet Valve - Closed Switch Status</t>
  </si>
  <si>
    <t>PIT_E4930B_05.HHTimerAlarm</t>
  </si>
  <si>
    <t>C-4930B Lube Oil Supply Pressure - High High Alarm Delay</t>
  </si>
  <si>
    <t>PIT_E4930B_05.HHSetpoint</t>
  </si>
  <si>
    <t>C-4930B Lube Oil Supply Pressure - High High Alarm Setpoint</t>
  </si>
  <si>
    <t>ShtdwnSPWrite[48]</t>
  </si>
  <si>
    <t>AnaAlarms[1].9</t>
  </si>
  <si>
    <t>C-4930B Lube Oil Supply Pressure - Low Alarm</t>
  </si>
  <si>
    <t>PIT_E4930B_05.LTimerAlert</t>
  </si>
  <si>
    <t>C-4930B Lube Oil Supply Pressure - Low Alarm Delay</t>
  </si>
  <si>
    <t>AlarmSPWrite[49]</t>
  </si>
  <si>
    <t>C-4930B Lube Oil Supply Pressure - Low Alarm Setpoint</t>
  </si>
  <si>
    <t>PIT_E4930B_05.LSetpoint</t>
  </si>
  <si>
    <t>AnaShtdwns[1].9</t>
  </si>
  <si>
    <t>PALL-E4930B-05</t>
  </si>
  <si>
    <t>C-4930B Lube Oil Supply Pressure - Low Low Alarm</t>
  </si>
  <si>
    <t>PIT_E4930B_05.LLTimerAlarm</t>
  </si>
  <si>
    <t>C-4930B Lube Oil Supply Pressure - Low Low Alarm Delay</t>
  </si>
  <si>
    <t>PIT_E4930B_05.LLSetpoint</t>
  </si>
  <si>
    <t>C-4930B Lube Oil Supply Pressure - Low Low Alarm Setpoint</t>
  </si>
  <si>
    <t>ShtdwnSPWrite[49]</t>
  </si>
  <si>
    <t>PIT_E4930B_05.ProcessValue</t>
  </si>
  <si>
    <t>C-4930B Lube Oil Supply Pressure - Process Value</t>
  </si>
  <si>
    <t>C-4930B Lube Oil Supply Pressure - PV Maximum Scaled Value</t>
  </si>
  <si>
    <t>C-4930B Lube Oil Supply Pressure - PV Minimum Scaled Value</t>
  </si>
  <si>
    <t>pit_v4927a_01</t>
  </si>
  <si>
    <t>PIT-V4927A-01</t>
  </si>
  <si>
    <t>V-4972A Suction Scrubber Pressure</t>
  </si>
  <si>
    <t>AnaAlarms[0].0</t>
  </si>
  <si>
    <t>V-4972A Suction Scrubber Pressure - High Alarm</t>
  </si>
  <si>
    <t>PIT_V4927A_01.HTimerAlert</t>
  </si>
  <si>
    <t>V-4972A Suction Scrubber Pressure - High Alarm Delay</t>
  </si>
  <si>
    <t>AlarmSPWrite[0]</t>
  </si>
  <si>
    <t>V-4972A Suction Scrubber Pressure - High Alarm Setpoint</t>
  </si>
  <si>
    <t>p_125a</t>
  </si>
  <si>
    <t>P-125A</t>
  </si>
  <si>
    <t>Injection Water Booster Pump</t>
  </si>
  <si>
    <t>Injection Water Booster Pump - Lead/Lag Status</t>
  </si>
  <si>
    <t>v_562a</t>
  </si>
  <si>
    <t>V-562A</t>
  </si>
  <si>
    <t>Induced Static Floatation Vessel</t>
  </si>
  <si>
    <t>0=In Service;1=Out of Service</t>
  </si>
  <si>
    <t>IGF_VESSEL_BYPASS_TOGGLE</t>
  </si>
  <si>
    <t>Induced Static Floatation Vessel - Enable</t>
  </si>
  <si>
    <t>SD (P-210A/B)</t>
  </si>
  <si>
    <t>LAH_T102_OND</t>
  </si>
  <si>
    <t>LAH_T102_SP</t>
  </si>
  <si>
    <t>LAH_T108_OND</t>
  </si>
  <si>
    <t>Stock Tank Level - High Alarm Delay</t>
  </si>
  <si>
    <t>LAHH_T102_OND</t>
  </si>
  <si>
    <t>Drain Tank Level Switch High High - Alarm Delay</t>
  </si>
  <si>
    <t>LAHH_T108_OND</t>
  </si>
  <si>
    <t>Stock Tank Level - High High Alarm Delay</t>
  </si>
  <si>
    <t>LAL_T108_OND</t>
  </si>
  <si>
    <t>Stock Tank Level - Low Alarm Delay</t>
  </si>
  <si>
    <t>LALL_T102_OND</t>
  </si>
  <si>
    <t>Drain Tank Level Switch Low Low - Alarm Delay</t>
  </si>
  <si>
    <t>LALL_T108_OND</t>
  </si>
  <si>
    <t>Stock Tank Level - Low Low Alarm Delay</t>
  </si>
  <si>
    <t>p_125b</t>
  </si>
  <si>
    <t>P-125B</t>
  </si>
  <si>
    <t>lshh_t120</t>
  </si>
  <si>
    <t>LSHH-T120</t>
  </si>
  <si>
    <t>Injection Tank Level Switch High High</t>
  </si>
  <si>
    <t>LEVEL_SWITCHES_ANALOG[0].Alarm_High_High_BIT</t>
  </si>
  <si>
    <t>Injection Tank Level Switch High High - Alarm</t>
  </si>
  <si>
    <t>LEVEL_SWITCHES_ANALOG[0].Alarm_High_High_TMR</t>
  </si>
  <si>
    <t>Injection Tank Level Switch High High - Alarm Delay</t>
  </si>
  <si>
    <t>LEVEL_SWITCHES_ANALOG[0].Value</t>
  </si>
  <si>
    <t>Injection Tank Level Switch High High - Process Value</t>
  </si>
  <si>
    <t>lsll_t120</t>
  </si>
  <si>
    <t>LSLL-T120</t>
  </si>
  <si>
    <t>Injection Tank Level Switch Low Low</t>
  </si>
  <si>
    <t>LEVEL_SWITCHES_ANALOG[1].Alarm_Low_Low_BIT</t>
  </si>
  <si>
    <t>Injection Tank Level Switch Low Low - Alarm</t>
  </si>
  <si>
    <t>LEVEL_SWITCHES_ANALOG[1].Alarm_Low_Low_TMR</t>
  </si>
  <si>
    <t>Injection Tank Level Switch Low Low - Alarm Delay</t>
  </si>
  <si>
    <t>LEVEL_SWITCHES_ANALOG[1].Value</t>
  </si>
  <si>
    <t>Injection Tank Level Switch Low Low - Process Value</t>
  </si>
  <si>
    <t>lshh_t130</t>
  </si>
  <si>
    <t>LSHH-T130</t>
  </si>
  <si>
    <t>LEVEL_SWITCHES_ANALOG[2].Alarm_High_High_BIT</t>
  </si>
  <si>
    <t>LEVEL_SWITCHES_ANALOG[2].Alarm_High_High_TMR</t>
  </si>
  <si>
    <t>LEVEL_SWITCHES_ANALOG[2].Value</t>
  </si>
  <si>
    <t>lsll_t130</t>
  </si>
  <si>
    <t>LSLL-T130</t>
  </si>
  <si>
    <t>LEVEL_SWITCHES_ANALOG[3].Alarm_Low_Low_BIT</t>
  </si>
  <si>
    <t>LEVEL_SWITCHES_ANALOG[3].Alarm_Low_Low_TMR</t>
  </si>
  <si>
    <t>LEVEL_SWITCHES_ANALOG[3].Value</t>
  </si>
  <si>
    <t>lshh_t140</t>
  </si>
  <si>
    <t>LSHH-T140</t>
  </si>
  <si>
    <t>Dirty Backwash Tank Level Switch High High</t>
  </si>
  <si>
    <t>LEVEL_SWITCHES_ANALOG[4].Alarm_High_High_BIT</t>
  </si>
  <si>
    <t>Dirty Backwash Tank Level Switch High High - Alarm</t>
  </si>
  <si>
    <t>LEVEL_SWITCHES_ANALOG[4].Alarm_High_High_TMR</t>
  </si>
  <si>
    <t>Dirty Backwash Tank Level Switch High High - Alarm Delay</t>
  </si>
  <si>
    <t>LEVEL_SWITCHES_ANALOG[4].Value</t>
  </si>
  <si>
    <t>Dirty Backwash Tank Level Switch High High - Process Value</t>
  </si>
  <si>
    <t>lsll_t140</t>
  </si>
  <si>
    <t>LSLL-T140</t>
  </si>
  <si>
    <t>Dirty Backwash Tank Level Switch Low Low</t>
  </si>
  <si>
    <t>LEVEL_SWITCHES_ANALOG[5].Alarm_Low_Low_BIT</t>
  </si>
  <si>
    <t>Dirty Backwash Tank Level Switch Low Low - Alarm</t>
  </si>
  <si>
    <t>LEVEL_SWITCHES_ANALOG[5].Alarm_Low_Low_TMR</t>
  </si>
  <si>
    <t>Dirty Backwash Tank Level Switch Low Low - Alarm Delay</t>
  </si>
  <si>
    <t>LEVEL_SWITCHES_ANALOG[5].Value</t>
  </si>
  <si>
    <t>Dirty Backwash Tank Level Switch Low Low - Process Value</t>
  </si>
  <si>
    <t>lshh_t150</t>
  </si>
  <si>
    <t>LSHH-T150</t>
  </si>
  <si>
    <t>LEVEL_SWITCHES_ANALOG[6].Alarm_High_High_BIT</t>
  </si>
  <si>
    <t>LEVEL_SWITCHES_ANALOG[6].Alarm_High_High_TMR</t>
  </si>
  <si>
    <t>LEVEL_SWITCHES_ANALOG[6].Value</t>
  </si>
  <si>
    <t>lsll_t150</t>
  </si>
  <si>
    <t>LSLL-T150</t>
  </si>
  <si>
    <t>LEVEL_SWITCHES_ANALOG[7].Alarm_Low_Low_BIT</t>
  </si>
  <si>
    <t>LEVEL_SWITCHES_ANALOG[7].Alarm_Low_Low_TMR</t>
  </si>
  <si>
    <t>LEVEL_SWITCHES_ANALOG[7].Value</t>
  </si>
  <si>
    <t>lsh_v562a_1a</t>
  </si>
  <si>
    <t>LSH-V562A-1A</t>
  </si>
  <si>
    <t>ISF Water Level Switch High</t>
  </si>
  <si>
    <t>LEVEL_SWITCHES_DISCRETE[0].Alarm_High</t>
  </si>
  <si>
    <t>ISF Water Level Switch High - Alarm</t>
  </si>
  <si>
    <t>LEVEL_SWITCHES_DISCRETE[0].Alarm_High_TMR</t>
  </si>
  <si>
    <t>ISF Water Level Switch High - Alarm Delay</t>
  </si>
  <si>
    <t>lsl_v562a_1a</t>
  </si>
  <si>
    <t>LSL-V562A-1A</t>
  </si>
  <si>
    <t>ISF Water Level Switch Low</t>
  </si>
  <si>
    <t>LEVEL_SWITCHES_DISCRETE[1].Alarm_Low</t>
  </si>
  <si>
    <t>ISF Water Level Switch Low - Alarm</t>
  </si>
  <si>
    <t>LEVEL_SWITCHES_DISCRETE[1].Alarm_Low_TMR</t>
  </si>
  <si>
    <t>ISF Water Level Switch Low - Alarm Delay</t>
  </si>
  <si>
    <t>lsh_v562a_2a</t>
  </si>
  <si>
    <t>LSH-V562A-2A</t>
  </si>
  <si>
    <t>ISF Oil Weir Level Switch High</t>
  </si>
  <si>
    <t>LEVEL_SWITCHES_DISCRETE[2].Alarm_High</t>
  </si>
  <si>
    <t>ISF Oil Weir Level Switch High - Alarm</t>
  </si>
  <si>
    <t>LEVEL_SWITCHES_DISCRETE[2].Alarm_High_TMR</t>
  </si>
  <si>
    <t>ISF Oil Weir Level Switch High - Alarm Delay</t>
  </si>
  <si>
    <t>lit_t11</t>
  </si>
  <si>
    <t>LIT-T11</t>
  </si>
  <si>
    <t>Wash Tank Overall Level</t>
  </si>
  <si>
    <t>LEVEL_TRANSMITTER[0].Alarm_High_BIT</t>
  </si>
  <si>
    <t>Wash Tank Overall Level - High Alarm</t>
  </si>
  <si>
    <t>LEVEL_TRANSMITTER[0].Alarm_High_High_BIT</t>
  </si>
  <si>
    <t>LAHH-T11</t>
  </si>
  <si>
    <t>Wash Tank Overall Level - High High Alarm</t>
  </si>
  <si>
    <t>LEVEL_TRANSMITTER[0].Alarm_High_High_TMR</t>
  </si>
  <si>
    <t>Wash Tank Overall Level - High High Alarm Delay</t>
  </si>
  <si>
    <t>LEVEL_TRANSMITTER[0].Alarm_High_TMR</t>
  </si>
  <si>
    <t>Wash Tank Overall Level - High Alarm Delay</t>
  </si>
  <si>
    <t>LEVEL_TRANSMITTER[0].Alarm_Low_BIT</t>
  </si>
  <si>
    <t>Wash Tank Overall Level - Low Alarm</t>
  </si>
  <si>
    <t>LEVEL_TRANSMITTER[0].Alarm_Low_TMR</t>
  </si>
  <si>
    <t>Wash Tank Overall Level - Low Alarm Delay</t>
  </si>
  <si>
    <t>LEVEL_TRANSMITTER[0].Value</t>
  </si>
  <si>
    <t>Wash Tank Overall Level - Process Value</t>
  </si>
  <si>
    <t>lxit_t11</t>
  </si>
  <si>
    <t>LXIT-T11</t>
  </si>
  <si>
    <t>Wash Tank Interface Level</t>
  </si>
  <si>
    <t>LEVEL_TRANSMITTER[1].Alarm_High_BIT</t>
  </si>
  <si>
    <t>Wash Tank Interface Level - High Alarm</t>
  </si>
  <si>
    <t>LEVEL_TRANSMITTER[1].Alarm_High_TMR</t>
  </si>
  <si>
    <t>Wash Tank Interface Level - High Alarm Delay</t>
  </si>
  <si>
    <t>LEVEL_TRANSMITTER[1].Alarm_Low_BIT</t>
  </si>
  <si>
    <t>Wash Tank Interface Level - Low Alarm</t>
  </si>
  <si>
    <t>LEVEL_TRANSMITTER[1].Alarm_Low_TMR</t>
  </si>
  <si>
    <t>Wash Tank Interface Level - Low Alarm Delay</t>
  </si>
  <si>
    <t>LEVEL_TRANSMITTER[1].Value</t>
  </si>
  <si>
    <t>Wash Tank Interface Level - Process Value</t>
  </si>
  <si>
    <t>lit_t120</t>
  </si>
  <si>
    <t>LIT-T120</t>
  </si>
  <si>
    <t>Injection Tank Level</t>
  </si>
  <si>
    <t>LEVEL_TRANSMITTER[10].Alarm_High_BIT</t>
  </si>
  <si>
    <t>Injection Tank Level - High Alarm</t>
  </si>
  <si>
    <t>LEVEL_TRANSMITTER[10].Alarm_High_High_BIT</t>
  </si>
  <si>
    <t>LAHH-T120</t>
  </si>
  <si>
    <t>Injection Tank Level - High High Alarm</t>
  </si>
  <si>
    <t>LEVEL_TRANSMITTER[10].Alarm_High_High_TMR</t>
  </si>
  <si>
    <t>Injection Tank Level - High High Alarm Delay</t>
  </si>
  <si>
    <t>LEVEL_TRANSMITTER[10].Alarm_High_TMR</t>
  </si>
  <si>
    <t>Injection Tank Level - High Alarm Delay</t>
  </si>
  <si>
    <t>LEVEL_TRANSMITTER[10].Alarm_Low_BIT</t>
  </si>
  <si>
    <t>Injection Tank Level - Low Alarm</t>
  </si>
  <si>
    <t>LEVEL_TRANSMITTER[10].Alarm_Low_TMR</t>
  </si>
  <si>
    <t>Injection Tank Level - Low Alarm Delay</t>
  </si>
  <si>
    <t>LEVEL_TRANSMITTER[10].Value</t>
  </si>
  <si>
    <t>Injection Tank Level - Process Value</t>
  </si>
  <si>
    <t>lit_v562a_1</t>
  </si>
  <si>
    <t>LIT-V562A-1</t>
  </si>
  <si>
    <t>ISF Water Level</t>
  </si>
  <si>
    <t>LEVEL_TRANSMITTER[11].Alarm_Low_BIT</t>
  </si>
  <si>
    <t>ISF Water Level - Low Alarm</t>
  </si>
  <si>
    <t>LEVEL_TRANSMITTER[11].Alarm_Low_TMR</t>
  </si>
  <si>
    <t>ISF Water Level - Low Alarm Delay</t>
  </si>
  <si>
    <t>LEVEL_TRANSMITTER[11].Value_in_Inches</t>
  </si>
  <si>
    <t>ISF Water Level - Process Value</t>
  </si>
  <si>
    <t>lit_t130</t>
  </si>
  <si>
    <t>LIT-T130</t>
  </si>
  <si>
    <t>LEVEL_TRANSMITTER[12].Alarm_High_BIT</t>
  </si>
  <si>
    <t>LEVEL_TRANSMITTER[12].Alarm_High_High_BIT</t>
  </si>
  <si>
    <t>LAHH-T130</t>
  </si>
  <si>
    <t>LEVEL_TRANSMITTER[12].Alarm_High_High_TMR</t>
  </si>
  <si>
    <t>LEVEL_TRANSMITTER[12].Alarm_High_TMR</t>
  </si>
  <si>
    <t>LEVEL_TRANSMITTER[12].Alarm_Low_BIT</t>
  </si>
  <si>
    <t>LEVEL_TRANSMITTER[12].Alarm_Low_TMR</t>
  </si>
  <si>
    <t>LEVEL_TRANSMITTER[12].Value</t>
  </si>
  <si>
    <t>lit_v562a_2</t>
  </si>
  <si>
    <t>LIT-V562A-2</t>
  </si>
  <si>
    <t>ISF Oil Weir Level</t>
  </si>
  <si>
    <t>LEVEL_TRANSMITTER[13].Alarm_High_BIT</t>
  </si>
  <si>
    <t>ISF Oil Weir Level - High Alarm</t>
  </si>
  <si>
    <t>LEVEL_TRANSMITTER[13].Alarm_High_TMR</t>
  </si>
  <si>
    <t>ISF Oil Weir Level - High Alarm Delay</t>
  </si>
  <si>
    <t>LEVEL_TRANSMITTER[13].Alarm_Low_BIT</t>
  </si>
  <si>
    <t>ISF Oil Weir Level - Low Alarm</t>
  </si>
  <si>
    <t>LEVEL_TRANSMITTER[13].Alarm_Low_TMR</t>
  </si>
  <si>
    <t>ISF Oil Weir Level - Low Alarm Delay</t>
  </si>
  <si>
    <t>PUMPS_INJ_BOOSTER[0].MOTOR_RUN_BIT</t>
  </si>
  <si>
    <t>Injection Water Booster Pump - Run Command</t>
  </si>
  <si>
    <t>LEVEL_TRANSMITTER[13].Value_in_Inches</t>
  </si>
  <si>
    <t>ISF Oil Weir Level - Process Value</t>
  </si>
  <si>
    <t>lit_t140</t>
  </si>
  <si>
    <t>LIT-T140</t>
  </si>
  <si>
    <t>Dirty Backwash Tank Level</t>
  </si>
  <si>
    <t>LEVEL_TRANSMITTER[14].Alarm_High_BIT</t>
  </si>
  <si>
    <t>Dirty Backwash Tank Level - High Alarm</t>
  </si>
  <si>
    <t>LEVEL_TRANSMITTER[14].Alarm_High_High_BIT</t>
  </si>
  <si>
    <t>LAHH-T140</t>
  </si>
  <si>
    <t>Dirty Backwash Tank Level - High High Alarm</t>
  </si>
  <si>
    <t>Dirty Backwash Tank Level - PV Maximum Scaled Value</t>
  </si>
  <si>
    <t>LEVEL_TRANSMITTER[14].Alarm_High_High_TMR</t>
  </si>
  <si>
    <t>Dirty Backwash Tank Level - High High Alarm Delay</t>
  </si>
  <si>
    <t>LEVEL_TRANSMITTER[14].Alarm_High_TMR</t>
  </si>
  <si>
    <t>Dirty Backwash Tank Level - High Alarm Delay</t>
  </si>
  <si>
    <t>LEVEL_TRANSMITTER[14].Alarm_Low_BIT</t>
  </si>
  <si>
    <t>Dirty Backwash Tank Level - Low Alarm</t>
  </si>
  <si>
    <t>LEVEL_TRANSMITTER[14].Alarm_Low_TMR</t>
  </si>
  <si>
    <t>Dirty Backwash Tank Level - Low Alarm Delay</t>
  </si>
  <si>
    <t>LEVEL_TRANSMITTER[14].Value</t>
  </si>
  <si>
    <t>Dirty Backwash Tank Level - Process Value</t>
  </si>
  <si>
    <t>lit_t150</t>
  </si>
  <si>
    <t>LIT-T150</t>
  </si>
  <si>
    <t>LEVEL_TRANSMITTER[16].Alarm_High_BIT</t>
  </si>
  <si>
    <t>LEVEL_TRANSMITTER[16].Alarm_High_High_BIT</t>
  </si>
  <si>
    <t>LAHH-T150</t>
  </si>
  <si>
    <t>LEVEL_TRANSMITTER[16].Alarm_High_High_TMR</t>
  </si>
  <si>
    <t>LEVEL_TRANSMITTER[16].Alarm_High_TMR</t>
  </si>
  <si>
    <t>LEVEL_TRANSMITTER[16].Alarm_Low_BIT</t>
  </si>
  <si>
    <t>LEVEL_TRANSMITTER[16].Alarm_Low_TMR</t>
  </si>
  <si>
    <t>LEVEL_TRANSMITTER[16].Value</t>
  </si>
  <si>
    <t>lit_t109</t>
  </si>
  <si>
    <t>LIT-T109</t>
  </si>
  <si>
    <t>LEVEL_TRANSMITTER[2].Alarm_High_BIT</t>
  </si>
  <si>
    <t>LEVEL_TRANSMITTER[2].Alarm_High_High_BIT</t>
  </si>
  <si>
    <t>LAHH-T109</t>
  </si>
  <si>
    <t>LEVEL_TRANSMITTER[2].Alarm_High_High_TMR</t>
  </si>
  <si>
    <t>LEVEL_TRANSMITTER[2].Alarm_High_TMR</t>
  </si>
  <si>
    <t>LEVEL_TRANSMITTER[2].Alarm_Low_BIT</t>
  </si>
  <si>
    <t>LEVEL_TRANSMITTER[2].Alarm_Low_TMR</t>
  </si>
  <si>
    <t>LEVEL_TRANSMITTER[2].Value</t>
  </si>
  <si>
    <t>lxit_t109</t>
  </si>
  <si>
    <t>LXIT-T109</t>
  </si>
  <si>
    <t>LEVEL_TRANSMITTER[3].Alarm_High_BIT</t>
  </si>
  <si>
    <t>LEVEL_TRANSMITTER[3].Alarm_High_TMR</t>
  </si>
  <si>
    <t>LEVEL_TRANSMITTER[3].Alarm_Low_BIT</t>
  </si>
  <si>
    <t>LEVEL_TRANSMITTER[3].Alarm_Low_TMR</t>
  </si>
  <si>
    <t>LEVEL_TRANSMITTER[3].Value</t>
  </si>
  <si>
    <t>lit_t110</t>
  </si>
  <si>
    <t>LIT-T110</t>
  </si>
  <si>
    <t>Stock Tank Overall Level</t>
  </si>
  <si>
    <t>LEVEL_TRANSMITTER[4].Alarm_High_BIT</t>
  </si>
  <si>
    <t>Stock Tank Overall Level - High Alarm</t>
  </si>
  <si>
    <t>LEVEL_TRANSMITTER[4].Alarm_High_High_BIT</t>
  </si>
  <si>
    <t>LAHH-T110</t>
  </si>
  <si>
    <t>Stock Tank Overall Level - High High Alarm</t>
  </si>
  <si>
    <t>LEVEL_TRANSMITTER[4].Alarm_High_High_TMR</t>
  </si>
  <si>
    <t>Stock Tank Overall Level - High High Alarm Delay</t>
  </si>
  <si>
    <t>LEVEL_TRANSMITTER[4].Alarm_High_TMR</t>
  </si>
  <si>
    <t>Stock Tank Overall Level - High Alarm Delay</t>
  </si>
  <si>
    <t>LEVEL_TRANSMITTER[4].Alarm_Low_BIT</t>
  </si>
  <si>
    <t>Stock Tank Overall Level - Low Alarm</t>
  </si>
  <si>
    <t>LEVEL_TRANSMITTER[4].Alarm_Low_TMR</t>
  </si>
  <si>
    <t>Stock Tank Overall Level - Low Alarm Delay</t>
  </si>
  <si>
    <t>RACK01_SLOT_11_TABLE[0].17</t>
  </si>
  <si>
    <t>Injection Water Booster Pump - Run Status</t>
  </si>
  <si>
    <t>REMOTE_IO:11:I.Data.16</t>
  </si>
  <si>
    <t>Injection Water Booster Pump - Auto Status</t>
  </si>
  <si>
    <t>LEVEL_TRANSMITTER[4].Value</t>
  </si>
  <si>
    <t>Stock Tank Overall Level - Process Value</t>
  </si>
  <si>
    <t>lxit_t110</t>
  </si>
  <si>
    <t>LXIT-T110</t>
  </si>
  <si>
    <t>Stock Tank Interface Level</t>
  </si>
  <si>
    <t>LEVEL_TRANSMITTER[5].Value</t>
  </si>
  <si>
    <t>Stock Tank Interface Level - Process Value</t>
  </si>
  <si>
    <t>LEVEL_TRANSMITTER[6].Alarm_High_High_Set_Point</t>
  </si>
  <si>
    <t>Stock Tank Level - High High Alarm Setpoint</t>
  </si>
  <si>
    <t>LEVEL_TRANSMITTER[6].Alarm_High_Set_Point</t>
  </si>
  <si>
    <t>Stock Tank Level - High Alarm Setpoint</t>
  </si>
  <si>
    <t>lsll_v100</t>
  </si>
  <si>
    <t>LSLL-V100</t>
  </si>
  <si>
    <t>Production Inlet Separator Level Switch Low</t>
  </si>
  <si>
    <t>LEVEL_TRANSMITTER[7].Alarm_Low_Low_BIT</t>
  </si>
  <si>
    <t>Production Inlet Separator Level Switch Low - Alarm</t>
  </si>
  <si>
    <t>LEVEL_TRANSMITTER[7].Alarm_Low_Low_TMR</t>
  </si>
  <si>
    <t>Production Inlet Separator Level Switch Low - Alarm Delay</t>
  </si>
  <si>
    <t>lshh_v100</t>
  </si>
  <si>
    <t>LSHH-V100</t>
  </si>
  <si>
    <t>Production Inlet Separator Level Switch High</t>
  </si>
  <si>
    <t>LEVEL_TRANSMITTER[8].Alarm_Low_Low_BIT</t>
  </si>
  <si>
    <t>Production Inlet Separator Level Switch High - Alarm</t>
  </si>
  <si>
    <t>LEVEL_TRANSMITTER[8].Alarm_Low_Low_TMR</t>
  </si>
  <si>
    <t>Production Inlet Separator Level Switch High - Alarm Delay</t>
  </si>
  <si>
    <t>lit_v100</t>
  </si>
  <si>
    <t>LIT-V100</t>
  </si>
  <si>
    <t>Production Inlet Separator Level</t>
  </si>
  <si>
    <t>LEVEL_TRANSMITTER[9].Alarm_High_BIT</t>
  </si>
  <si>
    <t>Production Inlet Separator Level - High Alarm</t>
  </si>
  <si>
    <t>LEVEL_TRANSMITTER[9].Alarm_High_High_BIT</t>
  </si>
  <si>
    <t>LAHH-V100</t>
  </si>
  <si>
    <t>Production Inlet Separator Level - High High Alarm</t>
  </si>
  <si>
    <t>LEVEL_TRANSMITTER[9].Alarm_High_High_TMR</t>
  </si>
  <si>
    <t>Production Inlet Separator Level - High High Alarm Delay</t>
  </si>
  <si>
    <t>LEVEL_TRANSMITTER[9].Alarm_High_TMR</t>
  </si>
  <si>
    <t>Production Inlet Separator Level - High Alarm Delay</t>
  </si>
  <si>
    <t>LEVEL_TRANSMITTER[9].Alarm_Low_BIT</t>
  </si>
  <si>
    <t>Production Inlet Separator Level - Low Alarm</t>
  </si>
  <si>
    <t>LEVEL_TRANSMITTER[9].Alarm_Low_TMR</t>
  </si>
  <si>
    <t>Production Inlet Separator Level - Low Alarm Delay</t>
  </si>
  <si>
    <t>LEVEL_TRANSMITTER[9].Value</t>
  </si>
  <si>
    <t>Production Inlet Separator Level - Process Value</t>
  </si>
  <si>
    <t>LIT_T102</t>
  </si>
  <si>
    <t>LIT_T108</t>
  </si>
  <si>
    <t>Stock Tank Level - Process Value</t>
  </si>
  <si>
    <t>lsl_v101</t>
  </si>
  <si>
    <t>LSL-V101</t>
  </si>
  <si>
    <t>V-101 Suction Scrubber Level Switch Low</t>
  </si>
  <si>
    <t>0=Low Level;1=Ok</t>
  </si>
  <si>
    <t>Local:4:I.Data.17</t>
  </si>
  <si>
    <t>V-101 Suction Scrubber Level Switch Low - Input</t>
  </si>
  <si>
    <t>PIT_V4927A_01.HSetpoint</t>
  </si>
  <si>
    <t>AnaShtdwns[0].0</t>
  </si>
  <si>
    <t>PAHH-V4927A-01</t>
  </si>
  <si>
    <t>V-4972A Suction Scrubber Pressure - High High Alarm</t>
  </si>
  <si>
    <t>Local:2:C.Ch0Config.HighEngineering</t>
  </si>
  <si>
    <t>Wash Tank Overall Level - PV Maximum Scaled Value</t>
  </si>
  <si>
    <t>pit_v101</t>
  </si>
  <si>
    <t>PIT-V101</t>
  </si>
  <si>
    <t>V-101 Suction Scrubber Pressure</t>
  </si>
  <si>
    <t>V-101 Suction Scrubber Pressure - PV Maximum Scaled Value</t>
  </si>
  <si>
    <t>PIT_V4927A_01.HHTimerAlarm</t>
  </si>
  <si>
    <t>V-4972A Suction Scrubber Pressure - High High Alarm Delay</t>
  </si>
  <si>
    <t>Local:2:C.Ch0Config.LowEngineering</t>
  </si>
  <si>
    <t>Wash Tank Overall Level - PV Minimum Scaled Value</t>
  </si>
  <si>
    <t>V-101 Suction Scrubber Pressure - PV Minimum Scaled Value</t>
  </si>
  <si>
    <t>PIT_V4927A_01.HHSetpoint</t>
  </si>
  <si>
    <t>V-4972A Suction Scrubber Pressure - High High Alarm Setpoint</t>
  </si>
  <si>
    <t>Local:2:C.Ch12Config.HighEngineering</t>
  </si>
  <si>
    <t>P-106 Discharge Oil BS&amp;W - PV Maximum Scaled Value</t>
  </si>
  <si>
    <t>Local:2:C.Ch12Config.LowEngineering</t>
  </si>
  <si>
    <t>P-106 Discharge Oil BS&amp;W - PV Minimum Scaled Value</t>
  </si>
  <si>
    <t>Local:2:C.Ch1Config.HighEngineering</t>
  </si>
  <si>
    <t>Wash Tank Interface Level - PV Maximum Scaled Value</t>
  </si>
  <si>
    <t>pit_k101a</t>
  </si>
  <si>
    <t>PIT-K101A</t>
  </si>
  <si>
    <t>K-101A Compressor Discharge Pressure</t>
  </si>
  <si>
    <t>K-101A Compressor Discharge Pressure - PV Maximum Scaled Value</t>
  </si>
  <si>
    <t>ShtdwnSPWrite[0]</t>
  </si>
  <si>
    <t>Local:2:C.Ch1Config.LowEngineering</t>
  </si>
  <si>
    <t>Wash Tank Interface Level - PV Minimum Scaled Value</t>
  </si>
  <si>
    <t>K-101A Compressor Discharge Pressure - PV Minimum Scaled Value</t>
  </si>
  <si>
    <t>AnaAlarms[0].1</t>
  </si>
  <si>
    <t>V-4972A Suction Scrubber Pressure - Low Alarm</t>
  </si>
  <si>
    <t>PIT_V4927A_01.LTimerAlert</t>
  </si>
  <si>
    <t>V-4972A Suction Scrubber Pressure - Low Alarm Delay</t>
  </si>
  <si>
    <t>tit_k101a</t>
  </si>
  <si>
    <t>TIT-K101A</t>
  </si>
  <si>
    <t>K-101A Compressor Discharge Temperature</t>
  </si>
  <si>
    <t>K-101A Compressor Discharge Temperature - PV Maximum Scaled Value</t>
  </si>
  <si>
    <t>AlarmSPWrite[1]</t>
  </si>
  <si>
    <t>V-4972A Suction Scrubber Pressure - Low Alarm Setpoint</t>
  </si>
  <si>
    <t>K-101A Compressor Discharge Temperature - PV Minimum Scaled Value</t>
  </si>
  <si>
    <t>Local:2:C.Ch3Config.HighEngineering</t>
  </si>
  <si>
    <t>PIT_V4927A_01.LSetpoint</t>
  </si>
  <si>
    <t>tit_p02a</t>
  </si>
  <si>
    <t>TIT-P02A</t>
  </si>
  <si>
    <t>K-101A Compressor Jacket Water Outlet Temperature</t>
  </si>
  <si>
    <t>K-101A Compressor Jacket Water Outlet Temperature - PV Maximum Scaled Value</t>
  </si>
  <si>
    <t>Local:2:C.Ch3Config.LowEngineering</t>
  </si>
  <si>
    <t>AnaShtdwns[0].1</t>
  </si>
  <si>
    <t>PALL-V4927A-01</t>
  </si>
  <si>
    <t>V-4972A Suction Scrubber Pressure - Low Low Alarm</t>
  </si>
  <si>
    <t>K-101A Compressor Jacket Water Outlet Temperature - PV Minimum Scaled Value</t>
  </si>
  <si>
    <t>Local:2:C.Ch4Config.HighEngineering</t>
  </si>
  <si>
    <t>Stock Tank Overall Level - PV Maximum Scaled Value</t>
  </si>
  <si>
    <t>pit_k101b</t>
  </si>
  <si>
    <t>PIT-K101B</t>
  </si>
  <si>
    <t>K-101B Compressor Discharge Pressure</t>
  </si>
  <si>
    <t>K-101B Compressor Discharge Pressure - PV Maximum Scaled Value</t>
  </si>
  <si>
    <t>PIT_V4927A_01.LLTimerAlarm</t>
  </si>
  <si>
    <t>V-4972A Suction Scrubber Pressure - Low Low Alarm Delay</t>
  </si>
  <si>
    <t>Local:2:C.Ch4Config.LowEngineering</t>
  </si>
  <si>
    <t>Stock Tank Overall Level - PV Minimum Scaled Value</t>
  </si>
  <si>
    <t>K-101B Compressor Discharge Pressure - PV Minimum Scaled Value</t>
  </si>
  <si>
    <t>PIT_V4927A_01.LLSetpoint</t>
  </si>
  <si>
    <t>V-4972A Suction Scrubber Pressure - Low Low Alarm Setpoint</t>
  </si>
  <si>
    <t>Local:2:C.Ch5Config.HighEngineering</t>
  </si>
  <si>
    <t>Stock Tank Interface Level - PV Maximum Scaled Value</t>
  </si>
  <si>
    <t>ShtdwnSPWrite[1]</t>
  </si>
  <si>
    <t>tit_k101b</t>
  </si>
  <si>
    <t>TIT-K101B</t>
  </si>
  <si>
    <t>K-101B Compressor Discharge Temperature</t>
  </si>
  <si>
    <t>K-101B Compressor Discharge Temperature - PV Maximum Scaled Value</t>
  </si>
  <si>
    <t>Local:2:C.Ch5Config.LowEngineering</t>
  </si>
  <si>
    <t>Stock Tank Interface Level - PV Minimum Scaled Value</t>
  </si>
  <si>
    <t>PIT_V4927A_01.ProcessValue</t>
  </si>
  <si>
    <t>V-4972A Suction Scrubber Pressure - Process Value</t>
  </si>
  <si>
    <t>K-101B Compressor Discharge Temperature - PV Minimum Scaled Value</t>
  </si>
  <si>
    <t>Stock Tank Level - PV Maximum Scaled Value</t>
  </si>
  <si>
    <t>V-4972A Suction Scrubber Pressure - PV Maximum Scaled Value</t>
  </si>
  <si>
    <t>tit_p02b</t>
  </si>
  <si>
    <t>TIT-P02B</t>
  </si>
  <si>
    <t>K-101B Compressor Jacket Water Outlet Temperature</t>
  </si>
  <si>
    <t>K-101B Compressor Jacket Water Outlet Temperature - PV Maximum Scaled Value</t>
  </si>
  <si>
    <t>Stock Tank Level - PV Minimum Scaled Value</t>
  </si>
  <si>
    <t>V-4972A Suction Scrubber Pressure - PV Minimum Scaled Value</t>
  </si>
  <si>
    <t>K-101B Compressor Jacket Water Outlet Temperature - PV Minimum Scaled Value</t>
  </si>
  <si>
    <t>Tank Vapor Header Pressure Near T-11</t>
  </si>
  <si>
    <t>Tank Vapor Header Pressure Near T-11 - PV Maximum Scaled Value</t>
  </si>
  <si>
    <t>pit_v4928_04</t>
  </si>
  <si>
    <t>PIT-V4928-04</t>
  </si>
  <si>
    <t>V-4928 Discharge Scrubber Pressure</t>
  </si>
  <si>
    <t>AnaAlarms[1].14</t>
  </si>
  <si>
    <t>V-4928 Discharge Scrubber Pressure - High Alarm</t>
  </si>
  <si>
    <t>Tank Vapor Header Pressure Near T-11 - PV Minimum Scaled Value</t>
  </si>
  <si>
    <t>PIT_V4928_04.HTimerAlert</t>
  </si>
  <si>
    <t>V-4928 Discharge Scrubber Pressure - High Alarm Delay</t>
  </si>
  <si>
    <t>K-101A/B VRU Gas Outlet Pressure</t>
  </si>
  <si>
    <t>Local:2:C.Ch8Config.HighEngineering</t>
  </si>
  <si>
    <t>K-101A/B VRU Gas Outlet Pressure - PV Maximum Scaled Value</t>
  </si>
  <si>
    <t>AlarmSPWrite[54]</t>
  </si>
  <si>
    <t>V-4928 Discharge Scrubber Pressure - High Alarm Setpoint</t>
  </si>
  <si>
    <t>Local:2:C.Ch8Config.LowEngineering</t>
  </si>
  <si>
    <t>K-101A/B VRU Gas Outlet Pressure - PV Minimum Scaled Value</t>
  </si>
  <si>
    <t>PIT_V4928_04.HSetpoint</t>
  </si>
  <si>
    <t>pit_v105</t>
  </si>
  <si>
    <t>PIT-V105</t>
  </si>
  <si>
    <t>Instrument Air Pressure</t>
  </si>
  <si>
    <t>Local:2:C.Ch9Config.HighEngineering</t>
  </si>
  <si>
    <t>Instrument Air Pressure - PV Maximum Scaled Value</t>
  </si>
  <si>
    <t>Local:2:C.Ch9Config.LowEngineering</t>
  </si>
  <si>
    <t>Instrument Air Pressure - PV Minimum Scaled Value</t>
  </si>
  <si>
    <t>AnaShtdwns[1].14</t>
  </si>
  <si>
    <t>V-4928 Discharge Scrubber Pressure - High High Alarm</t>
  </si>
  <si>
    <t>PIT_V4928_04.HHTimerAlarm</t>
  </si>
  <si>
    <t>V-4928 Discharge Scrubber Pressure - High High Alarm Delay</t>
  </si>
  <si>
    <t>PIT_V4928_04.HHSetpoint</t>
  </si>
  <si>
    <t>V-4928 Discharge Scrubber Pressure - High High Alarm Setpoint</t>
  </si>
  <si>
    <t>ShtdwnSPWrite[54]</t>
  </si>
  <si>
    <t>AnaAlarms[1].15</t>
  </si>
  <si>
    <t>V-4928 Discharge Scrubber Pressure - Low Alarm</t>
  </si>
  <si>
    <t>PIT_V4928_04.LTimerAlert</t>
  </si>
  <si>
    <t>V-4928 Discharge Scrubber Pressure - Low Alarm Delay</t>
  </si>
  <si>
    <t>AlarmSPWrite[55]</t>
  </si>
  <si>
    <t>V-4928 Discharge Scrubber Pressure - Low Alarm Setpoint</t>
  </si>
  <si>
    <t>PIT_V4928_04.LSetpoint</t>
  </si>
  <si>
    <t>AnaShtdwns[1].15</t>
  </si>
  <si>
    <t>V-4928 Discharge Scrubber Pressure - Low Low Alarm</t>
  </si>
  <si>
    <t>PIT_V4928_04.LLTimerAlarm</t>
  </si>
  <si>
    <t>V-4928 Discharge Scrubber Pressure - Low Low Alarm Delay</t>
  </si>
  <si>
    <t>PIT_V4928_04.LLSetpoint</t>
  </si>
  <si>
    <t>V-4928 Discharge Scrubber Pressure - Low Low Alarm Setpoint</t>
  </si>
  <si>
    <t>ShtdwnSPWrite[55]</t>
  </si>
  <si>
    <t>PIT_V4928_04.ProcessValue</t>
  </si>
  <si>
    <t>V-4928 Discharge Scrubber Pressure - Process Value</t>
  </si>
  <si>
    <t>V-4928 Discharge Scrubber Pressure - PV Maximum Scaled Value</t>
  </si>
  <si>
    <t>V-4928 Discharge Scrubber Pressure - PV Minimum Scaled Value</t>
  </si>
  <si>
    <t>pit_v4930a_02</t>
  </si>
  <si>
    <t>PIT-V4930A-02</t>
  </si>
  <si>
    <t>C-4930A Compressor Discharge Pressure</t>
  </si>
  <si>
    <t>AnaAlarms[0].16</t>
  </si>
  <si>
    <t>C-4930A Compressor Discharge Pressure - High Alarm</t>
  </si>
  <si>
    <t>PIT_V4930A_02.HTimerAlert</t>
  </si>
  <si>
    <t>C-4930A Compressor Discharge Pressure - High Alarm Delay</t>
  </si>
  <si>
    <t>AlarmSPWrite[16]</t>
  </si>
  <si>
    <t>C-4930A Compressor Discharge Pressure - High Alarm Setpoint</t>
  </si>
  <si>
    <t>PIT_V4930A_02.HSetpoint</t>
  </si>
  <si>
    <t>AnaShtdwns[0].16</t>
  </si>
  <si>
    <t>PAHH-V4930A-02</t>
  </si>
  <si>
    <t>C-4930A Compressor Discharge Pressure - High High Alarm</t>
  </si>
  <si>
    <t>PIT_V4930A_02.HHTimerAlarm</t>
  </si>
  <si>
    <t>C-4930A Compressor Discharge Pressure - High High Alarm Delay</t>
  </si>
  <si>
    <t>PIT_V4930A_02.HHSetpoint</t>
  </si>
  <si>
    <t>C-4930A Compressor Discharge Pressure - High High Alarm Setpoint</t>
  </si>
  <si>
    <t>ShtdwnSPWrite[16]</t>
  </si>
  <si>
    <t>AnaAlarms[0].17</t>
  </si>
  <si>
    <t>C-4930A Compressor Discharge Pressure - Low Alarm</t>
  </si>
  <si>
    <t>PIT_V4930A_02.LTimerAlert</t>
  </si>
  <si>
    <t>C-4930A Compressor Discharge Pressure - Low Alarm Delay</t>
  </si>
  <si>
    <t>AlarmSPWrite[17]</t>
  </si>
  <si>
    <t>C-4930A Compressor Discharge Pressure - Low Alarm Setpoint</t>
  </si>
  <si>
    <t>PIT_V4930A_02.LSetpoint</t>
  </si>
  <si>
    <t>AnaShtdwns[0].17</t>
  </si>
  <si>
    <t>C-4930A Compressor Discharge Pressure - Low Low Alarm</t>
  </si>
  <si>
    <t>PIT_V4930A_02.LLTimerAlarm</t>
  </si>
  <si>
    <t>C-4930A Compressor Discharge Pressure - Low Low Alarm Delay</t>
  </si>
  <si>
    <t>PIT_V4930A_02.LLSetpoint</t>
  </si>
  <si>
    <t>C-4930A Compressor Discharge Pressure - Low Low Alarm Setpoint</t>
  </si>
  <si>
    <t>ShtdwnSPWrite[17]</t>
  </si>
  <si>
    <t>PIT_V4930A_02.ProcessValue</t>
  </si>
  <si>
    <t>C-4930A Compressor Discharge Pressure - Process Value</t>
  </si>
  <si>
    <t>C-4930A Compressor Discharge Pressure - PV Maximum Scaled Value</t>
  </si>
  <si>
    <t>C-4930A Compressor Discharge Pressure - PV Minimum Scaled Value</t>
  </si>
  <si>
    <t>pit_v4930b_02</t>
  </si>
  <si>
    <t>PIT-V4930B-02</t>
  </si>
  <si>
    <t>C-4930B Compressor Discharge Pressure</t>
  </si>
  <si>
    <t>AnaAlarms[1].10</t>
  </si>
  <si>
    <t>C-4930B Compressor Discharge Pressure - High Alarm</t>
  </si>
  <si>
    <t>PIT_V4930B_02.HTimerAlert</t>
  </si>
  <si>
    <t>C-4930B Compressor Discharge Pressure - High Alarm Delay</t>
  </si>
  <si>
    <t>AlarmSPWrite[50]</t>
  </si>
  <si>
    <t>C-4930B Compressor Discharge Pressure - High Alarm Setpoint</t>
  </si>
  <si>
    <t>PIT_V4930B_02.HSetpoint</t>
  </si>
  <si>
    <t>AnaShtdwns[1].10</t>
  </si>
  <si>
    <t>PAHH-V4930B-02</t>
  </si>
  <si>
    <t>C-4930B Compressor Discharge Pressure - High High Alarm</t>
  </si>
  <si>
    <t>PIT_V4930B_02.HHTimerAlarm</t>
  </si>
  <si>
    <t>C-4930B Compressor Discharge Pressure - High High Alarm Delay</t>
  </si>
  <si>
    <t>PIT_V4930B_02.HHSetpoint</t>
  </si>
  <si>
    <t>C-4930B Compressor Discharge Pressure - High High Alarm Setpoint</t>
  </si>
  <si>
    <t>ShtdwnSPWrite[50]</t>
  </si>
  <si>
    <t>AnaAlarms[1].11</t>
  </si>
  <si>
    <t>C-4930B Compressor Discharge Pressure - Low Alarm</t>
  </si>
  <si>
    <t>PIT_V4930B_02.LTimerAlert</t>
  </si>
  <si>
    <t>C-4930B Compressor Discharge Pressure - Low Alarm Delay</t>
  </si>
  <si>
    <t>AlarmSPWrite[51]</t>
  </si>
  <si>
    <t>C-4930B Compressor Discharge Pressure - Low Alarm Setpoint</t>
  </si>
  <si>
    <t>PIT_V4930B_02.LSetpoint</t>
  </si>
  <si>
    <t>AnaShtdwns[1].11</t>
  </si>
  <si>
    <t>C-4930B Compressor Discharge Pressure - Low Low Alarm</t>
  </si>
  <si>
    <t>PIT_V4930B_02.LLTimerAlarm</t>
  </si>
  <si>
    <t>C-4930B Compressor Discharge Pressure - Low Low Alarm Delay</t>
  </si>
  <si>
    <t>PIT_V4930B_02.LLSetpoint</t>
  </si>
  <si>
    <t>C-4930B Compressor Discharge Pressure - Low Low Alarm Setpoint</t>
  </si>
  <si>
    <t>ShtdwnSPWrite[51]</t>
  </si>
  <si>
    <t>PIT_V4930B_02.ProcessValue</t>
  </si>
  <si>
    <t>C-4930B Compressor Discharge Pressure - Process Value</t>
  </si>
  <si>
    <t>lshh_t108</t>
  </si>
  <si>
    <t>LSHH-T108</t>
  </si>
  <si>
    <t>Stock Tank Level Switch High High</t>
  </si>
  <si>
    <t>Local:5:I.Data.10</t>
  </si>
  <si>
    <t>Stock Tank Level Switch High High - Input</t>
  </si>
  <si>
    <t>PUMPS_INJ_BOOSTER[0].Fail_to_Run_alarm</t>
  </si>
  <si>
    <t>Injection Water Booster Pump - Run Fail</t>
  </si>
  <si>
    <t>SD (P-125A)</t>
  </si>
  <si>
    <t>0=On;1=Off</t>
  </si>
  <si>
    <t>Local:6:O.Data.0</t>
  </si>
  <si>
    <t>Tank Farm PLC - Beacon Status</t>
  </si>
  <si>
    <t>C-4930B Compressor Discharge Pressure - PV Maximum Scaled Value</t>
  </si>
  <si>
    <t>C-4930B Compressor Discharge Pressure - PV Minimum Scaled Value</t>
  </si>
  <si>
    <t>Local:7:C.Ch0Config.HighEngineering</t>
  </si>
  <si>
    <t>P-106 Oil Transfer Pump Discharge Flow - PV Maximum Scaled Value</t>
  </si>
  <si>
    <t>Local:7:C.Ch0Config.LowEngineering</t>
  </si>
  <si>
    <t>P-106 Oil Transfer Pump Discharge Flow - PV Minimum Scaled Value</t>
  </si>
  <si>
    <t>Local:7:C.Ch10Config.HighEngineering</t>
  </si>
  <si>
    <t>Production Inlet Separator Level Switch High - PV Maximum Scaled Value</t>
  </si>
  <si>
    <t>Local:7:C.Ch10Config.LowEngineering</t>
  </si>
  <si>
    <t>Production Inlet Separator Level Switch High - PV Minimum Scaled Value</t>
  </si>
  <si>
    <t>Local:7:C.Ch11Config.HighEngineering</t>
  </si>
  <si>
    <t>Production Inlet Separator Level - PV Maximum Scaled Value</t>
  </si>
  <si>
    <t>Local:7:C.Ch11Config.LowEngineering</t>
  </si>
  <si>
    <t>Production Inlet Separator Level - PV Minimum Scaled Value</t>
  </si>
  <si>
    <t>Local:7:C.Ch13Config.HighEngineering</t>
  </si>
  <si>
    <t>Production Inlet Separator Liquid Out Flow - PV Maximum Scaled Value</t>
  </si>
  <si>
    <t>Local:7:C.Ch13Config.LowEngineering</t>
  </si>
  <si>
    <t>Production Inlet Separator Liquid Out Flow - PV Minimum Scaled Value</t>
  </si>
  <si>
    <t>Local:7:C.Ch3Config.HighEngineering</t>
  </si>
  <si>
    <t>Local:7:C.Ch3Config.LowEngineering</t>
  </si>
  <si>
    <t>Local:7:C.Ch5Config.HighEngineering</t>
  </si>
  <si>
    <t>25B Production Inlet Pressure - PV Maximum Scaled Value</t>
  </si>
  <si>
    <t>Local:7:C.Ch5Config.LowEngineering</t>
  </si>
  <si>
    <t>25B Production Inlet Pressure - PV Minimum Scaled Value</t>
  </si>
  <si>
    <t>pit_v100</t>
  </si>
  <si>
    <t>PIT-V100</t>
  </si>
  <si>
    <t>Production Inlet Separator Gas Out Pressure</t>
  </si>
  <si>
    <t>Local:7:C.Ch8Config.HighEngineering</t>
  </si>
  <si>
    <t>Production Inlet Separator Gas Out Pressure - PV Maximum Scaled Value</t>
  </si>
  <si>
    <t>Local:7:C.Ch8Config.LowEngineering</t>
  </si>
  <si>
    <t>Production Inlet Separator Gas Out Pressure - PV Minimum Scaled Value</t>
  </si>
  <si>
    <t>Local:7:C.Ch9Config.HighEngineering</t>
  </si>
  <si>
    <t>Production Inlet Separator Level Switch Low - PV Maximum Scaled Value</t>
  </si>
  <si>
    <t>Local:7:C.Ch9Config.LowEngineering</t>
  </si>
  <si>
    <t>Production Inlet Separator Level Switch Low - PV Minimum Scaled Value</t>
  </si>
  <si>
    <t>Local:7:I.Ch13Data</t>
  </si>
  <si>
    <t>Production Inlet Separator Liquid Out Flow - Rate</t>
  </si>
  <si>
    <t>vru</t>
  </si>
  <si>
    <t>PLC-VRU</t>
  </si>
  <si>
    <t>SK-4930 VRU PLC</t>
  </si>
  <si>
    <t>Reset</t>
  </si>
  <si>
    <t>SK-4930 VRU PLC - Alarm Reset</t>
  </si>
  <si>
    <t>LSH_V100</t>
  </si>
  <si>
    <t>Production Inlet Separator Level Switch High - Process Value</t>
  </si>
  <si>
    <t>BOP Shutdown Alarm</t>
  </si>
  <si>
    <t>DigShtdwns[0].0</t>
  </si>
  <si>
    <t>SK-4930 VRU PLC - BOP Shutdown Alarm</t>
  </si>
  <si>
    <t>Run_Permit.DigitalInput</t>
  </si>
  <si>
    <t>SK-4930 VRU PLC - BOP Shutdown Status</t>
  </si>
  <si>
    <t>both_comp_sd</t>
  </si>
  <si>
    <t>Both Compressors Shutdown</t>
  </si>
  <si>
    <t>DigShtdwns[1].1</t>
  </si>
  <si>
    <t>SK-4930 VRU PLC - Both Compressors Shutdown</t>
  </si>
  <si>
    <t>class_b</t>
  </si>
  <si>
    <t>Class B Startup Bypass Status</t>
  </si>
  <si>
    <t>TMR[0].TT</t>
  </si>
  <si>
    <t>SK-4930 VRU PLC - Class B Startup Bypass Status</t>
  </si>
  <si>
    <t>Class B Startup Bypass Timer</t>
  </si>
  <si>
    <t>TMR[0]</t>
  </si>
  <si>
    <t>SK-4930 VRU PLC - Class B Startup Bypass Timer</t>
  </si>
  <si>
    <t>DigShtdwns[1].0</t>
  </si>
  <si>
    <t>SK-4930 VRU PLC - Emergency Stop Pushbutton</t>
  </si>
  <si>
    <t>EStop</t>
  </si>
  <si>
    <t>SK-4930 VRU PLC - Emergency Stop Status</t>
  </si>
  <si>
    <t>0=High Level;1=Ok</t>
  </si>
  <si>
    <t>LSHH_T102</t>
  </si>
  <si>
    <t>Drain Tank Level Switch High High - Input</t>
  </si>
  <si>
    <t>remote_e_stop</t>
  </si>
  <si>
    <t>Remote Emergency Stop Pushbutton</t>
  </si>
  <si>
    <t>DigShtdwns[0].1</t>
  </si>
  <si>
    <t>Remote E-Stop</t>
  </si>
  <si>
    <t>SK-4930 VRU PLC - Remote Emergency Stop Pushbutton</t>
  </si>
  <si>
    <t>Remote Emergency Stop Status</t>
  </si>
  <si>
    <t>REM_ESD.DigitalInput</t>
  </si>
  <si>
    <t>SK-4930 VRU PLC - Remote Emergency Stop Status</t>
  </si>
  <si>
    <t>sic_c4930a</t>
  </si>
  <si>
    <t>SIC-C4930A</t>
  </si>
  <si>
    <t>C-4930A Compressor Speed Controller</t>
  </si>
  <si>
    <t>VFDACtrl.ModeSelectHMI</t>
  </si>
  <si>
    <t>C-4930A Compressor Speed Controller - Auto/Manual Mode</t>
  </si>
  <si>
    <t>VFDA.OUT</t>
  </si>
  <si>
    <t>C-4930A Compressor Speed Controller - Control Variable</t>
  </si>
  <si>
    <t>LSL_V100</t>
  </si>
  <si>
    <t>Production Inlet Separator Level Switch Low - Process Value</t>
  </si>
  <si>
    <t>VFDA.KD</t>
  </si>
  <si>
    <t>C-4930A Compressor Speed Controller - Derivative</t>
  </si>
  <si>
    <t>VFDA.KI</t>
  </si>
  <si>
    <t>C-4930A Compressor Speed Controller - Integral</t>
  </si>
  <si>
    <t>VFDACtrl.HMIManualValue</t>
  </si>
  <si>
    <t>C-4930A Compressor Speed Controller - Manual Output</t>
  </si>
  <si>
    <t>VFDA.MAXO</t>
  </si>
  <si>
    <t>C-4930A Compressor Speed Controller - Maximum CV</t>
  </si>
  <si>
    <t>VFDA.MINO</t>
  </si>
  <si>
    <t>C-4930A Compressor Speed Controller - Minimum CV</t>
  </si>
  <si>
    <t>lsll_p135</t>
  </si>
  <si>
    <t>LSLL-P135</t>
  </si>
  <si>
    <t>Disposal Pump Oil Level Switch Low Low</t>
  </si>
  <si>
    <t>LSLL_P135.State_1</t>
  </si>
  <si>
    <t>Disposal Pump Oil Level Switch Low Low - Input</t>
  </si>
  <si>
    <t>VFDA.PV</t>
  </si>
  <si>
    <t>C-4930A Compressor Speed Controller - Process Variable</t>
  </si>
  <si>
    <t>LSLL_P135.Alarm_Low_Low</t>
  </si>
  <si>
    <t>LS-LSLL-P135</t>
  </si>
  <si>
    <t>Disposal Pump Oil Level Switch Low Low - Alarm</t>
  </si>
  <si>
    <t>LSLL_P135.Alarm_Low_Low_TMR</t>
  </si>
  <si>
    <t>Disposal Pump Oil Level Switch Low Low - Alarm Delay</t>
  </si>
  <si>
    <t>LSLL_T102</t>
  </si>
  <si>
    <t>Drain Tank Level Switch Low Low - Input</t>
  </si>
  <si>
    <t>lsll_t108</t>
  </si>
  <si>
    <t>LSLL-T108</t>
  </si>
  <si>
    <t>Stock Tank Level Switch Low Low</t>
  </si>
  <si>
    <t>LSLL_T108</t>
  </si>
  <si>
    <t>Stock Tank Level Switch Low Low - Input</t>
  </si>
  <si>
    <t>VFDA.KP</t>
  </si>
  <si>
    <t>C-4930A Compressor Speed Controller - Proportional</t>
  </si>
  <si>
    <t>VFDA.SP</t>
  </si>
  <si>
    <t>C-4930A Compressor Speed Controller - Setpoint</t>
  </si>
  <si>
    <t>sic_c4930b</t>
  </si>
  <si>
    <t>SIC-C4930B</t>
  </si>
  <si>
    <t>C-4930B Compressor Speed Controller</t>
  </si>
  <si>
    <t>VFDBCtrl.ModeSelectHMI</t>
  </si>
  <si>
    <t>C-4930B Compressor Speed Controller - Auto/Manual Mode</t>
  </si>
  <si>
    <t>VFDB.OUT</t>
  </si>
  <si>
    <t>C-4930B Compressor Speed Controller - Control Variable</t>
  </si>
  <si>
    <t>VFDB.KD</t>
  </si>
  <si>
    <t>C-4930B Compressor Speed Controller - Derivative</t>
  </si>
  <si>
    <t>VFDB.KI</t>
  </si>
  <si>
    <t>C-4930B Compressor Speed Controller - Integral</t>
  </si>
  <si>
    <t>VFDBCtrl.HMIManualValue</t>
  </si>
  <si>
    <t>C-4930B Compressor Speed Controller - Manual Output</t>
  </si>
  <si>
    <t>VFDB.MAXO</t>
  </si>
  <si>
    <t>C-4930B Compressor Speed Controller - Maximum CV</t>
  </si>
  <si>
    <t>VFDB.MINO</t>
  </si>
  <si>
    <t>C-4930B Compressor Speed Controller - Minimum CV</t>
  </si>
  <si>
    <t>VFDB.PV</t>
  </si>
  <si>
    <t>C-4930B Compressor Speed Controller - Process Variable</t>
  </si>
  <si>
    <t>VFDB.KP</t>
  </si>
  <si>
    <t>C-4930B Compressor Speed Controller - Proportional</t>
  </si>
  <si>
    <t>VFDB.SP</t>
  </si>
  <si>
    <t>C-4930B Compressor Speed Controller - Setpoint</t>
  </si>
  <si>
    <t>sit_c4930a</t>
  </si>
  <si>
    <t>SIT-C4930A</t>
  </si>
  <si>
    <t>C-4930A Motor Speed</t>
  </si>
  <si>
    <t>AnaAlarms[2].12</t>
  </si>
  <si>
    <t>C-4930A Motor Speed - High Alarm</t>
  </si>
  <si>
    <t>C4930A_VFD_FREQ.HTimerAlert</t>
  </si>
  <si>
    <t>C-4930A Motor Speed - High Alarm Delay</t>
  </si>
  <si>
    <t>hz</t>
  </si>
  <si>
    <t>AlarmSPWrite[92]</t>
  </si>
  <si>
    <t>C-4930A Motor Speed - High Alarm Setpoint</t>
  </si>
  <si>
    <t>C4930A_VFD_FREQ.HSetpoint</t>
  </si>
  <si>
    <t>AnaShtdwns[2].12</t>
  </si>
  <si>
    <t>C-4930A Motor Speed - High High Alarm</t>
  </si>
  <si>
    <t>C4930A_VFD_FREQ.HHTimerAlarm</t>
  </si>
  <si>
    <t>C-4930A Motor Speed - High High Alarm Delay</t>
  </si>
  <si>
    <t>C4930A_VFD_FREQ.HHSetpoint</t>
  </si>
  <si>
    <t>C-4930A Motor Speed - High High Alarm Setpoint</t>
  </si>
  <si>
    <t>ShtdwnSPWrite[92]</t>
  </si>
  <si>
    <t>C4930A_VFD_FREQ.ProcessValue</t>
  </si>
  <si>
    <t>C-4930A Motor Speed - Process Value</t>
  </si>
  <si>
    <t>C-4930A Motor Speed - PV Maximum Scaled Value</t>
  </si>
  <si>
    <t>C-4930A Motor Speed - PV Minimum Scaled Value</t>
  </si>
  <si>
    <t>sit_c4930b</t>
  </si>
  <si>
    <t>SIT-C4930B</t>
  </si>
  <si>
    <t>C-4930B Motor Speed</t>
  </si>
  <si>
    <t>AnaAlarms[2].14</t>
  </si>
  <si>
    <t>C-4930B Motor Speed - High Alarm</t>
  </si>
  <si>
    <t>pv_v102</t>
  </si>
  <si>
    <t>PV-V102</t>
  </si>
  <si>
    <t>K-101A/B VRU Discharge Pressure Control Valve</t>
  </si>
  <si>
    <t>PID_PRESSURE[0].Controller.KD</t>
  </si>
  <si>
    <t>K-101A/B VRU Discharge Pressure Control Valve - Derivative</t>
  </si>
  <si>
    <t>PID_PRESSURE[0].Controller.KI</t>
  </si>
  <si>
    <t>K-101A/B VRU Discharge Pressure Control Valve - Integral</t>
  </si>
  <si>
    <t>PID_PRESSURE[0].Controller.KP</t>
  </si>
  <si>
    <t>K-101A/B VRU Discharge Pressure Control Valve - Proportional</t>
  </si>
  <si>
    <t>PID_PRESSURE[0].Controller.MAXO</t>
  </si>
  <si>
    <t>K-101A/B VRU Discharge Pressure Control Valve - Maximum CV</t>
  </si>
  <si>
    <t>PID_PRESSURE[0].Controller.MINO</t>
  </si>
  <si>
    <t>K-101A/B VRU Discharge Pressure Control Valve - Minimum CV</t>
  </si>
  <si>
    <t>PID_PRESSURE[0].Controller.OUT</t>
  </si>
  <si>
    <t>K-101A/B VRU Discharge Pressure Control Valve - Control Variable</t>
  </si>
  <si>
    <t>PID_PRESSURE[0].Controller.PV</t>
  </si>
  <si>
    <t>K-101A/B VRU Discharge Pressure Control Valve - Process Variable</t>
  </si>
  <si>
    <t>PID_PRESSURE[0].Controller.SO</t>
  </si>
  <si>
    <t>K-101A/B VRU Discharge Pressure Control Valve - Manual Output</t>
  </si>
  <si>
    <t>PID_PRESSURE[0].Controller.SP</t>
  </si>
  <si>
    <t>K-101A/B VRU Discharge Pressure Control Valve - Setpoint</t>
  </si>
  <si>
    <t>PID_PRESSURE[0].Controller.SWM</t>
  </si>
  <si>
    <t>K-101A/B VRU Discharge Pressure Control Valve - Auto/Manual Mode</t>
  </si>
  <si>
    <t>pv_p145</t>
  </si>
  <si>
    <t>PV-P145</t>
  </si>
  <si>
    <t xml:space="preserve">Booster Discharge to 36B Waterflood Water Flow Control Valve </t>
  </si>
  <si>
    <t>PY_P145_PID.KD</t>
  </si>
  <si>
    <t>Booster Discharge to 36B Waterflood Water Flow Control Valve  - Derivative</t>
  </si>
  <si>
    <t>PY_P145_PID.KI</t>
  </si>
  <si>
    <t>Booster Discharge to 36B Waterflood Water Flow Control Valve  - Integral</t>
  </si>
  <si>
    <t>PY_P145_PID.KP</t>
  </si>
  <si>
    <t>Booster Discharge to 36B Waterflood Water Flow Control Valve  - Proportional</t>
  </si>
  <si>
    <t>PY_P145_PID.MAXO</t>
  </si>
  <si>
    <t>Booster Discharge to 36B Waterflood Water Flow Control Valve  - Maximum CV</t>
  </si>
  <si>
    <t>PY_P145_PID.MINO</t>
  </si>
  <si>
    <t>Booster Discharge to 36B Waterflood Water Flow Control Valve  - Minimum CV</t>
  </si>
  <si>
    <t>sp_min</t>
  </si>
  <si>
    <t>Minimum Setpoint</t>
  </si>
  <si>
    <t>PY_P145_PID.MINS</t>
  </si>
  <si>
    <t>Booster Discharge to 36B Waterflood Water Flow Control Valve  - Minimum Setpoint</t>
  </si>
  <si>
    <t>WRITEFLOAT[639]</t>
  </si>
  <si>
    <t>Injection Water Booster Pump - Enable</t>
  </si>
  <si>
    <t>PY_P145_PID.OUT</t>
  </si>
  <si>
    <t>Booster Discharge to 36B Waterflood Water Flow Control Valve  - Control Variable</t>
  </si>
  <si>
    <t>PY_P145_PID.PV</t>
  </si>
  <si>
    <t>Booster Discharge to 36B Waterflood Water Flow Control Valve  - Process Variable</t>
  </si>
  <si>
    <t>PY_P145_PID.SO</t>
  </si>
  <si>
    <t>Booster Discharge to 36B Waterflood Water Flow Control Valve  - Manual Output</t>
  </si>
  <si>
    <t>PY_P145_PID.SP</t>
  </si>
  <si>
    <t>Booster Discharge to 36B Waterflood Water Flow Control Valve  - Setpoint</t>
  </si>
  <si>
    <t>PY_P145_PID.SWM</t>
  </si>
  <si>
    <t>Booster Discharge to 36B Waterflood Water Flow Control Valve  - Auto/Manual Mode</t>
  </si>
  <si>
    <t>p_125a_b</t>
  </si>
  <si>
    <t>P-125A/B</t>
  </si>
  <si>
    <t>Injection Water Booster Pumps</t>
  </si>
  <si>
    <t>P125_LEAD_START_SP</t>
  </si>
  <si>
    <t>Injection Water Booster Pumps - Lead Start Setpoint</t>
  </si>
  <si>
    <t>P125_LEAD_STOP_SP</t>
  </si>
  <si>
    <t>Injection Water Booster Pumps - Lead Stop Setpoint</t>
  </si>
  <si>
    <t>PAH_703_OND</t>
  </si>
  <si>
    <t>25B Production Inlet Pressure - High Alarm Delay</t>
  </si>
  <si>
    <t>PAH_703_SP</t>
  </si>
  <si>
    <t>25B Production Inlet Pressure - High Alarm Setpoint</t>
  </si>
  <si>
    <t>PAHH_P102_OND</t>
  </si>
  <si>
    <t>Drain Tank Pump Discharge Pressure Switch High High - Alarm Delay</t>
  </si>
  <si>
    <t>PAL_703_OND</t>
  </si>
  <si>
    <t>25B Production Inlet Pressure - Low Alarm Delay</t>
  </si>
  <si>
    <t>PAL_703_SP</t>
  </si>
  <si>
    <t>25B Production Inlet Pressure - Low Alarm Setpoint</t>
  </si>
  <si>
    <t>pic_p125</t>
  </si>
  <si>
    <t>PIC-P125</t>
  </si>
  <si>
    <t>Injection Booster Pumps Discharge Pressure Controller</t>
  </si>
  <si>
    <t>PCV_P125_DISCHARGE.KD</t>
  </si>
  <si>
    <t>Injection Booster Pumps Discharge Pressure Controller - Derivative</t>
  </si>
  <si>
    <t>PCV_P125_DISCHARGE.KI</t>
  </si>
  <si>
    <t>Injection Booster Pumps Discharge Pressure Controller - Integral</t>
  </si>
  <si>
    <t>PCV_P125_DISCHARGE.KP</t>
  </si>
  <si>
    <t>Injection Booster Pumps Discharge Pressure Controller - Proportional</t>
  </si>
  <si>
    <t>PCV_P125_DISCHARGE.MAXO</t>
  </si>
  <si>
    <t>Injection Booster Pumps Discharge Pressure Controller - Maximum CV</t>
  </si>
  <si>
    <t>PCV_P125_DISCHARGE.MINO</t>
  </si>
  <si>
    <t>Injection Booster Pumps Discharge Pressure Controller - Minimum CV</t>
  </si>
  <si>
    <t>PCV_P125_DISCHARGE.OUT</t>
  </si>
  <si>
    <t>Injection Booster Pumps Discharge Pressure Controller - Control Variable</t>
  </si>
  <si>
    <t>PCV_P125_DISCHARGE.PV</t>
  </si>
  <si>
    <t>Injection Booster Pumps Discharge Pressure Controller - Process Variable</t>
  </si>
  <si>
    <t>PCV_P125_DISCHARGE.SO</t>
  </si>
  <si>
    <t>Injection Booster Pumps Discharge Pressure Controller - Manual Output</t>
  </si>
  <si>
    <t>PCV_P125_DISCHARGE.SP</t>
  </si>
  <si>
    <t>Injection Booster Pumps Discharge Pressure Controller - Setpoint</t>
  </si>
  <si>
    <t>PCV_P125_DISCHARGE.SWM</t>
  </si>
  <si>
    <t>Injection Booster Pumps Discharge Pressure Controller - Auto/Manual Mode</t>
  </si>
  <si>
    <t>C4930B_VFD_FREQ.HTimerAlert</t>
  </si>
  <si>
    <t>C-4930B Motor Speed - High Alarm Delay</t>
  </si>
  <si>
    <t>AlarmSPWrite[94]</t>
  </si>
  <si>
    <t>C-4930B Motor Speed - High Alarm Setpoint</t>
  </si>
  <si>
    <t>C4930B_VFD_FREQ.HSetpoint</t>
  </si>
  <si>
    <t>AnaShtdwns[2].14</t>
  </si>
  <si>
    <t>C-4930B Motor Speed - High High Alarm</t>
  </si>
  <si>
    <t>C4930B_VFD_FREQ.HHTimerAlarm</t>
  </si>
  <si>
    <t>C-4930B Motor Speed - High High Alarm Delay</t>
  </si>
  <si>
    <t>C4930B_VFD_FREQ.HHSetpoint</t>
  </si>
  <si>
    <t>C-4930B Motor Speed - High High Alarm Setpoint</t>
  </si>
  <si>
    <t>ShtdwnSPWrite[94]</t>
  </si>
  <si>
    <t>C4930B_VFD_FREQ.ProcessValue</t>
  </si>
  <si>
    <t>C-4930B Motor Speed - Process Value</t>
  </si>
  <si>
    <t>Local:4:C.Ch7Config.HighEngineering</t>
  </si>
  <si>
    <t>C-4930B Motor Speed - PV Maximum Scaled Value</t>
  </si>
  <si>
    <t>Local:4:C.Ch7Config.LowEngineering</t>
  </si>
  <si>
    <t>C-4930B Motor Speed - PV Minimum Scaled Value</t>
  </si>
  <si>
    <t>sp_max</t>
  </si>
  <si>
    <t>Maximum Setpoint</t>
  </si>
  <si>
    <t>READFLOAT[796]</t>
  </si>
  <si>
    <t>Booster Discharge to 36B Waterflood Water Flow Control Valve  - Maximum Setpoint</t>
  </si>
  <si>
    <t>REAL[100]</t>
  </si>
  <si>
    <t>pv_p135_2</t>
  </si>
  <si>
    <t>PV-P135-2</t>
  </si>
  <si>
    <t>Jet Wash Water Supply Pressure Control Valve</t>
  </si>
  <si>
    <t>PV_P135_5_PID.KD</t>
  </si>
  <si>
    <t>Jet Wash Water Supply Pressure Control Valve - Derivative</t>
  </si>
  <si>
    <t>PV_P135_5_PID.KI</t>
  </si>
  <si>
    <t>Jet Wash Water Supply Pressure Control Valve - Integral</t>
  </si>
  <si>
    <t>PV_P135_5_PID.KP</t>
  </si>
  <si>
    <t>Jet Wash Water Supply Pressure Control Valve - Proportional</t>
  </si>
  <si>
    <t>PV_P135_5_PID.MAXO</t>
  </si>
  <si>
    <t>Jet Wash Water Supply Pressure Control Valve - Maximum CV</t>
  </si>
  <si>
    <t>PV_P135_5_PID.MINO</t>
  </si>
  <si>
    <t>Jet Wash Water Supply Pressure Control Valve - Minimum CV</t>
  </si>
  <si>
    <t>PV_P135_5_PID.OUT</t>
  </si>
  <si>
    <t>Jet Wash Water Supply Pressure Control Valve - Control Variable</t>
  </si>
  <si>
    <t>PV_P135_5_PID.PV</t>
  </si>
  <si>
    <t>Jet Wash Water Supply Pressure Control Valve - Process Variable</t>
  </si>
  <si>
    <t>sic_p135</t>
  </si>
  <si>
    <t>SIC-P135</t>
  </si>
  <si>
    <t>Disposal Pump Speed Controller</t>
  </si>
  <si>
    <t>PID_FLOW[1].Controller.KD</t>
  </si>
  <si>
    <t>Disposal Pump Speed Controller - Derivative</t>
  </si>
  <si>
    <t>PID_FLOW[1].Controller.KI</t>
  </si>
  <si>
    <t>Disposal Pump Speed Controller - Integral</t>
  </si>
  <si>
    <t>PID_FLOW[1].Controller.KP</t>
  </si>
  <si>
    <t>Disposal Pump Speed Controller - Proportional</t>
  </si>
  <si>
    <t>PID_FLOW[1].Controller.MAXO</t>
  </si>
  <si>
    <t>Disposal Pump Speed Controller - Maximum CV</t>
  </si>
  <si>
    <t>PID_FLOW[1].Controller.MINO</t>
  </si>
  <si>
    <t>Disposal Pump Speed Controller - Minimum CV</t>
  </si>
  <si>
    <t>PID_FLOW[1].Controller.MINS</t>
  </si>
  <si>
    <t>Disposal Pump Speed Controller - Minimum Setpoint</t>
  </si>
  <si>
    <t>PID_FLOW[1].Controller.OUT</t>
  </si>
  <si>
    <t>Disposal Pump Speed Controller - Control Variable</t>
  </si>
  <si>
    <t>PID_FLOW[1].Controller.PV</t>
  </si>
  <si>
    <t>Disposal Pump Speed Controller - Process Variable</t>
  </si>
  <si>
    <t>PID_FLOW[1].Controller.SO</t>
  </si>
  <si>
    <t>Disposal Pump Speed Controller - Manual Output</t>
  </si>
  <si>
    <t>PID_FLOW[1].Controller.SP</t>
  </si>
  <si>
    <t>Disposal Pump Speed Controller - Setpoint</t>
  </si>
  <si>
    <t>PID_FLOW[1].Controller.SWM</t>
  </si>
  <si>
    <t>Disposal Pump Speed Controller - Auto/Manual Mode</t>
  </si>
  <si>
    <t>lic_t108_110</t>
  </si>
  <si>
    <t>LIC-T108/110</t>
  </si>
  <si>
    <t>Stock Tank Level Controller</t>
  </si>
  <si>
    <t>PID_LEVEL[0].Controller.KD</t>
  </si>
  <si>
    <t>Stock Tank Level Controller - Derivative</t>
  </si>
  <si>
    <t>PID_LEVEL[0].Controller.KI</t>
  </si>
  <si>
    <t>Stock Tank Level Controller - Integral</t>
  </si>
  <si>
    <t>PID_LEVEL[0].Controller.KP</t>
  </si>
  <si>
    <t>Stock Tank Level Controller - Proportional</t>
  </si>
  <si>
    <t>PID_LEVEL[0].Controller.MAXO</t>
  </si>
  <si>
    <t>Stock Tank Level Controller - Maximum CV</t>
  </si>
  <si>
    <t>PID_LEVEL[0].Controller.MAXS</t>
  </si>
  <si>
    <t>Stock Tank Level Controller - Maximum Setpoint</t>
  </si>
  <si>
    <t>PID_LEVEL[0].Controller.MINO</t>
  </si>
  <si>
    <t>Stock Tank Level Controller - Minimum CV</t>
  </si>
  <si>
    <t>PID_LEVEL[0].Controller.MINS</t>
  </si>
  <si>
    <t>Stock Tank Level Controller - Minimum Setpoint</t>
  </si>
  <si>
    <t>PID_LEVEL[0].Controller.OUT</t>
  </si>
  <si>
    <t>Stock Tank Level Controller - Control Variable</t>
  </si>
  <si>
    <t>PID_LEVEL[0].Controller.PV</t>
  </si>
  <si>
    <t>Stock Tank Level Controller - Process Variable</t>
  </si>
  <si>
    <t>PID_LEVEL[0].Controller.SO</t>
  </si>
  <si>
    <t>Stock Tank Level Controller - Manual Output</t>
  </si>
  <si>
    <t>PID_LEVEL[0].Controller.SP</t>
  </si>
  <si>
    <t>Stock Tank Level Controller - Setpoint</t>
  </si>
  <si>
    <t>PID_LEVEL[0].Controller.SWM</t>
  </si>
  <si>
    <t>Stock Tank Level Controller - Auto/Manual Mode</t>
  </si>
  <si>
    <t>PV_P135_5_PID.SO</t>
  </si>
  <si>
    <t>Jet Wash Water Supply Pressure Control Valve - Manual Output</t>
  </si>
  <si>
    <t>PV_P135_5_PID.SP</t>
  </si>
  <si>
    <t>Jet Wash Water Supply Pressure Control Valve - Setpoint</t>
  </si>
  <si>
    <t>PV_P135_5_PID.SWM</t>
  </si>
  <si>
    <t>Jet Wash Water Supply Pressure Control Valve - Auto/Manual Mode</t>
  </si>
  <si>
    <t>sov</t>
  </si>
  <si>
    <t>Solenoid Output Command</t>
  </si>
  <si>
    <t>0=De-energized;1=Energized</t>
  </si>
  <si>
    <t>REMOTE_IO:14:O.Data.12</t>
  </si>
  <si>
    <t>Jet Wash Water Supply Pressure Control Valve - Solenoid Output Command</t>
  </si>
  <si>
    <t>WRITEFLOAT[798]</t>
  </si>
  <si>
    <t>pv_p135_1</t>
  </si>
  <si>
    <t>PV-P135-1</t>
  </si>
  <si>
    <t>Disposal Pump Discharge Pressure Control Valve</t>
  </si>
  <si>
    <t>PY_P135_3_PID.KD</t>
  </si>
  <si>
    <t>Disposal Pump Discharge Pressure Control Valve - Derivative</t>
  </si>
  <si>
    <t>PY_P135_3_PID.KI</t>
  </si>
  <si>
    <t>Disposal Pump Discharge Pressure Control Valve - Integral</t>
  </si>
  <si>
    <t>PY_P135_3_PID.KP</t>
  </si>
  <si>
    <t>Disposal Pump Discharge Pressure Control Valve - Proportional</t>
  </si>
  <si>
    <t>PIT_703</t>
  </si>
  <si>
    <t>25B Production Inlet Pressure - Process Value</t>
  </si>
  <si>
    <t>tit_c4930a_06</t>
  </si>
  <si>
    <t>TIT-C4930A-06</t>
  </si>
  <si>
    <t>C-4930A Compressor Discharge Temperature (Control)</t>
  </si>
  <si>
    <t>AnaShtdwns[0].6</t>
  </si>
  <si>
    <t>C-4930A Compressor Discharge Temperature (Control) - High High Alarm</t>
  </si>
  <si>
    <t>TIT_C4930A_06.HHTimerAlarm</t>
  </si>
  <si>
    <t>C-4930A Compressor Discharge Temperature (Control) - High High Alarm Delay</t>
  </si>
  <si>
    <t>ShtdwnSPWrite[6]</t>
  </si>
  <si>
    <t>C-4930A Compressor Discharge Temperature (Control) - High High Alarm Setpoint</t>
  </si>
  <si>
    <t>TIT_C4930A_06.HHSetpoint</t>
  </si>
  <si>
    <t>TIT_C4930A_06.ProcessValue</t>
  </si>
  <si>
    <t>C-4930A Compressor Discharge Temperature (Control) - Process Value</t>
  </si>
  <si>
    <t>C-4930A Compressor Discharge Temperature (Control) - PV Maximum Scaled Value</t>
  </si>
  <si>
    <t>C-4930A Compressor Discharge Temperature (Control) - PV Minimum Scaled Value</t>
  </si>
  <si>
    <t>tit_c4930a_07</t>
  </si>
  <si>
    <t>TIT-C4930A-07</t>
  </si>
  <si>
    <t>C-4930A Compressor Discharge Temperature</t>
  </si>
  <si>
    <t>AnaAlarms[0].8</t>
  </si>
  <si>
    <t>C-4930A Compressor Discharge Temperature - High Alarm</t>
  </si>
  <si>
    <t>TIT_C4930A_07.HTimerAlert</t>
  </si>
  <si>
    <t>C-4930A Compressor Discharge Temperature - High Alarm Delay</t>
  </si>
  <si>
    <t>AlarmSPWrite[8]</t>
  </si>
  <si>
    <t>C-4930A Compressor Discharge Temperature - High Alarm Setpoint</t>
  </si>
  <si>
    <t>TIT_C4930A_07.HSetpoint</t>
  </si>
  <si>
    <t>AnaShtdwns[0].8</t>
  </si>
  <si>
    <t>TAHH-C4930A-07</t>
  </si>
  <si>
    <t>C-4930A Compressor Discharge Temperature - High High Alarm</t>
  </si>
  <si>
    <t>TIT_C4930A_07.HHTimerAlarm</t>
  </si>
  <si>
    <t>C-4930A Compressor Discharge Temperature - High High Alarm Delay</t>
  </si>
  <si>
    <t>ShtdwnSPWrite[8]</t>
  </si>
  <si>
    <t>C-4930A Compressor Discharge Temperature - High High Alarm Setpoint</t>
  </si>
  <si>
    <t>TIT_C4930A_07.HHSetpoint</t>
  </si>
  <si>
    <t>TIT_C4930A_07.ProcessValue</t>
  </si>
  <si>
    <t>C-4930A Compressor Discharge Temperature - Process Value</t>
  </si>
  <si>
    <t>C-4930A Compressor Discharge Temperature - PV Maximum Scaled Value</t>
  </si>
  <si>
    <t>C-4930A Compressor Discharge Temperature - PV Minimum Scaled Value</t>
  </si>
  <si>
    <t>tit_c4930b_06</t>
  </si>
  <si>
    <t>TIT-C4930B-06</t>
  </si>
  <si>
    <t>C-4930B Compressor Discharge Temperature (Control)</t>
  </si>
  <si>
    <t>AnaAlarms[1].0</t>
  </si>
  <si>
    <t>C-4930B Compressor Discharge Temperature (Control) - High Alarm</t>
  </si>
  <si>
    <t>TIT_C4930B_06.HTimerAlert</t>
  </si>
  <si>
    <t>C-4930B Compressor Discharge Temperature (Control) - High Alarm Delay</t>
  </si>
  <si>
    <t>AlarmSPWrite[40]</t>
  </si>
  <si>
    <t>C-4930B Compressor Discharge Temperature (Control) - High Alarm Setpoint</t>
  </si>
  <si>
    <t>TIT_C4930B_06.HSetpoint</t>
  </si>
  <si>
    <t>AnaShtdwns[1].0</t>
  </si>
  <si>
    <t>C-4930B Compressor Discharge Temperature (Control) - High High Alarm</t>
  </si>
  <si>
    <t>TIT_C4930B_06.HHTimerAlarm</t>
  </si>
  <si>
    <t>C-4930B Compressor Discharge Temperature (Control) - High High Alarm Delay</t>
  </si>
  <si>
    <t>ShtdwnSPWrite[40]</t>
  </si>
  <si>
    <t>C-4930B Compressor Discharge Temperature (Control) - High High Alarm Setpoint</t>
  </si>
  <si>
    <t>TIT_C4930B_06.HHSetpoint</t>
  </si>
  <si>
    <t>TIT_C4930B_06.ProcessValue</t>
  </si>
  <si>
    <t>C-4930B Compressor Discharge Temperature (Control) - Process Value</t>
  </si>
  <si>
    <t>C-4930B Compressor Discharge Temperature (Control) - PV Maximum Scaled Value</t>
  </si>
  <si>
    <t>C-4930B Compressor Discharge Temperature (Control) - PV Minimum Scaled Value</t>
  </si>
  <si>
    <t>tit_c4930b_07</t>
  </si>
  <si>
    <t>TIT-C4930B-07</t>
  </si>
  <si>
    <t>C-4930B Compressor Discharge Temperature</t>
  </si>
  <si>
    <t>AnaAlarms[1].2</t>
  </si>
  <si>
    <t>C-4930B Compressor Discharge Temperature - High Alarm</t>
  </si>
  <si>
    <t>TIT_C4930B_07.HTimerAlert</t>
  </si>
  <si>
    <t>C-4930B Compressor Discharge Temperature - High Alarm Delay</t>
  </si>
  <si>
    <t>AlarmSPWrite[42]</t>
  </si>
  <si>
    <t>C-4930B Compressor Discharge Temperature - High Alarm Setpoint</t>
  </si>
  <si>
    <t>TIT_C4930B_07.HSetpoint</t>
  </si>
  <si>
    <t>AnaShtdwns[1].2</t>
  </si>
  <si>
    <t>TAHH-C4930B-07</t>
  </si>
  <si>
    <t>C-4930B Compressor Discharge Temperature - High High Alarm</t>
  </si>
  <si>
    <t>TIT_C4930B_07.HHTimerAlarm</t>
  </si>
  <si>
    <t>C-4930B Compressor Discharge Temperature - High High Alarm Delay</t>
  </si>
  <si>
    <t>ShtdwnSPWrite[42]</t>
  </si>
  <si>
    <t>C-4930B Compressor Discharge Temperature - High High Alarm Setpoint</t>
  </si>
  <si>
    <t>TIT_C4930B_07.HHSetpoint</t>
  </si>
  <si>
    <t>TIT_C4930B_07.ProcessValue</t>
  </si>
  <si>
    <t>C-4930B Compressor Discharge Temperature - Process Value</t>
  </si>
  <si>
    <t>C-4930B Compressor Discharge Temperature - PV Maximum Scaled Value</t>
  </si>
  <si>
    <t>C-4930B Compressor Discharge Temperature - PV Minimum Scaled Value</t>
  </si>
  <si>
    <t>tit_e4930a_03</t>
  </si>
  <si>
    <t>TIT-E4930A-03</t>
  </si>
  <si>
    <t>C-4930A Oil/Gas Separator Oil Temperature</t>
  </si>
  <si>
    <t>AnaAlarms[0].10</t>
  </si>
  <si>
    <t>C-4930A Oil/Gas Separator Oil Temperature - High Alarm</t>
  </si>
  <si>
    <t>TIT_E4930A_03.HTimerAlert</t>
  </si>
  <si>
    <t>C-4930A Oil/Gas Separator Oil Temperature - High Alarm Delay</t>
  </si>
  <si>
    <t>AlarmSPWrite[10]</t>
  </si>
  <si>
    <t>C-4930A Oil/Gas Separator Oil Temperature - High Alarm Setpoint</t>
  </si>
  <si>
    <t>TIT_E4930A_03.HSetpoint</t>
  </si>
  <si>
    <t>AnaShtdwns[0].10</t>
  </si>
  <si>
    <t>C-4930A Oil/Gas Separator Oil Temperature - High High Alarm</t>
  </si>
  <si>
    <t>TIT_E4930A_03.HHTimerAlarm</t>
  </si>
  <si>
    <t>C-4930A Oil/Gas Separator Oil Temperature - High High Alarm Delay</t>
  </si>
  <si>
    <t>ShtdwnSPWrite[10]</t>
  </si>
  <si>
    <t>C-4930A Oil/Gas Separator Oil Temperature - High High Alarm Setpoint</t>
  </si>
  <si>
    <t>TIT_E4930A_03.HHSetpoint</t>
  </si>
  <si>
    <t>TIT_E4930A_03.ProcessValue</t>
  </si>
  <si>
    <t>C-4930A Oil/Gas Separator Oil Temperature - Process Value</t>
  </si>
  <si>
    <t>C-4930A Oil/Gas Separator Oil Temperature - PV Maximum Scaled Value</t>
  </si>
  <si>
    <t>C-4930A Oil/Gas Separator Oil Temperature - PV Minimum Scaled Value</t>
  </si>
  <si>
    <t>tit_e4930b_03</t>
  </si>
  <si>
    <t>TIT-E4930B-03</t>
  </si>
  <si>
    <t>C-4930B Oil/Gas Separator Oil Temperature</t>
  </si>
  <si>
    <t>AnaAlarms[1].4</t>
  </si>
  <si>
    <t>C-4930B Oil/Gas Separator Oil Temperature - High Alarm</t>
  </si>
  <si>
    <t>TIT_E4930B_03.HTimerAlert</t>
  </si>
  <si>
    <t>C-4930B Oil/Gas Separator Oil Temperature - High Alarm Delay</t>
  </si>
  <si>
    <t>AlarmSPWrite[44]</t>
  </si>
  <si>
    <t>C-4930B Oil/Gas Separator Oil Temperature - High Alarm Setpoint</t>
  </si>
  <si>
    <t>PLACEHOLDER TAG</t>
  </si>
  <si>
    <t>LS-LSHH-T108</t>
  </si>
  <si>
    <t>Stock Tank Level Switch High High - Alarm</t>
  </si>
  <si>
    <t>Stock Tank Level Switch High High - Alarm Delay</t>
  </si>
  <si>
    <t>Stock Tank Level Switch Low Low - Alarm</t>
  </si>
  <si>
    <t>0=High Pressure;1=Ok</t>
  </si>
  <si>
    <t>PSHH_P102</t>
  </si>
  <si>
    <t>Drain Tank Pump Discharge Pressure Switch High High - Input</t>
  </si>
  <si>
    <t>PRESSURE_TRANSMITTER[0].Alarm_High_BIT</t>
  </si>
  <si>
    <t>V-101 Suction Scrubber Pressure - High Alarm</t>
  </si>
  <si>
    <t>PRESSURE_TRANSMITTER[0].Alarm_High_High_BIT</t>
  </si>
  <si>
    <t>V-101 Suction Scrubber Pressure - High High Alarm</t>
  </si>
  <si>
    <t>PRESSURE_TRANSMITTER[0].Alarm_High_High_Set_Point</t>
  </si>
  <si>
    <t>V-101 Suction Scrubber Pressure - High High Alarm Setpoint</t>
  </si>
  <si>
    <t>PRESSURE_TRANSMITTER[0].Alarm_High_High_TMR</t>
  </si>
  <si>
    <t>V-101 Suction Scrubber Pressure - High High Alarm Delay</t>
  </si>
  <si>
    <t>PRESSURE_TRANSMITTER[0].Alarm_High_Set_Point</t>
  </si>
  <si>
    <t>V-101 Suction Scrubber Pressure - High Alarm Setpoint</t>
  </si>
  <si>
    <t>PRESSURE_TRANSMITTER[0].Alarm_High_TMR</t>
  </si>
  <si>
    <t>V-101 Suction Scrubber Pressure - High Alarm Delay</t>
  </si>
  <si>
    <t>PRESSURE_TRANSMITTER[0].Alarm_Low_BIT</t>
  </si>
  <si>
    <t>V-101 Suction Scrubber Pressure - Low Alarm</t>
  </si>
  <si>
    <t>PRESSURE_TRANSMITTER[0].Alarm_Low_Low_BIT</t>
  </si>
  <si>
    <t>V-101 Suction Scrubber Pressure - Low Low Alarm</t>
  </si>
  <si>
    <t>PRESSURE_TRANSMITTER[0].Alarm_Low_Low_Set_Point</t>
  </si>
  <si>
    <t>V-101 Suction Scrubber Pressure - Low Low Alarm Setpoint</t>
  </si>
  <si>
    <t>PRESSURE_TRANSMITTER[0].Alarm_Low_Low_TMR</t>
  </si>
  <si>
    <t>V-101 Suction Scrubber Pressure - Low Low Alarm Delay</t>
  </si>
  <si>
    <t>PRESSURE_TRANSMITTER[0].Alarm_Low_Set_Point</t>
  </si>
  <si>
    <t>V-101 Suction Scrubber Pressure - Low Alarm Setpoint</t>
  </si>
  <si>
    <t>PRESSURE_TRANSMITTER[0].Alarm_Low_TMR</t>
  </si>
  <si>
    <t>V-101 Suction Scrubber Pressure - Low Alarm Delay</t>
  </si>
  <si>
    <t>PRESSURE_TRANSMITTER[0].Value_in_Inches</t>
  </si>
  <si>
    <t>V-101 Suction Scrubber Pressure - Process Value</t>
  </si>
  <si>
    <t>PRESSURE_TRANSMITTER[1].Alarm_High_BIT</t>
  </si>
  <si>
    <t>K-101A Compressor Discharge Pressure - High Alarm</t>
  </si>
  <si>
    <t>PRESSURE_TRANSMITTER[1].Alarm_High_High_BIT</t>
  </si>
  <si>
    <t>K-101A Compressor Discharge Pressure - High High Alarm</t>
  </si>
  <si>
    <t>PRESSURE_TRANSMITTER[1].Alarm_High_High_Set_Point</t>
  </si>
  <si>
    <t>K-101A Compressor Discharge Pressure - High High Alarm Setpoint</t>
  </si>
  <si>
    <t>PRESSURE_TRANSMITTER[1].Alarm_High_High_TMR</t>
  </si>
  <si>
    <t>K-101A Compressor Discharge Pressure - High High Alarm Delay</t>
  </si>
  <si>
    <t>PRESSURE_TRANSMITTER[1].Alarm_High_Set_Point</t>
  </si>
  <si>
    <t>K-101A Compressor Discharge Pressure - High Alarm Setpoint</t>
  </si>
  <si>
    <t>PRESSURE_TRANSMITTER[1].Alarm_High_TMR</t>
  </si>
  <si>
    <t>K-101A Compressor Discharge Pressure - High Alarm Delay</t>
  </si>
  <si>
    <t>PRESSURE_TRANSMITTER[1].Alarm_Low_BIT</t>
  </si>
  <si>
    <t>K-101A Compressor Discharge Pressure - Low Alarm</t>
  </si>
  <si>
    <t>PRESSURE_TRANSMITTER[1].Alarm_Low_Low_BIT</t>
  </si>
  <si>
    <t>K-101A Compressor Discharge Pressure - Low Low Alarm</t>
  </si>
  <si>
    <t>PRESSURE_TRANSMITTER[1].Alarm_Low_Low_Set_Point</t>
  </si>
  <si>
    <t>K-101A Compressor Discharge Pressure - Low Low Alarm Setpoint</t>
  </si>
  <si>
    <t>PRESSURE_TRANSMITTER[1].Alarm_Low_Low_TMR</t>
  </si>
  <si>
    <t>K-101A Compressor Discharge Pressure - Low Low Alarm Delay</t>
  </si>
  <si>
    <t>PRESSURE_TRANSMITTER[1].Alarm_Low_Set_Point</t>
  </si>
  <si>
    <t>K-101A Compressor Discharge Pressure - Low Alarm Setpoint</t>
  </si>
  <si>
    <t>K-101B Compressor Discharge Pressure - Low Alarm Setpoint</t>
  </si>
  <si>
    <t>PRESSURE_TRANSMITTER[1].Alarm_Low_TMR</t>
  </si>
  <si>
    <t>K-101A Compressor Discharge Pressure - Low Alarm Delay</t>
  </si>
  <si>
    <t>PRESSURE_TRANSMITTER[1].Value</t>
  </si>
  <si>
    <t>K-101A/B VRU Gas Outlet Pressure - Process Value</t>
  </si>
  <si>
    <t>K-101A Compressor Discharge Pressure - Process Value</t>
  </si>
  <si>
    <t>pit_p210a_1</t>
  </si>
  <si>
    <t>PIT-P210A-1</t>
  </si>
  <si>
    <t>P-210A ISF Transfer Pump Suction Pressure</t>
  </si>
  <si>
    <t>PRESSURE_TRANSMITTER[10].Alarm_Low_BIT</t>
  </si>
  <si>
    <t>P-210A ISF Transfer Pump Suction Pressure - Low Alarm</t>
  </si>
  <si>
    <t>PRESSURE_TRANSMITTER[10].Alarm_Low_Low_BIT</t>
  </si>
  <si>
    <t>PALL-P210A-1</t>
  </si>
  <si>
    <t>P-210A ISF Transfer Pump Suction Pressure - Low Low Alarm</t>
  </si>
  <si>
    <t>SD (P-210A)</t>
  </si>
  <si>
    <t>PRESSURE_TRANSMITTER[10].Alarm_Low_Low_TMR</t>
  </si>
  <si>
    <t>P-210A ISF Transfer Pump Suction Pressure - Low Low Alarm Delay</t>
  </si>
  <si>
    <t>PRESSURE_TRANSMITTER[10].Alarm_Low_TMR</t>
  </si>
  <si>
    <t>P-210A ISF Transfer Pump Suction Pressure - Low Alarm Delay</t>
  </si>
  <si>
    <t>PRESSURE_TRANSMITTER[10].Value</t>
  </si>
  <si>
    <t>P-210A ISF Transfer Pump Suction Pressure - Process Value</t>
  </si>
  <si>
    <t>pit_p210a_2</t>
  </si>
  <si>
    <t>PIT-P210A-2</t>
  </si>
  <si>
    <t>P-210A ISF Transfer Pump Discharge Pressure</t>
  </si>
  <si>
    <t>PRESSURE_TRANSMITTER[11].Alarm_High_BIT</t>
  </si>
  <si>
    <t>P-210A ISF Transfer Pump Discharge Pressure - High Alarm</t>
  </si>
  <si>
    <t>PRESSURE_TRANSMITTER[11].Alarm_High_High_BIT</t>
  </si>
  <si>
    <t>PAHH-P210A-2</t>
  </si>
  <si>
    <t>P-210A ISF Transfer Pump Discharge Pressure - High High Alarm</t>
  </si>
  <si>
    <t>PRESSURE_TRANSMITTER[11].Alarm_High_High_TMR</t>
  </si>
  <si>
    <t>P-210A ISF Transfer Pump Discharge Pressure - High High Alarm Delay</t>
  </si>
  <si>
    <t>PRESSURE_TRANSMITTER[11].Alarm_High_TMR</t>
  </si>
  <si>
    <t>P-210A ISF Transfer Pump Discharge Pressure - High Alarm Delay</t>
  </si>
  <si>
    <t>PRESSURE_TRANSMITTER[11].Value</t>
  </si>
  <si>
    <t>P-210A ISF Transfer Pump Discharge Pressure - Process Value</t>
  </si>
  <si>
    <t>pit_p210b_1</t>
  </si>
  <si>
    <t>PIT-P210B-1</t>
  </si>
  <si>
    <t>P-210B ISF Transfer Pump Suction Pressure</t>
  </si>
  <si>
    <t>PRESSURE_TRANSMITTER[12].Alarm_Low_BIT</t>
  </si>
  <si>
    <t>P-210B ISF Transfer Pump Suction Pressure - Low Alarm</t>
  </si>
  <si>
    <t>PRESSURE_TRANSMITTER[12].Alarm_Low_Low_BIT</t>
  </si>
  <si>
    <t>PALL-P210B-1</t>
  </si>
  <si>
    <t>P-210B ISF Transfer Pump Suction Pressure - Low Low Alarm</t>
  </si>
  <si>
    <t>SD (P-210B)</t>
  </si>
  <si>
    <t>PRESSURE_TRANSMITTER[12].Alarm_Low_Low_TMR</t>
  </si>
  <si>
    <t>P-210B ISF Transfer Pump Suction Pressure - Low Low Alarm Delay</t>
  </si>
  <si>
    <t>PRESSURE_TRANSMITTER[12].Alarm_Low_TMR</t>
  </si>
  <si>
    <t>P-210B ISF Transfer Pump Suction Pressure - Low Alarm Delay</t>
  </si>
  <si>
    <t>PRESSURE_TRANSMITTER[12].Value</t>
  </si>
  <si>
    <t>P-210B ISF Transfer Pump Suction Pressure - Process Value</t>
  </si>
  <si>
    <t>pit_p210b_2</t>
  </si>
  <si>
    <t>PIT-P210B-2</t>
  </si>
  <si>
    <t>P-210B ISF Transfer Pump Discharge Pressure</t>
  </si>
  <si>
    <t>PRESSURE_TRANSMITTER[13].Alarm_High_BIT</t>
  </si>
  <si>
    <t>P-210B ISF Transfer Pump Discharge Pressure - High Alarm</t>
  </si>
  <si>
    <t>PRESSURE_TRANSMITTER[13].Alarm_High_High_BIT</t>
  </si>
  <si>
    <t>PAHH-P210B-2</t>
  </si>
  <si>
    <t>P-210B ISF Transfer Pump Discharge Pressure - High High Alarm</t>
  </si>
  <si>
    <t>PRESSURE_TRANSMITTER[13].Alarm_High_High_TMR</t>
  </si>
  <si>
    <t>P-210B ISF Transfer Pump Discharge Pressure - High High Alarm Delay</t>
  </si>
  <si>
    <t>PRESSURE_TRANSMITTER[13].Alarm_High_TMR</t>
  </si>
  <si>
    <t>P-210B ISF Transfer Pump Discharge Pressure - High Alarm Delay</t>
  </si>
  <si>
    <t>PRESSURE_TRANSMITTER[13].Value</t>
  </si>
  <si>
    <t>P-210B ISF Transfer Pump Discharge Pressure - Process Value</t>
  </si>
  <si>
    <t>pit_p145a_1</t>
  </si>
  <si>
    <t>PIT-P145A-1</t>
  </si>
  <si>
    <t>P-145A Backwash Pump Suction Pressure</t>
  </si>
  <si>
    <t>PRESSURE_TRANSMITTER[14].Alarm_Low_BIT</t>
  </si>
  <si>
    <t>P-145A Backwash Pump Suction Pressure - Low Alarm</t>
  </si>
  <si>
    <t>PRESSURE_TRANSMITTER[14].Alarm_Low_Low_BIT</t>
  </si>
  <si>
    <t>P-145A Backwash Pump Suction Pressure - Low Low Alarm</t>
  </si>
  <si>
    <t>PRESSURE_TRANSMITTER[14].Alarm_Low_Low_TMR</t>
  </si>
  <si>
    <t>P-145A Backwash Pump Suction Pressure - Low Low Alarm Delay</t>
  </si>
  <si>
    <t>PRESSURE_TRANSMITTER[14].Alarm_Low_TMR</t>
  </si>
  <si>
    <t>P-145A Backwash Pump Suction Pressure - Low Alarm Delay</t>
  </si>
  <si>
    <t>PRESSURE_TRANSMITTER[14].Value</t>
  </si>
  <si>
    <t>P-145A Backwash Pump Suction Pressure - Process Value</t>
  </si>
  <si>
    <t>pit_p145a_2</t>
  </si>
  <si>
    <t>PIT-P145A-2</t>
  </si>
  <si>
    <t>P-145A Backwash Pump Discharge Pressure</t>
  </si>
  <si>
    <t>PRESSURE_TRANSMITTER[15].Alarm_High_BIT</t>
  </si>
  <si>
    <t>P-145A Backwash Pump Discharge Pressure - High Alarm</t>
  </si>
  <si>
    <t>PRESSURE_TRANSMITTER[15].Alarm_High_High_BIT</t>
  </si>
  <si>
    <t>P-145A Backwash Pump Discharge Pressure - High High Alarm</t>
  </si>
  <si>
    <t>PRESSURE_TRANSMITTER[15].Alarm_High_High_TMR</t>
  </si>
  <si>
    <t>P-145A Backwash Pump Discharge Pressure - High High Alarm Delay</t>
  </si>
  <si>
    <t>PRESSURE_TRANSMITTER[15].Alarm_High_TMR</t>
  </si>
  <si>
    <t>P-145A Backwash Pump Discharge Pressure - High Alarm Delay</t>
  </si>
  <si>
    <t>PRESSURE_TRANSMITTER[15].Value</t>
  </si>
  <si>
    <t>P-145A Backwash Pump Discharge Pressure - Process Value</t>
  </si>
  <si>
    <t>pit_p145b_1</t>
  </si>
  <si>
    <t>PIT-P145B-1</t>
  </si>
  <si>
    <t>P-145B Backwash Pump Suction Pressure</t>
  </si>
  <si>
    <t>PRESSURE_TRANSMITTER[16].Alarm_Low_BIT</t>
  </si>
  <si>
    <t>P-145B Backwash Pump Suction Pressure - Low Alarm</t>
  </si>
  <si>
    <t>PRESSURE_TRANSMITTER[16].Alarm_Low_Low_BIT</t>
  </si>
  <si>
    <t>P-145B Backwash Pump Suction Pressure - Low Low Alarm</t>
  </si>
  <si>
    <t>PRESSURE_TRANSMITTER[16].Alarm_Low_Low_Set_Point</t>
  </si>
  <si>
    <t>P-145B Backwash Pump Suction Pressure - Low Low Alarm Setpoint</t>
  </si>
  <si>
    <t>PRESSURE_TRANSMITTER[16].Alarm_Low_Low_TMR</t>
  </si>
  <si>
    <t>P-145B Backwash Pump Suction Pressure - Low Low Alarm Delay</t>
  </si>
  <si>
    <t>PRESSURE_TRANSMITTER[16].Alarm_Low_Set_Point</t>
  </si>
  <si>
    <t>P-145B Backwash Pump Suction Pressure - Low Alarm Setpoint</t>
  </si>
  <si>
    <t>PRESSURE_TRANSMITTER[16].Alarm_Low_TMR</t>
  </si>
  <si>
    <t>P-145B Backwash Pump Suction Pressure - Low Alarm Delay</t>
  </si>
  <si>
    <t>PRESSURE_TRANSMITTER[16].Value</t>
  </si>
  <si>
    <t>P-145B Backwash Pump Suction Pressure - Process Value</t>
  </si>
  <si>
    <t>pit_p145b_2</t>
  </si>
  <si>
    <t>PIT-P145B-2</t>
  </si>
  <si>
    <t>P-145B Backwash Pump Discharge Pressure</t>
  </si>
  <si>
    <t>PRESSURE_TRANSMITTER[17].Alarm_High_BIT</t>
  </si>
  <si>
    <t>P-145B Backwash Pump Discharge Pressure - High Alarm</t>
  </si>
  <si>
    <t>PRESSURE_TRANSMITTER[17].Alarm_High_High_BIT</t>
  </si>
  <si>
    <t>P-145B Backwash Pump Discharge Pressure - High High Alarm</t>
  </si>
  <si>
    <t>PRESSURE_TRANSMITTER[17].Alarm_High_High_TMR</t>
  </si>
  <si>
    <t>P-145B Backwash Pump Discharge Pressure - High High Alarm Delay</t>
  </si>
  <si>
    <t>PRESSURE_TRANSMITTER[17].Alarm_High_TMR</t>
  </si>
  <si>
    <t>P-145B Backwash Pump Discharge Pressure - High Alarm Delay</t>
  </si>
  <si>
    <t>PRESSURE_TRANSMITTER[17].Value</t>
  </si>
  <si>
    <t>P-145B Backwash Pump Discharge Pressure - Process Value</t>
  </si>
  <si>
    <t>pit_p125a_1</t>
  </si>
  <si>
    <t>PIT-P125A-1</t>
  </si>
  <si>
    <t>P-125A Injection Booster Pump Suction Pressure</t>
  </si>
  <si>
    <t>PRESSURE_TRANSMITTER[19].Alarm_Low_BIT</t>
  </si>
  <si>
    <t>P-125A Injection Booster Pump Suction Pressure - Low Alarm</t>
  </si>
  <si>
    <t>PRESSURE_TRANSMITTER[19].Alarm_Low_Low_BIT</t>
  </si>
  <si>
    <t>PALL-P125A-1</t>
  </si>
  <si>
    <t>P-125A Injection Booster Pump Suction Pressure - Low Low Alarm</t>
  </si>
  <si>
    <t>PRESSURE_TRANSMITTER[19].Alarm_Low_Low_TMR</t>
  </si>
  <si>
    <t>P-125A Injection Booster Pump Suction Pressure - Low Low Alarm Delay</t>
  </si>
  <si>
    <t>PRESSURE_TRANSMITTER[19].Alarm_Low_TMR</t>
  </si>
  <si>
    <t>P-125A Injection Booster Pump Suction Pressure - Low Alarm Delay</t>
  </si>
  <si>
    <t>PRESSURE_TRANSMITTER[19].Value</t>
  </si>
  <si>
    <t>P-125A Injection Booster Pump Suction Pressure - Process Value</t>
  </si>
  <si>
    <t>PRESSURE_TRANSMITTER[2].Alarm_High_BIT</t>
  </si>
  <si>
    <t>K-101B Compressor Discharge Pressure - High Alarm</t>
  </si>
  <si>
    <t>Instrument Air Pressure - High Alarm</t>
  </si>
  <si>
    <t>PRESSURE_TRANSMITTER[2].Alarm_High_High_BIT</t>
  </si>
  <si>
    <t>K-101B Compressor Discharge Pressure - High High Alarm</t>
  </si>
  <si>
    <t>PRESSURE_TRANSMITTER[2].Alarm_High_High_Set_Point</t>
  </si>
  <si>
    <t>K-101B Compressor Discharge Pressure - High High Alarm Setpoint</t>
  </si>
  <si>
    <t>PRESSURE_TRANSMITTER[2].Alarm_High_High_TMR</t>
  </si>
  <si>
    <t>K-101B Compressor Discharge Pressure - High High Alarm Delay</t>
  </si>
  <si>
    <t>PRESSURE_TRANSMITTER[2].Alarm_High_Set_Point</t>
  </si>
  <si>
    <t>K-101B Compressor Discharge Pressure - High Alarm Setpoint</t>
  </si>
  <si>
    <t>Instrument Air Pressure - High Alarm Setpoint</t>
  </si>
  <si>
    <t>PRESSURE_TRANSMITTER[2].Alarm_High_TMR</t>
  </si>
  <si>
    <t>K-101B Compressor Discharge Pressure - High Alarm Delay</t>
  </si>
  <si>
    <t>Instrument Air Pressure - High Alarm Delay</t>
  </si>
  <si>
    <t>PRESSURE_TRANSMITTER[2].Alarm_Low_BIT</t>
  </si>
  <si>
    <t>K-101B Compressor Discharge Pressure - Low Alarm</t>
  </si>
  <si>
    <t>Instrument Air Pressure - Low Alarm</t>
  </si>
  <si>
    <t>PRESSURE_TRANSMITTER[2].Alarm_Low_Low_BIT</t>
  </si>
  <si>
    <t>K-101B Compressor Discharge Pressure - Low Low Alarm</t>
  </si>
  <si>
    <t>PRESSURE_TRANSMITTER[2].Alarm_Low_Low_Set_Point</t>
  </si>
  <si>
    <t>K-101B Compressor Discharge Pressure - Low Low Alarm Setpoint</t>
  </si>
  <si>
    <t>PRESSURE_TRANSMITTER[2].Alarm_Low_Low_TMR</t>
  </si>
  <si>
    <t>K-101B Compressor Discharge Pressure - Low Low Alarm Delay</t>
  </si>
  <si>
    <t>PRESSURE_TRANSMITTER[2].Alarm_Low_Set_Point</t>
  </si>
  <si>
    <t>Instrument Air Pressure - Low Alarm Setpoint</t>
  </si>
  <si>
    <t>PRESSURE_TRANSMITTER[2].Alarm_Low_TMR</t>
  </si>
  <si>
    <t>K-101B Compressor Discharge Pressure - Low Alarm Delay</t>
  </si>
  <si>
    <t>Instrument Air Pressure - Low Alarm Delay</t>
  </si>
  <si>
    <t>PRESSURE_TRANSMITTER[2].Value</t>
  </si>
  <si>
    <t>K-101B Compressor Discharge Pressure - Process Value</t>
  </si>
  <si>
    <t>Instrument Air Pressure - Process Value</t>
  </si>
  <si>
    <t>pit_p125a_2</t>
  </si>
  <si>
    <t>PIT-P125A-2</t>
  </si>
  <si>
    <t>P-125A Injection Booster Pump Discharge Pressure</t>
  </si>
  <si>
    <t>PRESSURE_TRANSMITTER[20].Alarm_High_BIT</t>
  </si>
  <si>
    <t>P-125A Injection Booster Pump Discharge Pressure - High Alarm</t>
  </si>
  <si>
    <t>PRESSURE_TRANSMITTER[20].Alarm_High_High_BIT</t>
  </si>
  <si>
    <t>PAHH-P125A-2</t>
  </si>
  <si>
    <t>P-125A Injection Booster Pump Discharge Pressure - High High Alarm</t>
  </si>
  <si>
    <t>PRESSURE_TRANSMITTER[20].Alarm_High_High_TMR</t>
  </si>
  <si>
    <t>P-125A Injection Booster Pump Discharge Pressure - High High Alarm Delay</t>
  </si>
  <si>
    <t>PRESSURE_TRANSMITTER[20].Alarm_High_TMR</t>
  </si>
  <si>
    <t>P-125A Injection Booster Pump Discharge Pressure - High Alarm Delay</t>
  </si>
  <si>
    <t>PRESSURE_TRANSMITTER[20].Value</t>
  </si>
  <si>
    <t>P-125A Injection Booster Pump Discharge Pressure - Process Value</t>
  </si>
  <si>
    <t>pit_p125b_1</t>
  </si>
  <si>
    <t>PIT-P125B-1</t>
  </si>
  <si>
    <t>P-125B Injection Booster Pump Suction Pressure</t>
  </si>
  <si>
    <t>PRESSURE_TRANSMITTER[21].Alarm_Low_BIT</t>
  </si>
  <si>
    <t>P-125B Injection Booster Pump Suction Pressure - Low Alarm</t>
  </si>
  <si>
    <t>PRESSURE_TRANSMITTER[21].Alarm_Low_Low_BIT</t>
  </si>
  <si>
    <t>PALL-P125B-1</t>
  </si>
  <si>
    <t>P-125B Injection Booster Pump Suction Pressure - Low Low Alarm</t>
  </si>
  <si>
    <t>SD (P-125B)</t>
  </si>
  <si>
    <t>PRESSURE_TRANSMITTER[21].Alarm_Low_Low_TMR</t>
  </si>
  <si>
    <t>P-125B Injection Booster Pump Suction Pressure - Low Low Alarm Delay</t>
  </si>
  <si>
    <t>PRESSURE_TRANSMITTER[21].Alarm_Low_TMR</t>
  </si>
  <si>
    <t>P-125B Injection Booster Pump Suction Pressure - Low Alarm Delay</t>
  </si>
  <si>
    <t>PRESSURE_TRANSMITTER[21].Value</t>
  </si>
  <si>
    <t>P-125B Injection Booster Pump Suction Pressure - Process Value</t>
  </si>
  <si>
    <t>pit_p125b_2</t>
  </si>
  <si>
    <t>PIT-P125B-2</t>
  </si>
  <si>
    <t>P-125B Injection Booster Pump Discharge Pressure</t>
  </si>
  <si>
    <t>PRESSURE_TRANSMITTER[22].Alarm_High_BIT</t>
  </si>
  <si>
    <t>P-125B Injection Booster Pump Discharge Pressure - High Alarm</t>
  </si>
  <si>
    <t>PRESSURE_TRANSMITTER[22].Alarm_High_High_BIT</t>
  </si>
  <si>
    <t>PAHH-P125B-2</t>
  </si>
  <si>
    <t>P-125B Injection Booster Pump Discharge Pressure - High High Alarm</t>
  </si>
  <si>
    <t>PRESSURE_TRANSMITTER[22].Alarm_High_High_TMR</t>
  </si>
  <si>
    <t>P-125B Injection Booster Pump Discharge Pressure - High High Alarm Delay</t>
  </si>
  <si>
    <t>PRESSURE_TRANSMITTER[22].Alarm_High_TMR</t>
  </si>
  <si>
    <t>P-125B Injection Booster Pump Discharge Pressure - High Alarm Delay</t>
  </si>
  <si>
    <t>PRESSURE_TRANSMITTER[22].Value</t>
  </si>
  <si>
    <t>P-125B Injection Booster Pump Discharge Pressure - Process Value</t>
  </si>
  <si>
    <t>pit_p135_1</t>
  </si>
  <si>
    <t>PIT-P135-1</t>
  </si>
  <si>
    <t>Disposal Pump Suction Pressure</t>
  </si>
  <si>
    <t>PRESSURE_TRANSMITTER[23].Alarm_Low_BIT</t>
  </si>
  <si>
    <t>Disposal Pump Suction Pressure - Low Alarm</t>
  </si>
  <si>
    <t>PRESSURE_TRANSMITTER[23].Alarm_Low_Low_BIT</t>
  </si>
  <si>
    <t>PALL-P135-1</t>
  </si>
  <si>
    <t>Disposal Pump Suction Pressure - Low Low Alarm</t>
  </si>
  <si>
    <t>PRESSURE_TRANSMITTER[23].Alarm_Low_Low_TMR</t>
  </si>
  <si>
    <t>Disposal Pump Suction Pressure - Low Low Alarm Delay</t>
  </si>
  <si>
    <t>PRESSURE_TRANSMITTER[23].Alarm_Low_TMR</t>
  </si>
  <si>
    <t>Disposal Pump Suction Pressure - Low Alarm Delay</t>
  </si>
  <si>
    <t>PRESSURE_TRANSMITTER[23].Value</t>
  </si>
  <si>
    <t>Disposal Pump Suction Pressure - Process Value</t>
  </si>
  <si>
    <t>pit_p135_2</t>
  </si>
  <si>
    <t>PIT-P135-2</t>
  </si>
  <si>
    <t>Disposal Pump Discharge Pressure</t>
  </si>
  <si>
    <t>PRESSURE_TRANSMITTER[25].Alarm_High_BIT</t>
  </si>
  <si>
    <t>Disposal Pump Discharge Pressure - High Alarm</t>
  </si>
  <si>
    <t>PRESSURE_TRANSMITTER[25].Alarm_High_High_BIT</t>
  </si>
  <si>
    <t>PAHH-P135-2</t>
  </si>
  <si>
    <t>Disposal Pump Discharge Pressure - High High Alarm</t>
  </si>
  <si>
    <t>PRESSURE_TRANSMITTER[25].Alarm_High_High_TMR</t>
  </si>
  <si>
    <t>Disposal Pump Discharge Pressure - High High Alarm Delay</t>
  </si>
  <si>
    <t>PRESSURE_TRANSMITTER[25].Alarm_High_TMR</t>
  </si>
  <si>
    <t>Disposal Pump Discharge Pressure - High Alarm Delay</t>
  </si>
  <si>
    <t>PRESSURE_TRANSMITTER[25].Alarm_Low_BIT</t>
  </si>
  <si>
    <t>Disposal Pump Discharge Pressure - Low Alarm</t>
  </si>
  <si>
    <t>PRESSURE_TRANSMITTER[25].Alarm_Low_TMR</t>
  </si>
  <si>
    <t>Disposal Pump Discharge Pressure - Low Alarm Delay</t>
  </si>
  <si>
    <t>PRESSURE_TRANSMITTER[25].Value</t>
  </si>
  <si>
    <t>Disposal Pump Discharge Pressure - Process Value</t>
  </si>
  <si>
    <t>pit_p135_3</t>
  </si>
  <si>
    <t>PIT-P135-3</t>
  </si>
  <si>
    <t>PRESSURE_TRANSMITTER[26].Alarm_High_BIT</t>
  </si>
  <si>
    <t>PRESSURE_TRANSMITTER[26].Alarm_High_TMR</t>
  </si>
  <si>
    <t>PRESSURE_TRANSMITTER[26].Alarm_Low_BIT</t>
  </si>
  <si>
    <t>PRESSURE_TRANSMITTER[26].Alarm_Low_TMR</t>
  </si>
  <si>
    <t>PRESSURE_TRANSMITTER[26].Value</t>
  </si>
  <si>
    <t>pit_p135_4</t>
  </si>
  <si>
    <t>PIT-P135-4</t>
  </si>
  <si>
    <t>P-135 Discharge Disposal Well Supply Pressure</t>
  </si>
  <si>
    <t>PRESSURE_TRANSMITTER[27].Alarm_High_BIT</t>
  </si>
  <si>
    <t>P-135 Discharge Disposal Well Supply Pressure - High Alarm</t>
  </si>
  <si>
    <t>PRESSURE_TRANSMITTER[27].Alarm_High_TMR</t>
  </si>
  <si>
    <t>P-135 Discharge Disposal Well Supply Pressure - High Alarm Delay</t>
  </si>
  <si>
    <t>PRESSURE_TRANSMITTER[27].Alarm_Low_BIT</t>
  </si>
  <si>
    <t>P-135 Discharge Disposal Well Supply Pressure - Low Alarm</t>
  </si>
  <si>
    <t>PRESSURE_TRANSMITTER[27].Alarm_Low_TMR</t>
  </si>
  <si>
    <t>P-135 Discharge Disposal Well Supply Pressure - Low Alarm Delay</t>
  </si>
  <si>
    <t>PRESSURE_TRANSMITTER[27].Value</t>
  </si>
  <si>
    <t>P-135 Discharge Disposal Well Supply Pressure - Process Value</t>
  </si>
  <si>
    <t>pit_p135_5</t>
  </si>
  <si>
    <t>PIT-P135-5</t>
  </si>
  <si>
    <t>Jet Wash Supply Pressure</t>
  </si>
  <si>
    <t>PRESSURE_TRANSMITTER[28].Alarm_High_BIT</t>
  </si>
  <si>
    <t>Jet Wash Supply Pressure - High Alarm</t>
  </si>
  <si>
    <t>PRESSURE_TRANSMITTER[28].Alarm_High_TMR</t>
  </si>
  <si>
    <t>Jet Wash Supply Pressure - High Alarm Delay</t>
  </si>
  <si>
    <t>PRESSURE_TRANSMITTER[28].Value</t>
  </si>
  <si>
    <t>Jet Wash Supply Pressure - Process Value</t>
  </si>
  <si>
    <t>pit_v562a</t>
  </si>
  <si>
    <t>PIT-V562A</t>
  </si>
  <si>
    <t>ISF Vessel Pressure</t>
  </si>
  <si>
    <t>PRESSURE_TRANSMITTER[29].Alarm_High_BIT</t>
  </si>
  <si>
    <t>ISF Vessel Pressure - High Alarm</t>
  </si>
  <si>
    <t>PRESSURE_TRANSMITTER[29].Alarm_High_Set_Point</t>
  </si>
  <si>
    <t>ISF Vessel Pressure - High Alarm Setpoint</t>
  </si>
  <si>
    <t>PRESSURE_TRANSMITTER[29].Alarm_High_TMR</t>
  </si>
  <si>
    <t>ISF Vessel Pressure - High Alarm Delay</t>
  </si>
  <si>
    <t>PRESSURE_TRANSMITTER[29].Alarm_Low_BIT</t>
  </si>
  <si>
    <t>ISF Vessel Pressure - Low Alarm</t>
  </si>
  <si>
    <t>PRESSURE_TRANSMITTER[29].Alarm_Low_Set_Point</t>
  </si>
  <si>
    <t>ISF Vessel Pressure - Low Alarm Setpoint</t>
  </si>
  <si>
    <t>PRESSURE_TRANSMITTER[29].Alarm_Low_TMR</t>
  </si>
  <si>
    <t>ISF Vessel Pressure - Low Alarm Delay</t>
  </si>
  <si>
    <t>PRESSURE_TRANSMITTER[29].Value</t>
  </si>
  <si>
    <t>ISF Vessel Pressure - Process Value</t>
  </si>
  <si>
    <t>PRESSURE_TRANSMITTER[3].Alarm_High_BIT</t>
  </si>
  <si>
    <t>Tank Vapor Header Pressure Near T-11 - High Alarm</t>
  </si>
  <si>
    <t>Production Inlet Separator Gas Out Pressure - High Alarm</t>
  </si>
  <si>
    <t>PRESSURE_TRANSMITTER[3].Alarm_High_High_BIT</t>
  </si>
  <si>
    <t>Production Inlet Separator Gas Out Pressure - High High Alarm</t>
  </si>
  <si>
    <t>PRESSURE_TRANSMITTER[3].Alarm_High_High_TMR</t>
  </si>
  <si>
    <t>Production Inlet Separator Gas Out Pressure - High High Alarm Delay</t>
  </si>
  <si>
    <t>PRESSURE_TRANSMITTER[3].Alarm_High_Set_Point</t>
  </si>
  <si>
    <t>Tank Vapor Header Pressure Near T-11 - High Alarm Setpoint</t>
  </si>
  <si>
    <t>PRESSURE_TRANSMITTER[3].Alarm_High_TMR</t>
  </si>
  <si>
    <t>Tank Vapor Header Pressure Near T-11 - High Alarm Delay</t>
  </si>
  <si>
    <t>Production Inlet Separator Gas Out Pressure - High Alarm Delay</t>
  </si>
  <si>
    <t>PRESSURE_TRANSMITTER[3].Alarm_Low_BIT</t>
  </si>
  <si>
    <t>Tank Vapor Header Pressure Near T-11 - Low Alarm</t>
  </si>
  <si>
    <t>Production Inlet Separator Gas Out Pressure - Low Alarm</t>
  </si>
  <si>
    <t>PRESSURE_TRANSMITTER[3].Alarm_Low_Low_BIT</t>
  </si>
  <si>
    <t>Tank Vapor Header Pressure Near T-11 - Low Low Alarm</t>
  </si>
  <si>
    <t>PRESSURE_TRANSMITTER[3].Alarm_Low_Low_Set_Point</t>
  </si>
  <si>
    <t>Tank Vapor Header Pressure Near T-11 - Low Low Alarm Setpoint</t>
  </si>
  <si>
    <t>PRESSURE_TRANSMITTER[3].Alarm_Low_Low_TMR</t>
  </si>
  <si>
    <t>Tank Vapor Header Pressure Near T-11 - Low Low Alarm Delay</t>
  </si>
  <si>
    <t>PRESSURE_TRANSMITTER[3].Alarm_Low_Set_Point</t>
  </si>
  <si>
    <t>Tank Vapor Header Pressure Near T-11 - Low Alarm Setpoint</t>
  </si>
  <si>
    <t>PRESSURE_TRANSMITTER[3].Alarm_Low_TMR</t>
  </si>
  <si>
    <t>Tank Vapor Header Pressure Near T-11 - Low Alarm Delay</t>
  </si>
  <si>
    <t>Production Inlet Separator Gas Out Pressure - Low Alarm Delay</t>
  </si>
  <si>
    <t>PRESSURE_TRANSMITTER[3].Value</t>
  </si>
  <si>
    <t>Production Inlet Separator Gas Out Pressure - Process Value</t>
  </si>
  <si>
    <t>PRESSURE_TRANSMITTER[3].Value_in_Inches</t>
  </si>
  <si>
    <t>Tank Vapor Header Pressure Near T-11 - Process Value</t>
  </si>
  <si>
    <t>pit_t120_1</t>
  </si>
  <si>
    <t>PIT-T120-1</t>
  </si>
  <si>
    <t>Injection Tank Pressure</t>
  </si>
  <si>
    <t>PRESSURE_TRANSMITTER[30].Alarm_High_BIT</t>
  </si>
  <si>
    <t>Injection Tank Pressure - High Alarm</t>
  </si>
  <si>
    <t>PRESSURE_TRANSMITTER[30].Alarm_High_TMR</t>
  </si>
  <si>
    <t>Injection Tank Pressure - High Alarm Delay</t>
  </si>
  <si>
    <t>PRESSURE_TRANSMITTER[30].Alarm_Low_BIT</t>
  </si>
  <si>
    <t>Injection Tank Pressure - Low Alarm</t>
  </si>
  <si>
    <t>PRESSURE_TRANSMITTER[30].Alarm_Low_TMR</t>
  </si>
  <si>
    <t>Injection Tank Pressure - Low Alarm Delay</t>
  </si>
  <si>
    <t>PRESSURE_TRANSMITTER[30].Value</t>
  </si>
  <si>
    <t>Injection Tank Pressure - Process Value</t>
  </si>
  <si>
    <t>pit_t130_1</t>
  </si>
  <si>
    <t>PIT-T130-1</t>
  </si>
  <si>
    <t>PRESSURE_TRANSMITTER[31].Alarm_High_BIT</t>
  </si>
  <si>
    <t>PRESSURE_TRANSMITTER[31].Alarm_High_TMR</t>
  </si>
  <si>
    <t>PRESSURE_TRANSMITTER[31].Alarm_Low_BIT</t>
  </si>
  <si>
    <t>PRESSURE_TRANSMITTER[31].Alarm_Low_TMR</t>
  </si>
  <si>
    <t>PRESSURE_TRANSMITTER[31].Value</t>
  </si>
  <si>
    <t>pit_t140_1</t>
  </si>
  <si>
    <t>PIT-T140-1</t>
  </si>
  <si>
    <t>Dirty Backwash Tank Pressure</t>
  </si>
  <si>
    <t>PRESSURE_TRANSMITTER[32].Alarm_High_BIT</t>
  </si>
  <si>
    <t>Dirty Backwash Tank Pressure - High Alarm</t>
  </si>
  <si>
    <t>PRESSURE_TRANSMITTER[32].Alarm_High_TMR</t>
  </si>
  <si>
    <t>Dirty Backwash Tank Pressure - High Alarm Delay</t>
  </si>
  <si>
    <t>PRESSURE_TRANSMITTER[32].Alarm_Low_BIT</t>
  </si>
  <si>
    <t>Dirty Backwash Tank Pressure - Low Alarm</t>
  </si>
  <si>
    <t>PRESSURE_TRANSMITTER[32].Alarm_Low_TMR</t>
  </si>
  <si>
    <t>Dirty Backwash Tank Pressure - Low Alarm Delay</t>
  </si>
  <si>
    <t>PRESSURE_TRANSMITTER[32].Value</t>
  </si>
  <si>
    <t>Dirty Backwash Tank Pressure - Process Value</t>
  </si>
  <si>
    <t>pit_t150_1</t>
  </si>
  <si>
    <t>PIT-T150-1</t>
  </si>
  <si>
    <t>PRESSURE_TRANSMITTER[33].Alarm_High_BIT</t>
  </si>
  <si>
    <t>PRESSURE_TRANSMITTER[33].Alarm_High_TMR</t>
  </si>
  <si>
    <t>PRESSURE_TRANSMITTER[33].Alarm_Low_BIT</t>
  </si>
  <si>
    <t>PRESSURE_TRANSMITTER[33].Alarm_Low_TMR</t>
  </si>
  <si>
    <t>PRESSURE_TRANSMITTER[33].Value</t>
  </si>
  <si>
    <t>pit_t150_2</t>
  </si>
  <si>
    <t>PIT-T150-2</t>
  </si>
  <si>
    <t>Tank Vapor Header Pressure Near T-150</t>
  </si>
  <si>
    <t>PRESSURE_TRANSMITTER[34].Alarm_High_BIT</t>
  </si>
  <si>
    <t>Tank Vapor Header Pressure Near T-150 - High Alarm</t>
  </si>
  <si>
    <t>PRESSURE_TRANSMITTER[34].Alarm_High_TMR</t>
  </si>
  <si>
    <t>Tank Vapor Header Pressure Near T-150 - High Alarm Delay</t>
  </si>
  <si>
    <t>PRESSURE_TRANSMITTER[34].Alarm_Low_BIT</t>
  </si>
  <si>
    <t>Tank Vapor Header Pressure Near T-150 - Low Alarm</t>
  </si>
  <si>
    <t>PRESSURE_TRANSMITTER[34].Alarm_Low_TMR</t>
  </si>
  <si>
    <t>Tank Vapor Header Pressure Near T-150 - Low Alarm Delay</t>
  </si>
  <si>
    <t>PRESSURE_TRANSMITTER[34].Value</t>
  </si>
  <si>
    <t>Tank Vapor Header Pressure Near T-150 - Process Value</t>
  </si>
  <si>
    <t>pit_p205a_1</t>
  </si>
  <si>
    <t>PIT-P205A-1</t>
  </si>
  <si>
    <t>P-205A ISF Feed Pump Suction Pressure</t>
  </si>
  <si>
    <t>PRESSURE_TRANSMITTER[4].Alarm_Low_BIT</t>
  </si>
  <si>
    <t>P-205A ISF Feed Pump Suction Pressure - Low Alarm</t>
  </si>
  <si>
    <t>PRESSURE_TRANSMITTER[4].Alarm_Low_Low_BIT</t>
  </si>
  <si>
    <t>PALL-P205A-1</t>
  </si>
  <si>
    <t>P-205A ISF Feed Pump Suction Pressure - Low Low Alarm</t>
  </si>
  <si>
    <t>SD (P-205A)</t>
  </si>
  <si>
    <t>PRESSURE_TRANSMITTER[4].Alarm_Low_Low_TMR</t>
  </si>
  <si>
    <t>P-205A ISF Feed Pump Suction Pressure - Low Low Alarm Delay</t>
  </si>
  <si>
    <t>PRESSURE_TRANSMITTER[4].Alarm_Low_TMR</t>
  </si>
  <si>
    <t>P-205A ISF Feed Pump Suction Pressure - Low Alarm Delay</t>
  </si>
  <si>
    <t>PRESSURE_TRANSMITTER[4].Value</t>
  </si>
  <si>
    <t>P-205A ISF Feed Pump Suction Pressure - Process Value</t>
  </si>
  <si>
    <t>pit_p205a_2</t>
  </si>
  <si>
    <t>PIT-P205A-2</t>
  </si>
  <si>
    <t>P-205A ISF Feed Pump Discharge Pressure</t>
  </si>
  <si>
    <t>PRESSURE_TRANSMITTER[5].Alarm_High_BIT</t>
  </si>
  <si>
    <t>P-205A ISF Feed Pump Discharge Pressure - High Alarm</t>
  </si>
  <si>
    <t>PRESSURE_TRANSMITTER[5].Alarm_High_High_BIT</t>
  </si>
  <si>
    <t>PAHH-P205A-2</t>
  </si>
  <si>
    <t>P-205A ISF Feed Pump Discharge Pressure - High High Alarm</t>
  </si>
  <si>
    <t>PRESSURE_TRANSMITTER[5].Alarm_High_High_TMR</t>
  </si>
  <si>
    <t>P-205A ISF Feed Pump Discharge Pressure - High High Alarm Delay</t>
  </si>
  <si>
    <t>PRESSURE_TRANSMITTER[5].Alarm_High_TMR</t>
  </si>
  <si>
    <t>P-205A ISF Feed Pump Discharge Pressure - High Alarm Delay</t>
  </si>
  <si>
    <t>PRESSURE_TRANSMITTER[5].Value</t>
  </si>
  <si>
    <t>P-205A ISF Feed Pump Discharge Pressure - Process Value</t>
  </si>
  <si>
    <t>pit_p205b_1</t>
  </si>
  <si>
    <t>PIT-P205B-1</t>
  </si>
  <si>
    <t>P-205B ISF Feed Pump Suction Pressure</t>
  </si>
  <si>
    <t>PRESSURE_TRANSMITTER[6].Alarm_Low_BIT</t>
  </si>
  <si>
    <t>P-205B ISF Feed Pump Suction Pressure - Low Alarm</t>
  </si>
  <si>
    <t>PRESSURE_TRANSMITTER[6].Alarm_Low_Low_BIT</t>
  </si>
  <si>
    <t>PALL-P205B-1</t>
  </si>
  <si>
    <t>P-205B ISF Feed Pump Suction Pressure - Low Low Alarm</t>
  </si>
  <si>
    <t>SD (P-205B)</t>
  </si>
  <si>
    <t>PRESSURE_TRANSMITTER[6].Alarm_Low_Low_TMR</t>
  </si>
  <si>
    <t>P-205B ISF Feed Pump Suction Pressure - Low Low Alarm Delay</t>
  </si>
  <si>
    <t>PRESSURE_TRANSMITTER[6].Alarm_Low_TMR</t>
  </si>
  <si>
    <t>P-205B ISF Feed Pump Suction Pressure - Low Alarm Delay</t>
  </si>
  <si>
    <t>PRESSURE_TRANSMITTER[6].Value</t>
  </si>
  <si>
    <t>P-205B ISF Feed Pump Suction Pressure - Process Value</t>
  </si>
  <si>
    <t>pit_p205b_2</t>
  </si>
  <si>
    <t>PIT-P205B-2</t>
  </si>
  <si>
    <t>P-205B ISF Feed Pump Discharge Pressure</t>
  </si>
  <si>
    <t>PRESSURE_TRANSMITTER[7].Alarm_High_BIT</t>
  </si>
  <si>
    <t>P-205B ISF Feed Pump Discharge Pressure - High Alarm</t>
  </si>
  <si>
    <t>PRESSURE_TRANSMITTER[7].Alarm_High_High_BIT</t>
  </si>
  <si>
    <t>PAHH-P205B-2</t>
  </si>
  <si>
    <t>P-205B ISF Feed Pump Discharge Pressure - High High Alarm</t>
  </si>
  <si>
    <t>PRESSURE_TRANSMITTER[7].Alarm_High_High_TMR</t>
  </si>
  <si>
    <t>P-205B ISF Feed Pump Discharge Pressure - High High Alarm Delay</t>
  </si>
  <si>
    <t>PRESSURE_TRANSMITTER[7].Alarm_High_TMR</t>
  </si>
  <si>
    <t>P-205B ISF Feed Pump Discharge Pressure - High Alarm Delay</t>
  </si>
  <si>
    <t>PRESSURE_TRANSMITTER[7].Alarm_Low_Low_BIT</t>
  </si>
  <si>
    <t>PALL-P205B-2</t>
  </si>
  <si>
    <t>P-205B ISF Feed Pump Discharge Pressure - Low Low Alarm</t>
  </si>
  <si>
    <t>PRESSURE_TRANSMITTER[7].Alarm_Low_Low_TMR</t>
  </si>
  <si>
    <t>P-205B ISF Feed Pump Discharge Pressure - Low Low Alarm Delay</t>
  </si>
  <si>
    <t>PRESSURE_TRANSMITTER[7].Value</t>
  </si>
  <si>
    <t>P-205B ISF Feed Pump Discharge Pressure - Process Value</t>
  </si>
  <si>
    <t>pit_p215_1</t>
  </si>
  <si>
    <t>PIT-P215-1</t>
  </si>
  <si>
    <t>ISF Skim Pump Suction Pressure</t>
  </si>
  <si>
    <t>PRESSURE_TRANSMITTER[8].Alarm_Low_BIT</t>
  </si>
  <si>
    <t>ISF Skim Pump Suction Pressure - Low Alarm</t>
  </si>
  <si>
    <t>PRESSURE_TRANSMITTER[8].Alarm_Low_Low_BIT</t>
  </si>
  <si>
    <t>PALL-P215-1</t>
  </si>
  <si>
    <t>ISF Skim Pump Suction Pressure - Low Low Alarm</t>
  </si>
  <si>
    <t>SD (P-215)</t>
  </si>
  <si>
    <t>PRESSURE_TRANSMITTER[8].Alarm_Low_Low_TMR</t>
  </si>
  <si>
    <t>ISF Skim Pump Suction Pressure - Low Low Alarm Delay</t>
  </si>
  <si>
    <t>PRESSURE_TRANSMITTER[8].Alarm_Low_TMR</t>
  </si>
  <si>
    <t>ISF Skim Pump Suction Pressure - Low Alarm Delay</t>
  </si>
  <si>
    <t>PRESSURE_TRANSMITTER[8].Value</t>
  </si>
  <si>
    <t>ISF Skim Pump Suction Pressure - Process Value</t>
  </si>
  <si>
    <t>pit_p215_2</t>
  </si>
  <si>
    <t>PIT-P215-2</t>
  </si>
  <si>
    <t>ISF Skim Pump Discharge Pressure</t>
  </si>
  <si>
    <t>PRESSURE_TRANSMITTER[9].Alarm_High_BIT</t>
  </si>
  <si>
    <t>ISF Skim Pump Discharge Pressure - High Alarm</t>
  </si>
  <si>
    <t>PRESSURE_TRANSMITTER[9].Alarm_High_High_BIT</t>
  </si>
  <si>
    <t>PAHH-P215-2</t>
  </si>
  <si>
    <t>ISF Skim Pump Discharge Pressure - High High Alarm</t>
  </si>
  <si>
    <t>PRESSURE_TRANSMITTER[9].Alarm_High_High_TMR</t>
  </si>
  <si>
    <t>ISF Skim Pump Discharge Pressure - High High Alarm Delay</t>
  </si>
  <si>
    <t>PRESSURE_TRANSMITTER[9].Alarm_High_TMR</t>
  </si>
  <si>
    <t>ISF Skim Pump Discharge Pressure - High Alarm Delay</t>
  </si>
  <si>
    <t>PRESSURE_TRANSMITTER[9].Value</t>
  </si>
  <si>
    <t>ISF Skim Pump Discharge Pressure - Process Value</t>
  </si>
  <si>
    <t>1=P-125A Lead;2=P-125B Lead</t>
  </si>
  <si>
    <t>WRITEFLOAT[506]</t>
  </si>
  <si>
    <t>Injection Water Booster Pumps - Lead/Lag Status</t>
  </si>
  <si>
    <t>p_145a</t>
  </si>
  <si>
    <t>P-145A</t>
  </si>
  <si>
    <t>Dirty Backwash Pump</t>
  </si>
  <si>
    <t>Dirty Backwash Pump - Lead/Lag Status</t>
  </si>
  <si>
    <t>PUMPS_INJ_BOOSTER[1].MOTOR_RUN_BIT</t>
  </si>
  <si>
    <t>RACK01_SLOT_11_TABLE[0].19</t>
  </si>
  <si>
    <t>REMOTE_IO:11:I.Data.18</t>
  </si>
  <si>
    <t>PUMPS_INJ_BOOSTER[1].Fail_to_Run_alarm</t>
  </si>
  <si>
    <t>WRITEFLOAT[640]</t>
  </si>
  <si>
    <t>p_135</t>
  </si>
  <si>
    <t>P-135</t>
  </si>
  <si>
    <t>Disposal Pump</t>
  </si>
  <si>
    <t>BIT[1].26</t>
  </si>
  <si>
    <t>Disposal Pump - Permissive Status</t>
  </si>
  <si>
    <t>PUMPS_INJ_BOOSTER[2].MOTOR_RUN_BIT</t>
  </si>
  <si>
    <t>Disposal Pump - Run Command</t>
  </si>
  <si>
    <t>RACK01_SLOT_11_TABLE[0].21</t>
  </si>
  <si>
    <t>Disposal Pump - Run Status</t>
  </si>
  <si>
    <t>REMOTE_IO:11:I.Data.20</t>
  </si>
  <si>
    <t>Disposal Pump - Auto Status</t>
  </si>
  <si>
    <t>PUMPS_INJ_BOOSTER[2].Fail_to_Run_alarm</t>
  </si>
  <si>
    <t>Disposal Pump - Run Fail</t>
  </si>
  <si>
    <t>speed</t>
  </si>
  <si>
    <t>Speed Feedback</t>
  </si>
  <si>
    <t>REMOTE_IO:6:I.Ch4Data</t>
  </si>
  <si>
    <t>Disposal Pump - Speed Feedback</t>
  </si>
  <si>
    <t>Motor Current</t>
  </si>
  <si>
    <t>REMOTE_IO:6:I.Ch5Data</t>
  </si>
  <si>
    <t>Disposal Pump - Motor Current</t>
  </si>
  <si>
    <t>WRITEFLOAT[650]</t>
  </si>
  <si>
    <t>Disposal Pump - Enable</t>
  </si>
  <si>
    <t>BIT[1].27</t>
  </si>
  <si>
    <t>Dirty Backwash Pump - Permissive Status</t>
  </si>
  <si>
    <t>p_145b</t>
  </si>
  <si>
    <t>P-145B</t>
  </si>
  <si>
    <t>PUMPS_BACKWASH[1].MOTOR_RUN_BIT</t>
  </si>
  <si>
    <t>Dirty Backwash Pump - Run Command</t>
  </si>
  <si>
    <t>RACK01_SLOT_11_TABLE[0].26</t>
  </si>
  <si>
    <t>Dirty Backwash Pump - Run Status</t>
  </si>
  <si>
    <t>REMOTE_IO:11:I.Data.25</t>
  </si>
  <si>
    <t>Dirty Backwash Pump - Auto Status</t>
  </si>
  <si>
    <t>PUMPS_BACKWASH[1].Fail_to_Run_alarm</t>
  </si>
  <si>
    <t>Dirty Backwash Pump - Run Fail</t>
  </si>
  <si>
    <t>PY_P135_3_PID.MAXO</t>
  </si>
  <si>
    <t>Disposal Pump Discharge Pressure Control Valve - Maximum CV</t>
  </si>
  <si>
    <t>PY_P135_3_PID.MINO</t>
  </si>
  <si>
    <t>Disposal Pump Discharge Pressure Control Valve - Minimum CV</t>
  </si>
  <si>
    <t>PY_P135_3_PID.OUT</t>
  </si>
  <si>
    <t>Disposal Pump Discharge Pressure Control Valve - Control Variable</t>
  </si>
  <si>
    <t>PY_P135_3_PID.PV</t>
  </si>
  <si>
    <t>Disposal Pump Discharge Pressure Control Valve - Process Variable</t>
  </si>
  <si>
    <t>PY_P135_3_PID.SO</t>
  </si>
  <si>
    <t>Disposal Pump Discharge Pressure Control Valve - Manual Output</t>
  </si>
  <si>
    <t>PY_P135_3_PID.SP</t>
  </si>
  <si>
    <t>Disposal Pump Discharge Pressure Control Valve - Setpoint</t>
  </si>
  <si>
    <t>PY_P135_3_PID.SWM</t>
  </si>
  <si>
    <t>Disposal Pump Discharge Pressure Control Valve - Auto/Manual Mode</t>
  </si>
  <si>
    <t>WRITEFLOAT[799]</t>
  </si>
  <si>
    <t>pv_k101</t>
  </si>
  <si>
    <t>PV-K101</t>
  </si>
  <si>
    <t>Recycle Control Valve - Output Command</t>
  </si>
  <si>
    <t>WRITEFLOAT[222]</t>
  </si>
  <si>
    <t>Recycle Control Valve - Open Setpoint</t>
  </si>
  <si>
    <t>WRITEFLOAT[232]</t>
  </si>
  <si>
    <t>Recycle Control Valve - Close Setpoint</t>
  </si>
  <si>
    <t>lxv_v562a</t>
  </si>
  <si>
    <t>LXV-V562A</t>
  </si>
  <si>
    <t>ISF Transfer Pumps Discharge Control Valve</t>
  </si>
  <si>
    <t>LXV_P210_PID.MO</t>
  </si>
  <si>
    <t>ISF Transfer Pumps Discharge Control Valve - Manual Mode</t>
  </si>
  <si>
    <t>LXV_P210_PID.KD</t>
  </si>
  <si>
    <t>ISF Transfer Pumps Discharge Control Valve - Derivative</t>
  </si>
  <si>
    <t>LXV_P210_PID.KI</t>
  </si>
  <si>
    <t>ISF Transfer Pumps Discharge Control Valve - Integral</t>
  </si>
  <si>
    <t>LXV_P210_PID.KP</t>
  </si>
  <si>
    <t>ISF Transfer Pumps Discharge Control Valve - Proportional</t>
  </si>
  <si>
    <t>LXV_P210_PID.MAXO</t>
  </si>
  <si>
    <t>ISF Transfer Pumps Discharge Control Valve - Maximum CV</t>
  </si>
  <si>
    <t>LXV_P210_PID.MINO</t>
  </si>
  <si>
    <t>ISF Transfer Pumps Discharge Control Valve - Minimum CV</t>
  </si>
  <si>
    <t>LXV_P210_PID.OUT</t>
  </si>
  <si>
    <t>ISF Transfer Pumps Discharge Control Valve - Control Variable</t>
  </si>
  <si>
    <t>LXV_P210_PID.PV</t>
  </si>
  <si>
    <t>ISF Transfer Pumps Discharge Control Valve - Process Variable</t>
  </si>
  <si>
    <t>LXV_P210_PID.SO</t>
  </si>
  <si>
    <t>ISF Transfer Pumps Discharge Control Valve - Manual Output</t>
  </si>
  <si>
    <t>LXV_P210_PID.SP</t>
  </si>
  <si>
    <t>ISF Transfer Pumps Discharge Control Valve - Setpoint</t>
  </si>
  <si>
    <t>LXV_P210_PID.SWM</t>
  </si>
  <si>
    <t>ISF Transfer Pumps Discharge Control Valve - Auto/Manual Mode</t>
  </si>
  <si>
    <t>REMOTE_IO:14:O.Data.6</t>
  </si>
  <si>
    <t>ISF Transfer Pumps Discharge Control Valve - Solenoid Output Command</t>
  </si>
  <si>
    <t>WRITEFLOAT[822]</t>
  </si>
  <si>
    <t>RACK01_SLOT_11_TABLE[0].10</t>
  </si>
  <si>
    <t>ISF Water Level Switch High - Input</t>
  </si>
  <si>
    <t>RACK01_SLOT_11_TABLE[0].11</t>
  </si>
  <si>
    <t>ISF Water Level Switch Low - Input</t>
  </si>
  <si>
    <t>RACK01_SLOT_11_TABLE[0].12</t>
  </si>
  <si>
    <t>ISF Oil Weir Level Switch High - Input</t>
  </si>
  <si>
    <t>lsl_v562a_2a</t>
  </si>
  <si>
    <t>LSL-V562A-2A</t>
  </si>
  <si>
    <t>ISF Oil Weir Level Switch Low</t>
  </si>
  <si>
    <t>RACK01_SLOT_11_TABLE[0].13</t>
  </si>
  <si>
    <t>ISF Oil Weir Level Switch Low - Input</t>
  </si>
  <si>
    <t>WRITEFLOAT[641]</t>
  </si>
  <si>
    <t>Dirty Backwash Pump - Enable</t>
  </si>
  <si>
    <t>p_145a_b</t>
  </si>
  <si>
    <t>P-145A/B</t>
  </si>
  <si>
    <t>Dirty Backwash Pumps</t>
  </si>
  <si>
    <t>1=P-145A Lead;2=-P-145B Lead</t>
  </si>
  <si>
    <t>WRITEFLOAT[510]</t>
  </si>
  <si>
    <t>Dirty Backwash Pumps - Lead/Lag Status</t>
  </si>
  <si>
    <t>WRITEFLOAT[623]</t>
  </si>
  <si>
    <t>Dirty Backwash Pumps - Lead Start Setpoint</t>
  </si>
  <si>
    <t>WRITEFLOAT[624]</t>
  </si>
  <si>
    <t>Dirty Backwash Pumps - Lead Stop Setpoint</t>
  </si>
  <si>
    <t>BIT[1].28</t>
  </si>
  <si>
    <t>p_205a</t>
  </si>
  <si>
    <t>P-205A</t>
  </si>
  <si>
    <t>ISF Feed Pump</t>
  </si>
  <si>
    <t>ISF Feed Pump - Lead/Lag Status</t>
  </si>
  <si>
    <t>PUMPS_BACKWASH[2].MOTOR_RUN_BIT</t>
  </si>
  <si>
    <t>RACK01_SLOT_11_TABLE[0].28</t>
  </si>
  <si>
    <t>1=Door Open;0=Ok</t>
  </si>
  <si>
    <t>RACK01_SLOT_12_TABLE[0].31</t>
  </si>
  <si>
    <t>PLC Remote I/O Near Water Tanks Door Switch - Input</t>
  </si>
  <si>
    <t>TIT_E4930B_03.HSetpoint</t>
  </si>
  <si>
    <t>day_0_volume_oil</t>
  </si>
  <si>
    <t>Day 0 Oil Volume</t>
  </si>
  <si>
    <t>READFLOAT[78]</t>
  </si>
  <si>
    <t>P-106 Oil Transfer Pump Discharge Flow - Day 0 Oil Volume</t>
  </si>
  <si>
    <t>day_1_volume_oil</t>
  </si>
  <si>
    <t>Day 1 Oil Volume</t>
  </si>
  <si>
    <t>READFLOAT[79]</t>
  </si>
  <si>
    <t>P-106 Oil Transfer Pump Discharge Flow - Day 1 Oil Volume</t>
  </si>
  <si>
    <t>lxv_p205</t>
  </si>
  <si>
    <t>LXV-P205</t>
  </si>
  <si>
    <t>ISF Feed Pumps Discharge Control Valve</t>
  </si>
  <si>
    <t>CV_HIGH_LIMIT_SP_LXY_P205</t>
  </si>
  <si>
    <t>ISF Feed Pumps Discharge Control Valve - Maximum CV</t>
  </si>
  <si>
    <t>LXY_P205_PID.MO</t>
  </si>
  <si>
    <t>ISF Feed Pumps Discharge Control Valve - Manual Mode</t>
  </si>
  <si>
    <t>LXY_P205_PID.KD</t>
  </si>
  <si>
    <t>ISF Feed Pumps Discharge Control Valve - Derivative</t>
  </si>
  <si>
    <t>LXY_P205_PID.KI</t>
  </si>
  <si>
    <t>ISF Feed Pumps Discharge Control Valve - Integral</t>
  </si>
  <si>
    <t>LXY_P205_PID.KP</t>
  </si>
  <si>
    <t>ISF Feed Pumps Discharge Control Valve - Proportional</t>
  </si>
  <si>
    <t>LXY_P205_PID.MAXO</t>
  </si>
  <si>
    <t>LXY_P205_PID.MINO</t>
  </si>
  <si>
    <t>ISF Feed Pumps Discharge Control Valve - Minimum CV</t>
  </si>
  <si>
    <t>LXY_P205_PID.OUT</t>
  </si>
  <si>
    <t>ISF Feed Pumps Discharge Control Valve - Control Variable</t>
  </si>
  <si>
    <t>LXY_P205_PID.PV</t>
  </si>
  <si>
    <t>ISF Feed Pumps Discharge Control Valve - Process Variable</t>
  </si>
  <si>
    <t>LXY_P205_PID.SO</t>
  </si>
  <si>
    <t>ISF Feed Pumps Discharge Control Valve - Manual Output</t>
  </si>
  <si>
    <t>AnaShtdwns[1].4</t>
  </si>
  <si>
    <t>TAHH-E4930B-03</t>
  </si>
  <si>
    <t>C-4930B Oil/Gas Separator Oil Temperature - High High Alarm</t>
  </si>
  <si>
    <t>REMOTE_IO:11:I.Data.27</t>
  </si>
  <si>
    <t>PUMPS_BACKWASH[2].Fail_to_Run_alarm</t>
  </si>
  <si>
    <t>WRITEFLOAT[642]</t>
  </si>
  <si>
    <t>LXY_P205_PID.SP</t>
  </si>
  <si>
    <t>ISF Feed Pumps Discharge Control Valve - Setpoint</t>
  </si>
  <si>
    <t>LXY_P205_PID.SWM</t>
  </si>
  <si>
    <t>ISF Feed Pumps Discharge Control Valve - Auto/Manual Mode</t>
  </si>
  <si>
    <t>BIT[1].11</t>
  </si>
  <si>
    <t>ISF Feed Pump - Permissive Status</t>
  </si>
  <si>
    <t>TIT_E4930B_03.HHTimerAlarm</t>
  </si>
  <si>
    <t>C-4930B Oil/Gas Separator Oil Temperature - High High Alarm Delay</t>
  </si>
  <si>
    <t>p_205b</t>
  </si>
  <si>
    <t>P-205B</t>
  </si>
  <si>
    <t>PUMPS_FEEDWATER[0].MOTOR_RUN_BIT</t>
  </si>
  <si>
    <t>ISF Feed Pump - Run Command</t>
  </si>
  <si>
    <t>PUMPS_FEEDWATER[0].Fail_to_Run_alarm</t>
  </si>
  <si>
    <t>ISF Feed Pump - Run Fail</t>
  </si>
  <si>
    <t>RACK01_SLOT_11_TABLE[0].1</t>
  </si>
  <si>
    <t>ISF Feed Pump - Run Status</t>
  </si>
  <si>
    <t>group_2 (Equip Type) invalid. Invalid Allowed_Sequence.</t>
  </si>
  <si>
    <t>electrical</t>
  </si>
  <si>
    <t>mcc_tf</t>
  </si>
  <si>
    <t>hrg_undervoltage</t>
  </si>
  <si>
    <t>MCC-TF</t>
  </si>
  <si>
    <t>Water Injection Equipment Motor Control Center</t>
  </si>
  <si>
    <t>High Resistance Grounding Undervoltage Detection</t>
  </si>
  <si>
    <t>0=Undervoltage;1=Ok</t>
  </si>
  <si>
    <t>REMOTE_IO:12:I.Data.12</t>
  </si>
  <si>
    <t>Water Injection Equipment Motor Control Center - High Resistance Grounding Undervoltage Detection</t>
  </si>
  <si>
    <t>hrg_fault</t>
  </si>
  <si>
    <t>High Resistance Grounding Ground Fault Detection</t>
  </si>
  <si>
    <t>0=Fault;1=Ok</t>
  </si>
  <si>
    <t>REMOTE_IO:12:I.Data.13</t>
  </si>
  <si>
    <t>Water Injection Equipment Motor Control Center - High Resistance Grounding Ground Fault Detection</t>
  </si>
  <si>
    <t>mcc_trip</t>
  </si>
  <si>
    <t>Surge Protector Trip</t>
  </si>
  <si>
    <t>1=Ok;0=Tripped</t>
  </si>
  <si>
    <t>REMOTE_IO:12:I.Data.14</t>
  </si>
  <si>
    <t>Water Injection Equipment Motor Control Center - Surge Protector Trip</t>
  </si>
  <si>
    <t>REMOTE_IO:11:I.Data.0</t>
  </si>
  <si>
    <t>ISF Feed Pump - Auto Status</t>
  </si>
  <si>
    <t>ShtdwnSPWrite[44]</t>
  </si>
  <si>
    <t>C-4930B Oil/Gas Separator Oil Temperature - High High Alarm Setpoint</t>
  </si>
  <si>
    <t>power_supply_1_fail</t>
  </si>
  <si>
    <t>Power Supply 1 Fail</t>
  </si>
  <si>
    <t>0=Fail;1=Ok</t>
  </si>
  <si>
    <t>REMOTE_IO:12:I.Data.25</t>
  </si>
  <si>
    <t>Tank Farm PLC - Power Supply 1 Fail</t>
  </si>
  <si>
    <t>power_supply_2_fail</t>
  </si>
  <si>
    <t>Power Supply 2 Fail</t>
  </si>
  <si>
    <t>REMOTE_IO:12:I.Data.26</t>
  </si>
  <si>
    <t>Tank Farm PLC - Power Supply 2 Fail</t>
  </si>
  <si>
    <t>REMOTE_IO:14:O.Data.2</t>
  </si>
  <si>
    <t>ISF Feed Pumps Discharge Control Valve - Solenoid Output Command</t>
  </si>
  <si>
    <t>WRITEFLOAT[810]</t>
  </si>
  <si>
    <t>ZT_205</t>
  </si>
  <si>
    <t>ISF Feed Pumps Discharge Control Valve - Position Feedback</t>
  </si>
  <si>
    <t>filters</t>
  </si>
  <si>
    <t>f_4910a</t>
  </si>
  <si>
    <t>F-4910A</t>
  </si>
  <si>
    <t>Walnut Shell Filter</t>
  </si>
  <si>
    <t>REMOTE_IO:14:O.Data.7</t>
  </si>
  <si>
    <t>Walnut Shell Filter - BOP Shutdown Status</t>
  </si>
  <si>
    <t>REMOTE_IO:4:C.Ch0Config.HighEngineering</t>
  </si>
  <si>
    <t>P-205A ISF Feed Pump Suction Pressure - PV Maximum Scaled Value</t>
  </si>
  <si>
    <t>REMOTE_IO:4:C.Ch0Config.LowEngineering</t>
  </si>
  <si>
    <t>P-205A ISF Feed Pump Suction Pressure - PV Minimum Scaled Value</t>
  </si>
  <si>
    <t>REMOTE_IO:4:C.Ch10Config.HighEngineering</t>
  </si>
  <si>
    <t>ISF Skim Pump Suction Pressure - PV Maximum Scaled Value</t>
  </si>
  <si>
    <t>REMOTE_IO:4:C.Ch10Config.LowEngineering</t>
  </si>
  <si>
    <t>ISF Skim Pump Suction Pressure - PV Minimum Scaled Value</t>
  </si>
  <si>
    <t>REMOTE_IO:4:C.Ch11Config.HighEngineering</t>
  </si>
  <si>
    <t>ISF Skim Pump Discharge Pressure - PV Maximum Scaled Value</t>
  </si>
  <si>
    <t>REMOTE_IO:4:C.Ch11Config.LowEngineering</t>
  </si>
  <si>
    <t>ISF Skim Pump Discharge Pressure - PV Minimum Scaled Value</t>
  </si>
  <si>
    <t>REMOTE_IO:4:C.Ch12Config.HighEngineering</t>
  </si>
  <si>
    <t>ISF Vessel Pressure - PV Maximum Scaled Value</t>
  </si>
  <si>
    <t>REMOTE_IO:4:C.Ch12Config.LowEngineering</t>
  </si>
  <si>
    <t>ISF Vessel Pressure - PV Minimum Scaled Value</t>
  </si>
  <si>
    <t>fit_v562a_2</t>
  </si>
  <si>
    <t>FIT-V562A-2</t>
  </si>
  <si>
    <t>ISF Skim Oil Outlet Flow</t>
  </si>
  <si>
    <t>REMOTE_IO:4:C.Ch14Config.HighEngineering</t>
  </si>
  <si>
    <t>ISF Skim Oil Outlet Flow - PV Maximum Scaled Value</t>
  </si>
  <si>
    <t>REMOTE_IO:4:C.Ch14Config.LowEngineering</t>
  </si>
  <si>
    <t>ISF Skim Oil Outlet Flow - PV Minimum Scaled Value</t>
  </si>
  <si>
    <t>REMOTE_IO:4:C.Ch15Config.HighEngineering</t>
  </si>
  <si>
    <t>ISF Water Level - PV Maximum Scaled Value</t>
  </si>
  <si>
    <t>REMOTE_IO:4:C.Ch15Config.LowEngineering</t>
  </si>
  <si>
    <t>ISF Water Level - PV Minimum Scaled Value</t>
  </si>
  <si>
    <t>REMOTE_IO:4:C.Ch1Config.HighEngineering</t>
  </si>
  <si>
    <t>P-205A ISF Feed Pump Discharge Pressure - PV Maximum Scaled Value</t>
  </si>
  <si>
    <t>REMOTE_IO:4:C.Ch1Config.LowEngineering</t>
  </si>
  <si>
    <t>P-205A ISF Feed Pump Discharge Pressure - PV Minimum Scaled Value</t>
  </si>
  <si>
    <t>REMOTE_IO:4:C.Ch2Config.HighEngineering</t>
  </si>
  <si>
    <t>P-205B ISF Feed Pump Suction Pressure - PV Maximum Scaled Value</t>
  </si>
  <si>
    <t>REMOTE_IO:4:C.Ch2Config.LowEngineering</t>
  </si>
  <si>
    <t>P-205B ISF Feed Pump Suction Pressure - PV Minimum Scaled Value</t>
  </si>
  <si>
    <t>REMOTE_IO:4:C.Ch3Config.HighEngineering</t>
  </si>
  <si>
    <t>P-205B ISF Feed Pump Discharge Pressure - PV Maximum Scaled Value</t>
  </si>
  <si>
    <t>REMOTE_IO:4:C.Ch3Config.LowEngineering</t>
  </si>
  <si>
    <t>P-205B ISF Feed Pump Discharge Pressure - PV Minimum Scaled Value</t>
  </si>
  <si>
    <t>REMOTE_IO:4:C.Ch4Config.HighEngineering</t>
  </si>
  <si>
    <t>ISF Feed Pumps Discharge Flow - PV Maximum Scaled Value</t>
  </si>
  <si>
    <t>REMOTE_IO:4:C.Ch4Config.LowEngineering</t>
  </si>
  <si>
    <t>ISF Feed Pumps Discharge Flow - PV Minimum Scaled Value</t>
  </si>
  <si>
    <t>REMOTE_IO:4:C.Ch6Config.HighEngineering</t>
  </si>
  <si>
    <t>P-210A ISF Transfer Pump Suction Pressure - PV Maximum Scaled Value</t>
  </si>
  <si>
    <t>REMOTE_IO:4:C.Ch6Config.LowEngineering</t>
  </si>
  <si>
    <t>P-210A ISF Transfer Pump Suction Pressure - PV Minimum Scaled Value</t>
  </si>
  <si>
    <t>REMOTE_IO:4:C.Ch7Config.HighEngineering</t>
  </si>
  <si>
    <t>P-210A ISF Transfer Pump Discharge Pressure - PV Maximum Scaled Value</t>
  </si>
  <si>
    <t>REMOTE_IO:4:C.Ch7Config.LowEngineering</t>
  </si>
  <si>
    <t>P-210A ISF Transfer Pump Discharge Pressure - PV Minimum Scaled Value</t>
  </si>
  <si>
    <t>REMOTE_IO:4:C.Ch8Config.HighEngineering</t>
  </si>
  <si>
    <t>P-210B ISF Transfer Pump Suction Pressure - PV Maximum Scaled Value</t>
  </si>
  <si>
    <t>REMOTE_IO:4:C.Ch8Config.LowEngineering</t>
  </si>
  <si>
    <t>P-210B ISF Transfer Pump Suction Pressure - PV Minimum Scaled Value</t>
  </si>
  <si>
    <t>REMOTE_IO:4:C.Ch9Config.HighEngineering</t>
  </si>
  <si>
    <t>P-210B ISF Transfer Pump Discharge Pressure - PV Maximum Scaled Value</t>
  </si>
  <si>
    <t>REMOTE_IO:4:C.Ch9Config.LowEngineering</t>
  </si>
  <si>
    <t>P-210B ISF Transfer Pump Discharge Pressure - PV Minimum Scaled Value</t>
  </si>
  <si>
    <t>REMOTE_IO:4:I.Ch14Data</t>
  </si>
  <si>
    <t>ISF Skim Oil Outlet Flow - Rate</t>
  </si>
  <si>
    <t>REMOTE_IO:5:C.Ch0Config.HighEngineering</t>
  </si>
  <si>
    <t>ISF Oil Weir Level - PV Maximum Scaled Value</t>
  </si>
  <si>
    <t>REMOTE_IO:5:C.Ch0Config.LowEngineering</t>
  </si>
  <si>
    <t>ISF Oil Weir Level - PV Minimum Scaled Value</t>
  </si>
  <si>
    <t>REMOTE_IO:5:C.Ch10Config.HighEngineering</t>
  </si>
  <si>
    <t>P-125A Injection Booster Pump Suction Pressure - PV Maximum Scaled Value</t>
  </si>
  <si>
    <t>REMOTE_IO:5:C.Ch10Config.LowEngineering</t>
  </si>
  <si>
    <t>P-125A Injection Booster Pump Suction Pressure - PV Minimum Scaled Value</t>
  </si>
  <si>
    <t>REMOTE_IO:5:C.Ch11Config.HighEngineering</t>
  </si>
  <si>
    <t>P-125A Injection Booster Pump Discharge Pressure - PV Maximum Scaled Value</t>
  </si>
  <si>
    <t>REMOTE_IO:5:C.Ch11Config.LowEngineering</t>
  </si>
  <si>
    <t>P-125A Injection Booster Pump Discharge Pressure - PV Minimum Scaled Value</t>
  </si>
  <si>
    <t>REMOTE_IO:5:C.Ch12Config.HighEngineering</t>
  </si>
  <si>
    <t>P-125B Injection Booster Pump Suction Pressure - PV Maximum Scaled Value</t>
  </si>
  <si>
    <t>REMOTE_IO:5:C.Ch12Config.LowEngineering</t>
  </si>
  <si>
    <t>P-125B Injection Booster Pump Suction Pressure - PV Minimum Scaled Value</t>
  </si>
  <si>
    <t>REMOTE_IO:5:C.Ch13Config.HighEngineering</t>
  </si>
  <si>
    <t>P-125B Injection Booster Pump Discharge Pressure - PV Maximum Scaled Value</t>
  </si>
  <si>
    <t>REMOTE_IO:5:C.Ch13Config.LowEngineering</t>
  </si>
  <si>
    <t>P-125B Injection Booster Pump Discharge Pressure - PV Minimum Scaled Value</t>
  </si>
  <si>
    <t>REMOTE_IO:5:C.Ch14Config.HighEngineering</t>
  </si>
  <si>
    <t>Injection Water Booster Pumps Discharge Flow - PV Maximum Scaled Value</t>
  </si>
  <si>
    <t>REMOTE_IO:5:C.Ch14Config.LowEngineering</t>
  </si>
  <si>
    <t>Injection Water Booster Pumps Discharge Flow - PV Minimum Scaled Value</t>
  </si>
  <si>
    <t>REMOTE_IO:5:C.Ch15Config.HighEngineering</t>
  </si>
  <si>
    <t>Disposal Pump Discharge Flow - PV Maximum Scaled Value</t>
  </si>
  <si>
    <t>REMOTE_IO:5:C.Ch15Config.LowEngineering</t>
  </si>
  <si>
    <t>Disposal Pump Discharge Flow - PV Minimum Scaled Value</t>
  </si>
  <si>
    <t>REMOTE_IO:5:C.Ch1Config.HighEngineering</t>
  </si>
  <si>
    <t>ISF Eductor Water Flow - PV Maximum Scaled Value</t>
  </si>
  <si>
    <t>REMOTE_IO:5:C.Ch1Config.LowEngineering</t>
  </si>
  <si>
    <t>ISF Eductor Water Flow - PV Minimum Scaled Value</t>
  </si>
  <si>
    <t>REMOTE_IO:5:C.Ch2Config.HighEngineering</t>
  </si>
  <si>
    <t>Injection Tank Level - PV Maximum Scaled Value</t>
  </si>
  <si>
    <t>REMOTE_IO:5:C.Ch2Config.LowEngineering</t>
  </si>
  <si>
    <t>Injection Tank Level - PV Minimum Scaled Value</t>
  </si>
  <si>
    <t>REMOTE_IO:5:C.Ch3Config.HighEngineering</t>
  </si>
  <si>
    <t>Injection Tank Level Switch High High - PV Maximum Scaled Value</t>
  </si>
  <si>
    <t>REMOTE_IO:5:C.Ch3Config.LowEngineering</t>
  </si>
  <si>
    <t>Injection Tank Level Switch High High - PV Minimum Scaled Value</t>
  </si>
  <si>
    <t>REMOTE_IO:5:C.Ch4Config.HighEngineering</t>
  </si>
  <si>
    <t>Injection Tank Level Switch Low Low - PV Maximum Scaled Value</t>
  </si>
  <si>
    <t>REMOTE_IO:5:C.Ch4Config.LowEngineering</t>
  </si>
  <si>
    <t>Injection Tank Level Switch Low Low - PV Minimum Scaled Value</t>
  </si>
  <si>
    <t>REMOTE_IO:5:C.Ch5Config.HighEngineering</t>
  </si>
  <si>
    <t>Injection Tank Pressure - PV Maximum Scaled Value</t>
  </si>
  <si>
    <t>REMOTE_IO:5:C.Ch5Config.LowEngineering</t>
  </si>
  <si>
    <t>Injection Tank Pressure - PV Minimum Scaled Value</t>
  </si>
  <si>
    <t>REMOTE_IO:5:C.Ch6Config.HighEngineering</t>
  </si>
  <si>
    <t>REMOTE_IO:5:C.Ch6Config.LowEngineering</t>
  </si>
  <si>
    <t>REMOTE_IO:5:C.Ch7Config.HighEngineering</t>
  </si>
  <si>
    <t>REMOTE_IO:5:C.Ch7Config.LowEngineering</t>
  </si>
  <si>
    <t>REMOTE_IO:5:C.Ch8Config.HighEngineering</t>
  </si>
  <si>
    <t>REMOTE_IO:5:C.Ch8Config.LowEngineering</t>
  </si>
  <si>
    <t>REMOTE_IO:5:C.Ch9Config.HighEngineering</t>
  </si>
  <si>
    <t>REMOTE_IO:5:C.Ch9Config.LowEngineering</t>
  </si>
  <si>
    <t>REMOTE_IO:6:C.Ch0Config.HighEngineering</t>
  </si>
  <si>
    <t>Disposal Pump Suction Pressure - PV Maximum Scaled Value</t>
  </si>
  <si>
    <t>REMOTE_IO:6:C.Ch0Config.LowEngineering</t>
  </si>
  <si>
    <t>Disposal Pump Suction Pressure - PV Minimum Scaled Value</t>
  </si>
  <si>
    <t>REMOTE_IO:6:C.Ch10Config.HighEngineering</t>
  </si>
  <si>
    <t>Dirty Backwash Tank Level Switch High High - PV Maximum Scaled Value</t>
  </si>
  <si>
    <t>REMOTE_IO:6:C.Ch10Config.LowEngineering</t>
  </si>
  <si>
    <t>Dirty Backwash Tank Level Switch High High - PV Minimum Scaled Value</t>
  </si>
  <si>
    <t>REMOTE_IO:6:C.Ch11Config.HighEngineering</t>
  </si>
  <si>
    <t>Dirty Backwash Tank Level Switch Low Low - PV Maximum Scaled Value</t>
  </si>
  <si>
    <t>REMOTE_IO:6:C.Ch11Config.LowEngineering</t>
  </si>
  <si>
    <t>Dirty Backwash Tank Level Switch Low Low - PV Minimum Scaled Value</t>
  </si>
  <si>
    <t>REMOTE_IO:6:C.Ch12Config.HighEngineering</t>
  </si>
  <si>
    <t>Dirty Backwash Tank Pressure - PV Maximum Scaled Value</t>
  </si>
  <si>
    <t>REMOTE_IO:6:C.Ch12Config.LowEngineering</t>
  </si>
  <si>
    <t>Dirty Backwash Tank Pressure - PV Minimum Scaled Value</t>
  </si>
  <si>
    <t>REMOTE_IO:6:C.Ch13Config.HighEngineering</t>
  </si>
  <si>
    <t>REMOTE_IO:6:C.Ch13Config.LowEngineering</t>
  </si>
  <si>
    <t>Dirty Backwash Tank Level - PV Minimum Scaled Value</t>
  </si>
  <si>
    <t>REMOTE_IO:6:C.Ch14Config.HighEngineering</t>
  </si>
  <si>
    <t>REMOTE_IO:6:C.Ch14Config.LowEngineering</t>
  </si>
  <si>
    <t>REMOTE_IO:6:C.Ch15Config.HighEngineering</t>
  </si>
  <si>
    <t>REMOTE_IO:6:C.Ch15Config.LowEngineering</t>
  </si>
  <si>
    <t>REMOTE_IO:6:C.Ch1Config.HighEngineering</t>
  </si>
  <si>
    <t>Disposal Pump Discharge Pressure - PV Maximum Scaled Value</t>
  </si>
  <si>
    <t>REMOTE_IO:6:C.Ch1Config.LowEngineering</t>
  </si>
  <si>
    <t>Disposal Pump Discharge Pressure - PV Minimum Scaled Value</t>
  </si>
  <si>
    <t>vit_p135_1</t>
  </si>
  <si>
    <t>VIT-P135-1</t>
  </si>
  <si>
    <t>Disposal Pump Motor Outboard Vibration</t>
  </si>
  <si>
    <t>REMOTE_IO:6:C.Ch2Config.HighEngineering</t>
  </si>
  <si>
    <t>Disposal Pump Motor Outboard Vibration - PV Maximum Scaled Value</t>
  </si>
  <si>
    <t>REMOTE_IO:6:C.Ch2Config.LowEngineering</t>
  </si>
  <si>
    <t>Disposal Pump Motor Outboard Vibration - PV Minimum Scaled Value</t>
  </si>
  <si>
    <t>vit_p135_2</t>
  </si>
  <si>
    <t>VIT-P135-2</t>
  </si>
  <si>
    <t>Disposal Pump Thrust Bearing Chamber Vibration</t>
  </si>
  <si>
    <t>REMOTE_IO:6:C.Ch3Config.HighEngineering</t>
  </si>
  <si>
    <t>Disposal Pump Thrust Bearing Chamber Vibration - PV Maximum Scaled Value</t>
  </si>
  <si>
    <t>REMOTE_IO:6:C.Ch3Config.LowEngineering</t>
  </si>
  <si>
    <t>Disposal Pump Thrust Bearing Chamber Vibration - PV Minimum Scaled Value</t>
  </si>
  <si>
    <t>REMOTE_IO:6:C.Ch6Config.HighEngineering</t>
  </si>
  <si>
    <t>REMOTE_IO:6:C.Ch6Config.LowEngineering</t>
  </si>
  <si>
    <t>REMOTE_IO:6:C.Ch7Config.HighEngineering</t>
  </si>
  <si>
    <t>P-135 Discharge Disposal Well Supply Pressure - PV Maximum Scaled Value</t>
  </si>
  <si>
    <t>REMOTE_IO:6:C.Ch7Config.LowEngineering</t>
  </si>
  <si>
    <t>P-135 Discharge Disposal Well Supply Pressure - PV Minimum Scaled Value</t>
  </si>
  <si>
    <t>REMOTE_IO:6:C.Ch8Config.HighEngineering</t>
  </si>
  <si>
    <t>Jet Wash Supply Pressure - PV Maximum Scaled Value</t>
  </si>
  <si>
    <t>REMOTE_IO:6:C.Ch8Config.LowEngineering</t>
  </si>
  <si>
    <t>Jet Wash Supply Pressure - PV Minimum Scaled Value</t>
  </si>
  <si>
    <t>REMOTE_IO:6:C.Ch9Config.LowEngineering</t>
  </si>
  <si>
    <t>WRITEFLOAT[643]</t>
  </si>
  <si>
    <t>ISF Feed Pump - Enable</t>
  </si>
  <si>
    <t>REMOTE_IO:7:C.Ch0Config.HighEngineering</t>
  </si>
  <si>
    <t>REMOTE_IO:7:C.Ch0Config.LowEngineering</t>
  </si>
  <si>
    <t>lxit_t120</t>
  </si>
  <si>
    <t>LXIT-T120</t>
  </si>
  <si>
    <t>Injection Water Tank Interface Level</t>
  </si>
  <si>
    <t>REMOTE_IO:7:C.Ch10Config.HighEngineering</t>
  </si>
  <si>
    <t>Injection Water Tank Interface Level - PV Maximum Scaled Value</t>
  </si>
  <si>
    <t>REMOTE_IO:7:C.Ch10Config.LowEngineering</t>
  </si>
  <si>
    <t>Injection Water Tank Interface Level - PV Minimum Scaled Value</t>
  </si>
  <si>
    <t>lxit_t130</t>
  </si>
  <si>
    <t>LXIT-T130</t>
  </si>
  <si>
    <t>REMOTE_IO:7:C.Ch11Config.HighEngineering</t>
  </si>
  <si>
    <t>REMOTE_IO:7:C.Ch11Config.LowEngineering</t>
  </si>
  <si>
    <t>REMOTE_IO:7:C.Ch1Config.HighEngineering</t>
  </si>
  <si>
    <t>Tank Vapor Header Pressure Near T-150 - PV Maximum Scaled Value</t>
  </si>
  <si>
    <t>REMOTE_IO:7:C.Ch1Config.LowEngineering</t>
  </si>
  <si>
    <t>Tank Vapor Header Pressure Near T-150 - PV Minimum Scaled Value</t>
  </si>
  <si>
    <t>REMOTE_IO:7:C.Ch2Config.HighEngineering</t>
  </si>
  <si>
    <t>P-145A Backwash Pump Suction Pressure - PV Maximum Scaled Value</t>
  </si>
  <si>
    <t>REMOTE_IO:7:C.Ch2Config.LowEngineering</t>
  </si>
  <si>
    <t>P-145A Backwash Pump Suction Pressure - PV Minimum Scaled Value</t>
  </si>
  <si>
    <t>REMOTE_IO:7:C.Ch3Config.HighEngineering</t>
  </si>
  <si>
    <t>P-145A Backwash Pump Discharge Pressure - PV Maximum Scaled Value</t>
  </si>
  <si>
    <t>REMOTE_IO:7:C.Ch3Config.LowEngineering</t>
  </si>
  <si>
    <t>P-145A Backwash Pump Discharge Pressure - PV Minimum Scaled Value</t>
  </si>
  <si>
    <t>REMOTE_IO:7:C.Ch4Config.HighEngineering</t>
  </si>
  <si>
    <t>P-145B Backwash Pump Suction Pressure - PV Maximum Scaled Value</t>
  </si>
  <si>
    <t>REMOTE_IO:7:C.Ch4Config.LowEngineering</t>
  </si>
  <si>
    <t>P-145B Backwash Pump Suction Pressure - PV Minimum Scaled Value</t>
  </si>
  <si>
    <t>REMOTE_IO:7:C.Ch5Config.HighEngineering</t>
  </si>
  <si>
    <t>P-145B Backwash Pump Discharge Pressure - PV Maximum Scaled Value</t>
  </si>
  <si>
    <t>REMOTE_IO:7:C.Ch5Config.LowEngineering</t>
  </si>
  <si>
    <t>P-145B Backwash Pump Discharge Pressure - PV Minimum Scaled Value</t>
  </si>
  <si>
    <t>REMOTE_IO:7:C.Ch6Config.HighEngineering</t>
  </si>
  <si>
    <t>Dirty Backwash Pumps Discharge Flow - PV Maximum Scaled Value</t>
  </si>
  <si>
    <t>REMOTE_IO:7:C.Ch6Config.LowEngineering</t>
  </si>
  <si>
    <t>Dirty Backwash Pumps Discharge Flow - PV Minimum Scaled Value</t>
  </si>
  <si>
    <t>pit_p145</t>
  </si>
  <si>
    <t>PIT-P145</t>
  </si>
  <si>
    <t>Produced Water to 36B Waterflood Upstream Pressure</t>
  </si>
  <si>
    <t>REMOTE_IO:7:C.Ch8Config.HighEngineering</t>
  </si>
  <si>
    <t>Produced Water to 36B Waterflood Upstream Pressure - PV Maximum Scaled Value</t>
  </si>
  <si>
    <t>REMOTE_IO:7:C.Ch8Config.LowEngineering</t>
  </si>
  <si>
    <t>Produced Water to 36B Waterflood Upstream Pressure - PV Minimum Scaled Value</t>
  </si>
  <si>
    <t>REMOTE_IO:7:I.Ch10Data</t>
  </si>
  <si>
    <t>Injection Water Tank Interface Level - Process Value</t>
  </si>
  <si>
    <t>REMOTE_IO:7:I.Ch11Data</t>
  </si>
  <si>
    <t>REMOTE_IO:7:I.Ch8Data</t>
  </si>
  <si>
    <t>Produced Water to 36B Waterflood Upstream Pressure - Process Value</t>
  </si>
  <si>
    <t>TIT_E4930B_03.HHSetpoint</t>
  </si>
  <si>
    <t>TIT_E4930B_03.ProcessValue</t>
  </si>
  <si>
    <t>C-4930B Oil/Gas Separator Oil Temperature - Process Value</t>
  </si>
  <si>
    <t>C-4930B Oil/Gas Separator Oil Temperature - PV Maximum Scaled Value</t>
  </si>
  <si>
    <t>C-4930B Oil/Gas Separator Oil Temperature - PV Minimum Scaled Value</t>
  </si>
  <si>
    <t>tit_v4927a_02</t>
  </si>
  <si>
    <t>TIT-V4927A-02</t>
  </si>
  <si>
    <t>V-4972A Suction Scrubber Temperature</t>
  </si>
  <si>
    <t>AnaAlarms[0].2</t>
  </si>
  <si>
    <t>V-4972A Suction Scrubber Temperature - High Alarm</t>
  </si>
  <si>
    <t>TIT_V4927A_02.HTimerAlert</t>
  </si>
  <si>
    <t>V-4972A Suction Scrubber Temperature - High Alarm Delay</t>
  </si>
  <si>
    <t>AlarmSPWrite[2]</t>
  </si>
  <si>
    <t>V-4972A Suction Scrubber Temperature - High Alarm Setpoint</t>
  </si>
  <si>
    <t>TIT_V4927A_02.HSetpoint</t>
  </si>
  <si>
    <t>AnaShtdwns[0].2</t>
  </si>
  <si>
    <t>TAHH-V4927A-02</t>
  </si>
  <si>
    <t>V-4972A Suction Scrubber Temperature - High High Alarm</t>
  </si>
  <si>
    <t>TIT_V4927A_02.HHTimerAlarm</t>
  </si>
  <si>
    <t>V-4972A Suction Scrubber Temperature - High High Alarm Delay</t>
  </si>
  <si>
    <t>ShtdwnSPWrite[2]</t>
  </si>
  <si>
    <t>V-4972A Suction Scrubber Temperature - High High Alarm Setpoint</t>
  </si>
  <si>
    <t>TIT_V4927A_02.HHSetpoint</t>
  </si>
  <si>
    <t>TIT_V4927A_02.ProcessValue</t>
  </si>
  <si>
    <t>V-4972A Suction Scrubber Temperature - Process Value</t>
  </si>
  <si>
    <t>V-4972A Suction Scrubber Temperature - PV Maximum Scaled Value</t>
  </si>
  <si>
    <t>V-4972A Suction Scrubber Temperature - PV Minimum Scaled Value</t>
  </si>
  <si>
    <t>tit_v4928_01</t>
  </si>
  <si>
    <t>TIT-V4928-01</t>
  </si>
  <si>
    <t>Aftercooler Outlet Temperature</t>
  </si>
  <si>
    <t>AnaAlarms[1].12</t>
  </si>
  <si>
    <t>Aftercooler Outlet Temperature - High Alarm</t>
  </si>
  <si>
    <t>TIT_V4928_01.HTimerAlert</t>
  </si>
  <si>
    <t>Aftercooler Outlet Temperature - High Alarm Delay</t>
  </si>
  <si>
    <t>AlarmSPWrite[52]</t>
  </si>
  <si>
    <t>Aftercooler Outlet Temperature - High Alarm Setpoint</t>
  </si>
  <si>
    <t>TIT_V4928_01.HSetpoint</t>
  </si>
  <si>
    <t>AnaShtdwns[1].12</t>
  </si>
  <si>
    <t>TAHH-V4928-01</t>
  </si>
  <si>
    <t>Aftercooler Outlet Temperature - High High Alarm</t>
  </si>
  <si>
    <t>TIT_V4928_01.HHTimerAlarm</t>
  </si>
  <si>
    <t>Aftercooler Outlet Temperature - High High Alarm Delay</t>
  </si>
  <si>
    <t>ShtdwnSPWrite[52]</t>
  </si>
  <si>
    <t>Aftercooler Outlet Temperature - High High Alarm Setpoint</t>
  </si>
  <si>
    <t>TIT_V4928_01.HHSetpoint</t>
  </si>
  <si>
    <t>TIT_V4928_01.ProcessValue</t>
  </si>
  <si>
    <t>Aftercooler Outlet Temperature - Process Value</t>
  </si>
  <si>
    <t>Aftercooler Outlet Temperature - PV Maximum Scaled Value</t>
  </si>
  <si>
    <t>Aftercooler Outlet Temperature - PV Minimum Scaled Value</t>
  </si>
  <si>
    <t>tv_e4929_02</t>
  </si>
  <si>
    <t>TV-E4929-02</t>
  </si>
  <si>
    <t>AutoLouverCtrl.ModeSelectHMI</t>
  </si>
  <si>
    <t>AutoLouver.OUT</t>
  </si>
  <si>
    <t>AutoLouver.KD</t>
  </si>
  <si>
    <t>AutoLouver.KI</t>
  </si>
  <si>
    <t>AutoLouverCtrl.HMIManualValue</t>
  </si>
  <si>
    <t>AutoLouver.MAXO</t>
  </si>
  <si>
    <t>AutoLouver.MINO</t>
  </si>
  <si>
    <t>AutoLouver.PV</t>
  </si>
  <si>
    <t>AutoLouver.KP</t>
  </si>
  <si>
    <t>AutoLouver.SP</t>
  </si>
  <si>
    <t>tv_e4930a_03</t>
  </si>
  <si>
    <t>TV-E4930A-03</t>
  </si>
  <si>
    <t>C-4930A Lube Oil Cooler 3-Way Temperature Control Valve</t>
  </si>
  <si>
    <t>TCVACtrl.ModeSelectHMI</t>
  </si>
  <si>
    <t>C-4930A Lube Oil Cooler 3-Way Temperature Control Valve - Auto/Manual Mode</t>
  </si>
  <si>
    <t>TCVA.OUT</t>
  </si>
  <si>
    <t>C-4930A Lube Oil Cooler 3-Way Temperature Control Valve - Control Variable</t>
  </si>
  <si>
    <t>TCVA.KD</t>
  </si>
  <si>
    <t>C-4930A Lube Oil Cooler 3-Way Temperature Control Valve - Derivative</t>
  </si>
  <si>
    <t>TCVA.KI</t>
  </si>
  <si>
    <t>C-4930A Lube Oil Cooler 3-Way Temperature Control Valve - Integral</t>
  </si>
  <si>
    <t>TCVACtrl.HMIManualValue</t>
  </si>
  <si>
    <t>C-4930A Lube Oil Cooler 3-Way Temperature Control Valve - Manual Output</t>
  </si>
  <si>
    <t>TCVA.MAXO</t>
  </si>
  <si>
    <t>C-4930A Lube Oil Cooler 3-Way Temperature Control Valve - Maximum CV</t>
  </si>
  <si>
    <t>k_101a</t>
  </si>
  <si>
    <t>K-101A</t>
  </si>
  <si>
    <t>Vapor Recovery Sliding Vane Compressor</t>
  </si>
  <si>
    <t>ALARM[4].23</t>
  </si>
  <si>
    <t>Vapor Recovery Sliding Vane Compressor - Run Fail</t>
  </si>
  <si>
    <t>SLOT_2_ANALOG_INPUT_TABLE[12]</t>
  </si>
  <si>
    <t>P-106 Discharge Oil BS&amp;W - Process Value</t>
  </si>
  <si>
    <t>TCVA.MINO</t>
  </si>
  <si>
    <t>C-4930A Lube Oil Cooler 3-Way Temperature Control Valve - Minimum CV</t>
  </si>
  <si>
    <t>vru101</t>
  </si>
  <si>
    <t>PLC-VRU101</t>
  </si>
  <si>
    <t>K-101A/B VRU PLC</t>
  </si>
  <si>
    <t>SLOT_4_24_VDC_INPUT_TABLE[0].0</t>
  </si>
  <si>
    <t>K-101A/B VRU PLC - Emergency Stop Status</t>
  </si>
  <si>
    <t>BIT[0].6</t>
  </si>
  <si>
    <t>Vapor Recovery Sliding Vane Compressor - Permissive Status</t>
  </si>
  <si>
    <t>selector_switch</t>
  </si>
  <si>
    <t>Panel Selector Switch Disabled</t>
  </si>
  <si>
    <t>ALARM[5].2</t>
  </si>
  <si>
    <t>Vapor Recovery Sliding Vane Compressor - Panel Selector Switch Disabled</t>
  </si>
  <si>
    <t>SLOT_4_24_VDC_INPUT_TABLE[0].14</t>
  </si>
  <si>
    <t>PLC Remote I/O Near Drain Tank Door Switch - Input</t>
  </si>
  <si>
    <t>SLOT_4_24_VDC_INPUT_TABLE[0].16</t>
  </si>
  <si>
    <t>V-101 Suction Scrubber Level Switch High - Input</t>
  </si>
  <si>
    <t>SLOT_4_24_VDC_INPUT_TABLE[0].18</t>
  </si>
  <si>
    <t>V-102 Discharge Scrubber Level Switch High - Input</t>
  </si>
  <si>
    <t>SLOT_4_24_VDC_INPUT_TABLE[0].19</t>
  </si>
  <si>
    <t>K-101A Compressor Vibration Switch High High - Input</t>
  </si>
  <si>
    <t>SLOT_4_24_VDC_INPUT_TABLE[0].12</t>
  </si>
  <si>
    <t>Vapor Recovery Sliding Vane Compressor - Run Status</t>
  </si>
  <si>
    <t>SLOT_4_24_VDC_INPUT_TABLE[0].20</t>
  </si>
  <si>
    <t>K-101B Compressor Vibration Switch High High - Input</t>
  </si>
  <si>
    <t>SLOT_4_24_VDC_INPUT_TABLE[0].21</t>
  </si>
  <si>
    <t>Cooler Fan Vibration Switch High - Input</t>
  </si>
  <si>
    <t>0=Low Flow;1=Ok</t>
  </si>
  <si>
    <t>SLOT_4_24_VDC_INPUT_TABLE[0].22</t>
  </si>
  <si>
    <t>K-101A Compressor Lubricator Flow Switch Low Low - Input</t>
  </si>
  <si>
    <t>SLOT_4_24_VDC_INPUT_TABLE[0].23</t>
  </si>
  <si>
    <t>K-101B Compressor Lubricator Flow Switch Low Low - Input</t>
  </si>
  <si>
    <t>0=Ok;1=Door Open</t>
  </si>
  <si>
    <t>SLOT_4_24_VDC_INPUT_TABLE[0].24</t>
  </si>
  <si>
    <t>K-101 PLC Door Switch - Input</t>
  </si>
  <si>
    <t>Panel Selector Switch Status</t>
  </si>
  <si>
    <t>0=Off;1=Enabled</t>
  </si>
  <si>
    <t>SLOT_4_24_VDC_INPUT_TABLE[0].2</t>
  </si>
  <si>
    <t>Vapor Recovery Sliding Vane Compressor - Panel Selector Switch Status</t>
  </si>
  <si>
    <t>SLOT_4_24_VDC_INPUT_TABLE[0].8</t>
  </si>
  <si>
    <t>Process Cooler - Run Status</t>
  </si>
  <si>
    <t>TCVA.PV</t>
  </si>
  <si>
    <t>C-4930A Lube Oil Cooler 3-Way Temperature Control Valve - Process Variable</t>
  </si>
  <si>
    <t>TCVA.KP</t>
  </si>
  <si>
    <t>C-4930A Lube Oil Cooler 3-Way Temperature Control Valve - Proportional</t>
  </si>
  <si>
    <t>TCVA.SP</t>
  </si>
  <si>
    <t>C-4930A Lube Oil Cooler 3-Way Temperature Control Valve - Setpoint</t>
  </si>
  <si>
    <t>SLOT_6_24_VDC_OUTPUT_TABLE[0].2</t>
  </si>
  <si>
    <t>Vapor Recovery Sliding Vane Compressor - Run Command</t>
  </si>
  <si>
    <t>WRITEFLOAT[210]</t>
  </si>
  <si>
    <t>Vapor Recovery Sliding Vane Compressor - Enable</t>
  </si>
  <si>
    <t>SLOT_6_24_VDC_OUTPUT_TABLE[0].4</t>
  </si>
  <si>
    <t>Process Cooler - Run Command</t>
  </si>
  <si>
    <t>lic_t120_130</t>
  </si>
  <si>
    <t>LIC-T120/130</t>
  </si>
  <si>
    <t>Injection Water Tank Level Controller</t>
  </si>
  <si>
    <t>SY_P135_PID.KD</t>
  </si>
  <si>
    <t>Injection Water Tank Level Controller - Derivative</t>
  </si>
  <si>
    <t>SY_P135_PID.KI</t>
  </si>
  <si>
    <t>Injection Water Tank Level Controller - Integral</t>
  </si>
  <si>
    <t>SY_P135_PID.KP</t>
  </si>
  <si>
    <t>Injection Water Tank Level Controller - Proportional</t>
  </si>
  <si>
    <t>SY_P135_PID.MAXO</t>
  </si>
  <si>
    <t>Injection Water Tank Level Controller - Maximum CV</t>
  </si>
  <si>
    <t>SY_P135_PID.MINO</t>
  </si>
  <si>
    <t>Injection Water Tank Level Controller - Minimum CV</t>
  </si>
  <si>
    <t>SY_P135_PID.OUT</t>
  </si>
  <si>
    <t>Injection Water Tank Level Controller - Control Variable</t>
  </si>
  <si>
    <t>SY_P135_PID.PV</t>
  </si>
  <si>
    <t>Injection Water Tank Level Controller - Process Variable</t>
  </si>
  <si>
    <t>SY_P135_PID.SO</t>
  </si>
  <si>
    <t>Injection Water Tank Level Controller - Manual Output</t>
  </si>
  <si>
    <t>SY_P135_PID.SP</t>
  </si>
  <si>
    <t>Injection Water Tank Level Controller - Setpoint</t>
  </si>
  <si>
    <t>SY_P135_PID.SWM</t>
  </si>
  <si>
    <t>Injection Water Tank Level Controller - Auto/Manual Mode</t>
  </si>
  <si>
    <t>tv_e4930b_03</t>
  </si>
  <si>
    <t>TV-E4930B-03</t>
  </si>
  <si>
    <t>C-4930B Lube Oil Cooler 3-Way Temperature Control Valve</t>
  </si>
  <si>
    <t>TCVBCtrl.ModeSelectHMI</t>
  </si>
  <si>
    <t>C-4930B Lube Oil Cooler 3-Way Temperature Control Valve - Auto/Manual Mode</t>
  </si>
  <si>
    <t>TCVB.OUT</t>
  </si>
  <si>
    <t>C-4930B Lube Oil Cooler 3-Way Temperature Control Valve - Control Variable</t>
  </si>
  <si>
    <t>TCVB.KD</t>
  </si>
  <si>
    <t>C-4930B Lube Oil Cooler 3-Way Temperature Control Valve - Derivative</t>
  </si>
  <si>
    <t>lcv_t11_109</t>
  </si>
  <si>
    <t>LCV-T11/109</t>
  </si>
  <si>
    <t>Wash Tank Water Out Control Valves</t>
  </si>
  <si>
    <t>WRITEFLOAT[600]</t>
  </si>
  <si>
    <t>Wash Tank Water Out Control Valves - Open Setpoint</t>
  </si>
  <si>
    <t>WRITEFLOAT[621]</t>
  </si>
  <si>
    <t>Wash Tank Water Out Control Valves - Close Setpoint</t>
  </si>
  <si>
    <t>lcv_t11</t>
  </si>
  <si>
    <t>LCV-T11</t>
  </si>
  <si>
    <t>T-11 Wash Tank Water Out Control Valve</t>
  </si>
  <si>
    <t>LY_T11</t>
  </si>
  <si>
    <t>T-11 Wash Tank Water Out Control Valve - Output Command</t>
  </si>
  <si>
    <t>lcv_t109</t>
  </si>
  <si>
    <t>level_override</t>
  </si>
  <si>
    <t>LCV-T109</t>
  </si>
  <si>
    <t>T-109 Wash Tank Water Out Control Valve</t>
  </si>
  <si>
    <t>High Overall Level Override</t>
  </si>
  <si>
    <t>0=Override Not Active;1=High Overall Level Override</t>
  </si>
  <si>
    <t>LIT_T109_HighOverride_P205</t>
  </si>
  <si>
    <t>T-109 Wash Tank Water Out Control Valve - High Overall Level Override</t>
  </si>
  <si>
    <t>level_override_start</t>
  </si>
  <si>
    <t>Overall Level Override Enable Setpoint</t>
  </si>
  <si>
    <t>LIT_T109_HighOverride_Start</t>
  </si>
  <si>
    <t>T-109 Wash Tank Water Out Control Valve - Overall Level Override Enable Setpoint</t>
  </si>
  <si>
    <t>level_override_stop</t>
  </si>
  <si>
    <t>Overall Level Override Disable Setpoint</t>
  </si>
  <si>
    <t>LIT_T109_HighOverride_Stop</t>
  </si>
  <si>
    <t>T-109 Wash Tank Water Out Control Valve - Overall Level Override Disable Setpoint</t>
  </si>
  <si>
    <t>LY_T109</t>
  </si>
  <si>
    <t>T-109 Wash Tank Water Out Control Valve - Output Command</t>
  </si>
  <si>
    <t>TEMPERATURE_TRANSMITTER[0].Alarm_Hi_Hi_Set_Point</t>
  </si>
  <si>
    <t>K-101A Compressor Discharge Temperature - High High Alarm Setpoint</t>
  </si>
  <si>
    <t>TEMPERATURE_TRANSMITTER[0].Alarm_High_BIT</t>
  </si>
  <si>
    <t>K-101A Compressor Discharge Temperature - High Alarm</t>
  </si>
  <si>
    <t>TEMPERATURE_TRANSMITTER[0].Alarm_High_High_BIT</t>
  </si>
  <si>
    <t>K-101A Compressor Discharge Temperature - High High Alarm</t>
  </si>
  <si>
    <t>TEMPERATURE_TRANSMITTER[0].Alarm_High_High_TMR</t>
  </si>
  <si>
    <t>K-101A Compressor Discharge Temperature - High High Alarm Delay</t>
  </si>
  <si>
    <t>TEMPERATURE_TRANSMITTER[0].Alarm_High_Set_Point</t>
  </si>
  <si>
    <t>K-101A Compressor Discharge Temperature - High Alarm Setpoint</t>
  </si>
  <si>
    <t>TEMPERATURE_TRANSMITTER[0].Alarm_High_TMR</t>
  </si>
  <si>
    <t>K-101A Compressor Discharge Temperature - High Alarm Delay</t>
  </si>
  <si>
    <t>TEMPERATURE_TRANSMITTER[0].Alarm_Low_BIT</t>
  </si>
  <si>
    <t>K-101A Compressor Discharge Temperature - Low Alarm</t>
  </si>
  <si>
    <t>TEMPERATURE_TRANSMITTER[0].Alarm_Low_Low_BIT</t>
  </si>
  <si>
    <t>K-101A Compressor Discharge Temperature - Low Low Alarm</t>
  </si>
  <si>
    <t>TEMPERATURE_TRANSMITTER[0].Alarm_Low_Low_Set_Point</t>
  </si>
  <si>
    <t>K-101A Compressor Discharge Temperature - Low Low Alarm Setpoint</t>
  </si>
  <si>
    <t>TEMPERATURE_TRANSMITTER[0].Alarm_Low_Low_TMR</t>
  </si>
  <si>
    <t>K-101A Compressor Discharge Temperature - Low Low Alarm Delay</t>
  </si>
  <si>
    <t>TEMPERATURE_TRANSMITTER[0].Alarm_Low_Set_Point</t>
  </si>
  <si>
    <t>K-101A Compressor Discharge Temperature - Low Alarm Setpoint</t>
  </si>
  <si>
    <t>TEMPERATURE_TRANSMITTER[0].Alarm_Low_TMR</t>
  </si>
  <si>
    <t>K-101A Compressor Discharge Temperature - Low Alarm Delay</t>
  </si>
  <si>
    <t>TEMPERATURE_TRANSMITTER[0].Value</t>
  </si>
  <si>
    <t>K-101A Compressor Discharge Temperature - Process Value</t>
  </si>
  <si>
    <t>TEMPERATURE_TRANSMITTER[1].Alarm_Hi_Hi_Set_Point</t>
  </si>
  <si>
    <t>K-101A Compressor Jacket Water Outlet Temperature - High High Alarm Setpoint</t>
  </si>
  <si>
    <t>TEMPERATURE_TRANSMITTER[1].Alarm_High_BIT</t>
  </si>
  <si>
    <t>K-101A Compressor Jacket Water Outlet Temperature - High Alarm</t>
  </si>
  <si>
    <t>TEMPERATURE_TRANSMITTER[1].Alarm_High_High_BIT</t>
  </si>
  <si>
    <t>K-101A Compressor Jacket Water Outlet Temperature - High High Alarm</t>
  </si>
  <si>
    <t>TEMPERATURE_TRANSMITTER[1].Alarm_High_High_TMR</t>
  </si>
  <si>
    <t>K-101A Compressor Jacket Water Outlet Temperature - High High Alarm Delay</t>
  </si>
  <si>
    <t>TEMPERATURE_TRANSMITTER[1].Alarm_High_Set_Point</t>
  </si>
  <si>
    <t>K-101A Compressor Jacket Water Outlet Temperature - High Alarm Setpoint</t>
  </si>
  <si>
    <t>TEMPERATURE_TRANSMITTER[1].Alarm_High_TMR</t>
  </si>
  <si>
    <t>K-101A Compressor Jacket Water Outlet Temperature - High Alarm Delay</t>
  </si>
  <si>
    <t>TEMPERATURE_TRANSMITTER[1].Alarm_Low_BIT</t>
  </si>
  <si>
    <t>K-101A Compressor Jacket Water Outlet Temperature - Low Alarm</t>
  </si>
  <si>
    <t>TEMPERATURE_TRANSMITTER[1].Alarm_Low_Low_BIT</t>
  </si>
  <si>
    <t>K-101A Compressor Jacket Water Outlet Temperature - Low Low Alarm</t>
  </si>
  <si>
    <t>TEMPERATURE_TRANSMITTER[1].Alarm_Low_Low_Set_Point</t>
  </si>
  <si>
    <t>K-101A Compressor Jacket Water Outlet Temperature - Low Low Alarm Setpoint</t>
  </si>
  <si>
    <t>TEMPERATURE_TRANSMITTER[1].Alarm_Low_Low_TMR</t>
  </si>
  <si>
    <t>K-101A Compressor Jacket Water Outlet Temperature - Low Low Alarm Delay</t>
  </si>
  <si>
    <t>TEMPERATURE_TRANSMITTER[1].Alarm_Low_Set_Point</t>
  </si>
  <si>
    <t>K-101A Compressor Jacket Water Outlet Temperature - Low Alarm Setpoint</t>
  </si>
  <si>
    <t>TEMPERATURE_TRANSMITTER[1].Alarm_Low_TMR</t>
  </si>
  <si>
    <t>K-101A Compressor Jacket Water Outlet Temperature - Low Alarm Delay</t>
  </si>
  <si>
    <t>TEMPERATURE_TRANSMITTER[1].Value</t>
  </si>
  <si>
    <t>K-101A Compressor Jacket Water Outlet Temperature - Process Value</t>
  </si>
  <si>
    <t>TEMPERATURE_TRANSMITTER[2].Alarm_Hi_Hi_Set_Point</t>
  </si>
  <si>
    <t>K-101B Compressor Discharge Temperature - High High Alarm Setpoint</t>
  </si>
  <si>
    <t>TEMPERATURE_TRANSMITTER[2].Alarm_High_BIT</t>
  </si>
  <si>
    <t>K-101B Compressor Discharge Temperature - High Alarm</t>
  </si>
  <si>
    <t>TEMPERATURE_TRANSMITTER[2].Alarm_High_High_BIT</t>
  </si>
  <si>
    <t>K-101B Compressor Discharge Temperature - High High Alarm</t>
  </si>
  <si>
    <t>TEMPERATURE_TRANSMITTER[2].Alarm_High_High_TMR</t>
  </si>
  <si>
    <t>K-101B Compressor Discharge Temperature - High High Alarm Delay</t>
  </si>
  <si>
    <t>TEMPERATURE_TRANSMITTER[2].Alarm_High_Set_Point</t>
  </si>
  <si>
    <t>K-101B Compressor Discharge Temperature - High Alarm Setpoint</t>
  </si>
  <si>
    <t>TEMPERATURE_TRANSMITTER[2].Alarm_High_TMR</t>
  </si>
  <si>
    <t>K-101B Compressor Discharge Temperature - High Alarm Delay</t>
  </si>
  <si>
    <t>TEMPERATURE_TRANSMITTER[2].Alarm_Low_BIT</t>
  </si>
  <si>
    <t>K-101B Compressor Discharge Temperature - Low Alarm</t>
  </si>
  <si>
    <t>TEMPERATURE_TRANSMITTER[2].Alarm_Low_Low_BIT</t>
  </si>
  <si>
    <t>K-101B Compressor Discharge Temperature - Low Low Alarm</t>
  </si>
  <si>
    <t>TEMPERATURE_TRANSMITTER[2].Alarm_Low_Low_Set_Point</t>
  </si>
  <si>
    <t>K-101B Compressor Discharge Temperature - Low Low Alarm Setpoint</t>
  </si>
  <si>
    <t>TEMPERATURE_TRANSMITTER[2].Alarm_Low_Low_TMR</t>
  </si>
  <si>
    <t>K-101B Compressor Discharge Temperature - Low Low Alarm Delay</t>
  </si>
  <si>
    <t>TEMPERATURE_TRANSMITTER[2].Alarm_Low_Set_Point</t>
  </si>
  <si>
    <t>K-101B Compressor Discharge Temperature - Low Alarm Setpoint</t>
  </si>
  <si>
    <t>TEMPERATURE_TRANSMITTER[2].Alarm_Low_TMR</t>
  </si>
  <si>
    <t>K-101B Compressor Discharge Temperature - Low Alarm Delay</t>
  </si>
  <si>
    <t>TEMPERATURE_TRANSMITTER[2].Value</t>
  </si>
  <si>
    <t>K-101B Compressor Discharge Temperature - Process Value</t>
  </si>
  <si>
    <t>TEMPERATURE_TRANSMITTER[3].Alarm_Hi_Hi_Set_Point</t>
  </si>
  <si>
    <t>K-101B Compressor Jacket Water Outlet Temperature - High High Alarm Setpoint</t>
  </si>
  <si>
    <t>TEMPERATURE_TRANSMITTER[3].Alarm_High_BIT</t>
  </si>
  <si>
    <t>K-101B Compressor Jacket Water Outlet Temperature - High Alarm</t>
  </si>
  <si>
    <t>TEMPERATURE_TRANSMITTER[3].Alarm_High_High_BIT</t>
  </si>
  <si>
    <t>K-101B Compressor Jacket Water Outlet Temperature - High High Alarm</t>
  </si>
  <si>
    <t>TEMPERATURE_TRANSMITTER[3].Alarm_High_High_TMR</t>
  </si>
  <si>
    <t>K-101B Compressor Jacket Water Outlet Temperature - High High Alarm Delay</t>
  </si>
  <si>
    <t>TEMPERATURE_TRANSMITTER[3].Alarm_High_Set_Point</t>
  </si>
  <si>
    <t>K-101B Compressor Jacket Water Outlet Temperature - High Alarm Setpoint</t>
  </si>
  <si>
    <t>TEMPERATURE_TRANSMITTER[3].Alarm_High_TMR</t>
  </si>
  <si>
    <t>K-101B Compressor Jacket Water Outlet Temperature - High Alarm Delay</t>
  </si>
  <si>
    <t>TEMPERATURE_TRANSMITTER[3].Alarm_Low_BIT</t>
  </si>
  <si>
    <t>K-101B Compressor Jacket Water Outlet Temperature - Low Alarm</t>
  </si>
  <si>
    <t>TEMPERATURE_TRANSMITTER[3].Alarm_Low_Low_BIT</t>
  </si>
  <si>
    <t>K-101B Compressor Jacket Water Outlet Temperature - Low Low Alarm</t>
  </si>
  <si>
    <t>TEMPERATURE_TRANSMITTER[3].Alarm_Low_Low_Set_Point</t>
  </si>
  <si>
    <t>K-101B Compressor Jacket Water Outlet Temperature - Low Low Alarm Setpoint</t>
  </si>
  <si>
    <t>TEMPERATURE_TRANSMITTER[3].Alarm_Low_Low_TMR</t>
  </si>
  <si>
    <t>K-101B Compressor Jacket Water Outlet Temperature - Low Low Alarm Delay</t>
  </si>
  <si>
    <t>TEMPERATURE_TRANSMITTER[3].Alarm_Low_Set_Point</t>
  </si>
  <si>
    <t>K-101B Compressor Jacket Water Outlet Temperature - Low Alarm Setpoint</t>
  </si>
  <si>
    <t>TEMPERATURE_TRANSMITTER[3].Alarm_Low_TMR</t>
  </si>
  <si>
    <t>K-101B Compressor Jacket Water Outlet Temperature - Low Alarm Delay</t>
  </si>
  <si>
    <t>TEMPERATURE_TRANSMITTER[3].Value</t>
  </si>
  <si>
    <t>K-101B Compressor Jacket Water Outlet Temperature - Process Value</t>
  </si>
  <si>
    <t>TCVB.KI</t>
  </si>
  <si>
    <t>C-4930B Lube Oil Cooler 3-Way Temperature Control Valve - Integral</t>
  </si>
  <si>
    <t>TCVBCtrl.HMIManualValue</t>
  </si>
  <si>
    <t>C-4930B Lube Oil Cooler 3-Way Temperature Control Valve - Manual Output</t>
  </si>
  <si>
    <t>TCVB.MAXO</t>
  </si>
  <si>
    <t>C-4930B Lube Oil Cooler 3-Way Temperature Control Valve - Maximum CV</t>
  </si>
  <si>
    <t>TCVB.MINO</t>
  </si>
  <si>
    <t>C-4930B Lube Oil Cooler 3-Way Temperature Control Valve - Minimum CV</t>
  </si>
  <si>
    <t>TCVB.PV</t>
  </si>
  <si>
    <t>C-4930B Lube Oil Cooler 3-Way Temperature Control Valve - Process Variable</t>
  </si>
  <si>
    <t>TCVB.KP</t>
  </si>
  <si>
    <t>C-4930B Lube Oil Cooler 3-Way Temperature Control Valve - Proportional</t>
  </si>
  <si>
    <t>TCVB.SP</t>
  </si>
  <si>
    <t>C-4930B Lube Oil Cooler 3-Way Temperature Control Valve - Setpoint</t>
  </si>
  <si>
    <t>vit_c4930a_02i</t>
  </si>
  <si>
    <t>VIT-C4930A-02I</t>
  </si>
  <si>
    <t>C-4930A Compressor X-Axis Impact Vibration</t>
  </si>
  <si>
    <t>AnaAlarms[2].20</t>
  </si>
  <si>
    <t>C-4930A Compressor X-Axis Impact Vibration - High Alarm</t>
  </si>
  <si>
    <t>VT_C4930A_02_I.HTimerAlert</t>
  </si>
  <si>
    <t>C-4930A Compressor X-Axis Impact Vibration - High Alarm Delay</t>
  </si>
  <si>
    <t>counts</t>
  </si>
  <si>
    <t>AlarmSPWrite[100]</t>
  </si>
  <si>
    <t>C-4930A Compressor X-Axis Impact Vibration - High Alarm Setpoint</t>
  </si>
  <si>
    <t>VT_C4930A_02_I.HSetpoint</t>
  </si>
  <si>
    <t>AnaShtdwns[2].20</t>
  </si>
  <si>
    <t>VAHH-C4930A-02I</t>
  </si>
  <si>
    <t>C-4930A Compressor X-Axis Impact Vibration - High High Alarm</t>
  </si>
  <si>
    <t>VT_C4930A_02_I.HHTimerAlarm</t>
  </si>
  <si>
    <t>C-4930A Compressor X-Axis Impact Vibration - High High Alarm Delay</t>
  </si>
  <si>
    <t>ShtdwnSPWrite[100]</t>
  </si>
  <si>
    <t>C-4930A Compressor X-Axis Impact Vibration - High High Alarm Setpoint</t>
  </si>
  <si>
    <t>VT_C4930A_02_I.HHSetpoint</t>
  </si>
  <si>
    <t>VT_C4930A_02_I.ProcessValue</t>
  </si>
  <si>
    <t>C-4930A Compressor X-Axis Impact Vibration - Process Value</t>
  </si>
  <si>
    <t>C-4930A Compressor X-Axis Impact Vibration - PV Maximum Scaled Value</t>
  </si>
  <si>
    <t>C-4930A Compressor X-Axis Impact Vibration - PV Minimum Scaled Value</t>
  </si>
  <si>
    <t>vit_c4930a_02v</t>
  </si>
  <si>
    <t>VIT-C4930A-02V</t>
  </si>
  <si>
    <t>C-4930A Compressor X-Axis Velocity Vibration</t>
  </si>
  <si>
    <t>AnaAlarms[2].0</t>
  </si>
  <si>
    <t>C-4930A Compressor X-Axis Velocity Vibration - High Alarm</t>
  </si>
  <si>
    <t>VT_C4930A_02_V.HTimerAlert</t>
  </si>
  <si>
    <t>C-4930A Compressor X-Axis Velocity Vibration - High Alarm Delay</t>
  </si>
  <si>
    <t>AlarmSPWrite[80]</t>
  </si>
  <si>
    <t>C-4930A Compressor X-Axis Velocity Vibration - High Alarm Setpoint</t>
  </si>
  <si>
    <t>VT_C4930A_02_V.HSetpoint</t>
  </si>
  <si>
    <t>AnaShtdwns[2].0</t>
  </si>
  <si>
    <t>VAHH-C4930A-02V</t>
  </si>
  <si>
    <t>C-4930A Compressor X-Axis Velocity Vibration - High High Alarm</t>
  </si>
  <si>
    <t>VT_C4930A_02_V.HHTimerAlarm</t>
  </si>
  <si>
    <t>C-4930A Compressor X-Axis Velocity Vibration - High High Alarm Delay</t>
  </si>
  <si>
    <t>ShtdwnSPWrite[80]</t>
  </si>
  <si>
    <t>C-4930A Compressor X-Axis Velocity Vibration - High High Alarm Setpoint</t>
  </si>
  <si>
    <t>VT_C4930A_02_V.HHSetpoint</t>
  </si>
  <si>
    <t>VT_C4930A_02_V.ProcessValue</t>
  </si>
  <si>
    <t>C-4930A Compressor X-Axis Velocity Vibration - Process Value</t>
  </si>
  <si>
    <t>C-4930A Compressor X-Axis Velocity Vibration - PV Maximum Scaled Value</t>
  </si>
  <si>
    <t>C-4930A Compressor X-Axis Velocity Vibration - PV Minimum Scaled Value</t>
  </si>
  <si>
    <t>vit_c4930a_03i</t>
  </si>
  <si>
    <t>VIT-C4930A-03I</t>
  </si>
  <si>
    <t>C-4930A Compressor Y-Axis Impact Vibration</t>
  </si>
  <si>
    <t>AnaAlarms[2].22</t>
  </si>
  <si>
    <t>C-4930A Compressor Y-Axis Impact Vibration - High Alarm</t>
  </si>
  <si>
    <t>VT_C4930A_03_I.HTimerAlert</t>
  </si>
  <si>
    <t>C-4930A Compressor Y-Axis Impact Vibration - High Alarm Delay</t>
  </si>
  <si>
    <t>AlarmSPWrite[102]</t>
  </si>
  <si>
    <t>C-4930A Compressor Y-Axis Impact Vibration - High Alarm Setpoint</t>
  </si>
  <si>
    <t>VT_C4930A_03_I.HSetpoint</t>
  </si>
  <si>
    <t>VT_C4930A_03_I.ProcessValue</t>
  </si>
  <si>
    <t>C-4930A Compressor Y-Axis Impact Vibration - Process Value</t>
  </si>
  <si>
    <t>C-4930A Compressor Y-Axis Impact Vibration - PV Maximum Scaled Value</t>
  </si>
  <si>
    <t>C-4930A Compressor Y-Axis Impact Vibration - PV Minimum Scaled Value</t>
  </si>
  <si>
    <t>vit_c4930a_03v</t>
  </si>
  <si>
    <t>VIT-C4930A-03V</t>
  </si>
  <si>
    <t>C-4930A Compressor Y-Axis Velocity Vibration</t>
  </si>
  <si>
    <t>AnaAlarms[2].2</t>
  </si>
  <si>
    <t>C-4930A Compressor Y-Axis Velocity Vibration - High Alarm</t>
  </si>
  <si>
    <t>VT_C4930A_03_V.HTimerAlert</t>
  </si>
  <si>
    <t>C-4930A Compressor Y-Axis Velocity Vibration - High Alarm Delay</t>
  </si>
  <si>
    <t>p_205a_b</t>
  </si>
  <si>
    <t>isf_level_stop</t>
  </si>
  <si>
    <t>P-205A/B</t>
  </si>
  <si>
    <t>ISF Feed Pumps</t>
  </si>
  <si>
    <t>ISF Level Permissive Stop Setpoint</t>
  </si>
  <si>
    <t>P205_ISF_LEVEL_DISABLE</t>
  </si>
  <si>
    <t>ISF Feed Pumps - ISF Level Permissive Stop Setpoint</t>
  </si>
  <si>
    <t>ALARM[5].1</t>
  </si>
  <si>
    <t>K-101A/B VRU PLC - Emergency Stop Pushbutton</t>
  </si>
  <si>
    <t>fv_v562a_3</t>
  </si>
  <si>
    <t>FV-V562A-3</t>
  </si>
  <si>
    <t>Eductor Charge Pumps Flow Control Valve</t>
  </si>
  <si>
    <t>FV_V562A_3_PID.MO</t>
  </si>
  <si>
    <t>Eductor Charge Pumps Flow Control Valve - Manual Mode</t>
  </si>
  <si>
    <t>FV_V562A_3_PID.KD</t>
  </si>
  <si>
    <t>Eductor Charge Pumps Flow Control Valve - Derivative</t>
  </si>
  <si>
    <t>AlarmSPWrite[82]</t>
  </si>
  <si>
    <t>C-4930A Compressor Y-Axis Velocity Vibration - High Alarm Setpoint</t>
  </si>
  <si>
    <t>VT_C4930A_03_V.HSetpoint</t>
  </si>
  <si>
    <t>AnaShtdwns[2].2</t>
  </si>
  <si>
    <t>VAHH-C4930A-03V</t>
  </si>
  <si>
    <t>C-4930A Compressor Y-Axis Velocity Vibration - High High Alarm</t>
  </si>
  <si>
    <t>VT_C4930A_03_V.HHTimerAlarm</t>
  </si>
  <si>
    <t>C-4930A Compressor Y-Axis Velocity Vibration - High High Alarm Delay</t>
  </si>
  <si>
    <t>ShtdwnSPWrite[82]</t>
  </si>
  <si>
    <t>C-4930A Compressor Y-Axis Velocity Vibration - High High Alarm Setpoint</t>
  </si>
  <si>
    <t>VT_C4930A_03_V.HHSetpoint</t>
  </si>
  <si>
    <t>VT_C4930A_03_V.ProcessValue</t>
  </si>
  <si>
    <t>C-4930A Compressor Y-Axis Velocity Vibration - Process Value</t>
  </si>
  <si>
    <t>C-4930A Compressor Y-Axis Velocity Vibration - PV Maximum Scaled Value</t>
  </si>
  <si>
    <t>C-4930A Compressor Y-Axis Velocity Vibration - PV Minimum Scaled Value</t>
  </si>
  <si>
    <t>vit_c4930a_04i</t>
  </si>
  <si>
    <t>VIT-C4930A-04I</t>
  </si>
  <si>
    <t>C-4930A Motor Impact Vibration</t>
  </si>
  <si>
    <t>AnaAlarms[2].24</t>
  </si>
  <si>
    <t>C-4930A Motor Impact Vibration - High Alarm</t>
  </si>
  <si>
    <t>VT_C4930A_04_I.HTimerAlert</t>
  </si>
  <si>
    <t>C-4930A Motor Impact Vibration - High Alarm Delay</t>
  </si>
  <si>
    <t>AlarmSPWrite[104]</t>
  </si>
  <si>
    <t>C-4930A Motor Impact Vibration - High Alarm Setpoint</t>
  </si>
  <si>
    <t>VT_C4930A_04_I.HSetpoint</t>
  </si>
  <si>
    <t>AnaShtdwns[2].22</t>
  </si>
  <si>
    <t>VAHH-C4930A-04I</t>
  </si>
  <si>
    <t>C-4930A Motor Impact Vibration - High High Alarm</t>
  </si>
  <si>
    <t>VT_C4930A_04_I.HHTimerAlarm</t>
  </si>
  <si>
    <t>C-4930A Motor Impact Vibration - High High Alarm Delay</t>
  </si>
  <si>
    <t>ShtdwnSPWrite[104]</t>
  </si>
  <si>
    <t>C-4930A Motor Impact Vibration - High High Alarm Setpoint</t>
  </si>
  <si>
    <t>VT_C4930A_04_I.HHSetpoint</t>
  </si>
  <si>
    <t>VT_C4930A_04_I.ProcessValue</t>
  </si>
  <si>
    <t>C-4930A Motor Impact Vibration - Process Value</t>
  </si>
  <si>
    <t>C-4930A Motor Impact Vibration - PV Maximum Scaled Value</t>
  </si>
  <si>
    <t>C-4930A Motor Impact Vibration - PV Minimum Scaled Value</t>
  </si>
  <si>
    <t>vit_c4930a_04v</t>
  </si>
  <si>
    <t>VIT-C4930A-04V</t>
  </si>
  <si>
    <t>C-4930A Motor Velocity Vibration</t>
  </si>
  <si>
    <t>AnaAlarms[2].4</t>
  </si>
  <si>
    <t>C-4930A Motor Velocity Vibration - High Alarm</t>
  </si>
  <si>
    <t>VT_C4930A_04_V.HTimerAlert</t>
  </si>
  <si>
    <t>C-4930A Motor Velocity Vibration - High Alarm Delay</t>
  </si>
  <si>
    <t>AlarmSPWrite[84]</t>
  </si>
  <si>
    <t>C-4930A Motor Velocity Vibration - High Alarm Setpoint</t>
  </si>
  <si>
    <t>VT_C4930A_04_V.HSetpoint</t>
  </si>
  <si>
    <t>AnaShtdwns[2].4</t>
  </si>
  <si>
    <t>VAHH-C4930A-04V</t>
  </si>
  <si>
    <t>C-4930A Motor Velocity Vibration - High High Alarm</t>
  </si>
  <si>
    <t>VT_C4930A_04_V.HHTimerAlarm</t>
  </si>
  <si>
    <t>C-4930A Motor Velocity Vibration - High High Alarm Delay</t>
  </si>
  <si>
    <t>ShtdwnSPWrite[84]</t>
  </si>
  <si>
    <t>C-4930A Motor Velocity Vibration - High High Alarm Setpoint</t>
  </si>
  <si>
    <t>VT_C4930A_04_V.HHSetpoint</t>
  </si>
  <si>
    <t>VT_C4930A_04_V.ProcessValue</t>
  </si>
  <si>
    <t>C-4930A Motor Velocity Vibration - Process Value</t>
  </si>
  <si>
    <t>C-4930A Motor Velocity Vibration - PV Maximum Scaled Value</t>
  </si>
  <si>
    <t>C-4930A Motor Velocity Vibration - PV Minimum Scaled Value</t>
  </si>
  <si>
    <t>vit_c4930b_02i</t>
  </si>
  <si>
    <t>VIT-C4930B-02I</t>
  </si>
  <si>
    <t>C-4930B Compressor X-Axis Impact Vibration</t>
  </si>
  <si>
    <t>AnaAlarms[2].26</t>
  </si>
  <si>
    <t>C-4930B Compressor X-Axis Impact Vibration - High Alarm</t>
  </si>
  <si>
    <t>VT_C4930B_02_I.HTimerAlert</t>
  </si>
  <si>
    <t>C-4930B Compressor X-Axis Impact Vibration - High Alarm Delay</t>
  </si>
  <si>
    <t>AlarmSPWrite[106]</t>
  </si>
  <si>
    <t>C-4930B Compressor X-Axis Impact Vibration - High Alarm Setpoint</t>
  </si>
  <si>
    <t>VT_C4930B_02_I.HSetpoint</t>
  </si>
  <si>
    <t>AnaShtdwns[2].24</t>
  </si>
  <si>
    <t>VAHH-C4930B-02I</t>
  </si>
  <si>
    <t>C-4930B Compressor X-Axis Impact Vibration - High High Alarm</t>
  </si>
  <si>
    <t>VT_C4930B_02_I.HHTimerAlarm</t>
  </si>
  <si>
    <t>C-4930B Compressor X-Axis Impact Vibration - High High Alarm Delay</t>
  </si>
  <si>
    <t>ShtdwnSPWrite[106]</t>
  </si>
  <si>
    <t>C-4930B Compressor X-Axis Impact Vibration - High High Alarm Setpoint</t>
  </si>
  <si>
    <t>VT_C4930B_02_I.HHSetpoint</t>
  </si>
  <si>
    <t>VT_C4930B_02_I.ProcessValue</t>
  </si>
  <si>
    <t>C-4930B Compressor X-Axis Impact Vibration - Process Value</t>
  </si>
  <si>
    <t>C-4930B Compressor X-Axis Impact Vibration - PV Maximum Scaled Value</t>
  </si>
  <si>
    <t>C-4930B Compressor X-Axis Impact Vibration - PV Minimum Scaled Value</t>
  </si>
  <si>
    <t>vit_c4930b_02v</t>
  </si>
  <si>
    <t>VIT-C4930B-02V</t>
  </si>
  <si>
    <t>C-4930B Compressor X-Axis Velocity Vibration</t>
  </si>
  <si>
    <t>AnaAlarms[2].6</t>
  </si>
  <si>
    <t>C-4930B Compressor X-Axis Velocity Vibration - High Alarm</t>
  </si>
  <si>
    <t>VT_C4930B_02_V.HTimerAlert</t>
  </si>
  <si>
    <t>C-4930B Compressor X-Axis Velocity Vibration - High Alarm Delay</t>
  </si>
  <si>
    <t>AlarmSPWrite[86]</t>
  </si>
  <si>
    <t>C-4930B Compressor X-Axis Velocity Vibration - High Alarm Setpoint</t>
  </si>
  <si>
    <t>VT_C4930B_02_V.HSetpoint</t>
  </si>
  <si>
    <t>AnaShtdwns[2].6</t>
  </si>
  <si>
    <t>VAHH-C4930B-02V</t>
  </si>
  <si>
    <t>C-4930B Compressor X-Axis Velocity Vibration - High High Alarm</t>
  </si>
  <si>
    <t>VT_C4930B_02_V.HHTimerAlarm</t>
  </si>
  <si>
    <t>C-4930B Compressor X-Axis Velocity Vibration - High High Alarm Delay</t>
  </si>
  <si>
    <t>ShtdwnSPWrite[86]</t>
  </si>
  <si>
    <t>C-4930B Compressor X-Axis Velocity Vibration - High High Alarm Setpoint</t>
  </si>
  <si>
    <t>VT_C4930B_02_V.HHSetpoint</t>
  </si>
  <si>
    <t>VT_C4930B_02_V.ProcessValue</t>
  </si>
  <si>
    <t>C-4930B Compressor X-Axis Velocity Vibration - Process Value</t>
  </si>
  <si>
    <t>C-4930B Compressor X-Axis Velocity Vibration - PV Maximum Scaled Value</t>
  </si>
  <si>
    <t>C-4930B Compressor X-Axis Velocity Vibration - PV Minimum Scaled Value</t>
  </si>
  <si>
    <t>vit_c4930b_03i</t>
  </si>
  <si>
    <t>VIT-C4930B-03I</t>
  </si>
  <si>
    <t>C-4930B Compressor Y-Axis Impact Vibration</t>
  </si>
  <si>
    <t>AnaAlarms[2].28</t>
  </si>
  <si>
    <t>C-4930B Compressor Y-Axis Impact Vibration - High Alarm</t>
  </si>
  <si>
    <t>VT_C4930B_03_I.HTimerAlert</t>
  </si>
  <si>
    <t>C-4930B Compressor Y-Axis Impact Vibration - High Alarm Delay</t>
  </si>
  <si>
    <t>AlarmSPWrite[108]</t>
  </si>
  <si>
    <t>C-4930B Compressor Y-Axis Impact Vibration - High Alarm Setpoint</t>
  </si>
  <si>
    <t>VT_C4930B_03_I.HSetpoint</t>
  </si>
  <si>
    <t>VT_C4930B_03_I.ProcessValue</t>
  </si>
  <si>
    <t>C-4930B Compressor Y-Axis Impact Vibration - Process Value</t>
  </si>
  <si>
    <t>C-4930B Compressor Y-Axis Impact Vibration - PV Maximum Scaled Value</t>
  </si>
  <si>
    <t>C-4930B Compressor Y-Axis Impact Vibration - PV Minimum Scaled Value</t>
  </si>
  <si>
    <t>vit_c4930b_03v</t>
  </si>
  <si>
    <t>VIT-C4930B-03V</t>
  </si>
  <si>
    <t>C-4930B Compressor Y-Axis Velocity Vibration</t>
  </si>
  <si>
    <t>AnaAlarms[2].8</t>
  </si>
  <si>
    <t>C-4930B Compressor Y-Axis Velocity Vibration - High Alarm</t>
  </si>
  <si>
    <t>VT_C4930B_03_V.HTimerAlert</t>
  </si>
  <si>
    <t>C-4930B Compressor Y-Axis Velocity Vibration - High Alarm Delay</t>
  </si>
  <si>
    <t>AlarmSPWrite[88]</t>
  </si>
  <si>
    <t>C-4930B Compressor Y-Axis Velocity Vibration - High Alarm Setpoint</t>
  </si>
  <si>
    <t>VT_C4930B_03_V.HSetpoint</t>
  </si>
  <si>
    <t>AnaShtdwns[2].8</t>
  </si>
  <si>
    <t>VAHH-C4930B-03V</t>
  </si>
  <si>
    <t>C-4930B Compressor Y-Axis Velocity Vibration - High High Alarm</t>
  </si>
  <si>
    <t>VT_C4930B_03_V.HHTimerAlarm</t>
  </si>
  <si>
    <t>C-4930B Compressor Y-Axis Velocity Vibration - High High Alarm Delay</t>
  </si>
  <si>
    <t>ShtdwnSPWrite[88]</t>
  </si>
  <si>
    <t>C-4930B Compressor Y-Axis Velocity Vibration - High High Alarm Setpoint</t>
  </si>
  <si>
    <t>VT_C4930B_03_V.HHSetpoint</t>
  </si>
  <si>
    <t>VT_C4930B_03_V.ProcessValue</t>
  </si>
  <si>
    <t>C-4930B Compressor Y-Axis Velocity Vibration - Process Value</t>
  </si>
  <si>
    <t>C-4930B Compressor Y-Axis Velocity Vibration - PV Maximum Scaled Value</t>
  </si>
  <si>
    <t>C-4930B Compressor Y-Axis Velocity Vibration - PV Minimum Scaled Value</t>
  </si>
  <si>
    <t>vit_c4930b_04i</t>
  </si>
  <si>
    <t>VIT-C4930B-04I</t>
  </si>
  <si>
    <t>C-4930B Motor Impact Vibration</t>
  </si>
  <si>
    <t>AnaAlarms[2].30</t>
  </si>
  <si>
    <t>C-4930B Motor Impact Vibration - High Alarm</t>
  </si>
  <si>
    <t>VT_C4930B_04_I.HTimerAlert</t>
  </si>
  <si>
    <t>C-4930B Motor Impact Vibration - High Alarm Delay</t>
  </si>
  <si>
    <t>AlarmSPWrite[110]</t>
  </si>
  <si>
    <t>C-4930B Motor Impact Vibration - High Alarm Setpoint</t>
  </si>
  <si>
    <t>VT_C4930B_04_I.HSetpoint</t>
  </si>
  <si>
    <t>AnaShtdwns[2].30</t>
  </si>
  <si>
    <t>VAHH-C4930B-04I</t>
  </si>
  <si>
    <t>C-4930B Motor Impact Vibration - High High Alarm</t>
  </si>
  <si>
    <t>VT_P135_1.VAH</t>
  </si>
  <si>
    <t>Disposal Pump Motor Outboard Vibration - High Alarm</t>
  </si>
  <si>
    <t>VT_P135_1.VAH_TMR</t>
  </si>
  <si>
    <t>Disposal Pump Motor Outboard Vibration - High Alarm Delay</t>
  </si>
  <si>
    <t>VT_P135_1.VAHH</t>
  </si>
  <si>
    <t>VAHH-P135-1</t>
  </si>
  <si>
    <t>Disposal Pump Motor Outboard Vibration - High High Alarm</t>
  </si>
  <si>
    <t>VT_P135_1.VAHH_TMR</t>
  </si>
  <si>
    <t>Disposal Pump Motor Outboard Vibration - High High Alarm Delay</t>
  </si>
  <si>
    <t>VT_P135_1.VALUE_IN_INCHES</t>
  </si>
  <si>
    <t>Disposal Pump Motor Outboard Vibration - Process Value</t>
  </si>
  <si>
    <t>VT_P135_2.VAH</t>
  </si>
  <si>
    <t>Disposal Pump Thrust Bearing Chamber Vibration - High Alarm</t>
  </si>
  <si>
    <t>VT_P135_2.VAH_TMR</t>
  </si>
  <si>
    <t>Disposal Pump Thrust Bearing Chamber Vibration - High Alarm Delay</t>
  </si>
  <si>
    <t>VT_P135_2.VAHH</t>
  </si>
  <si>
    <t>VAHH-P135-2</t>
  </si>
  <si>
    <t>Disposal Pump Thrust Bearing Chamber Vibration - High High Alarm</t>
  </si>
  <si>
    <t>VT_P135_2.VAHH_TMR</t>
  </si>
  <si>
    <t>Disposal Pump Thrust Bearing Chamber Vibration - High High Alarm Delay</t>
  </si>
  <si>
    <t>VT_P135_2.VALUE_IN_INCHES</t>
  </si>
  <si>
    <t>Disposal Pump Thrust Bearing Chamber Vibration - Process Value</t>
  </si>
  <si>
    <t>VT_C4930B_04_I.HHTimerAlarm</t>
  </si>
  <si>
    <t>C-4930B Motor Impact Vibration - High High Alarm Delay</t>
  </si>
  <si>
    <t>K-101A/B VRU PLC - Alarm Reset</t>
  </si>
  <si>
    <t>WRITEFLOAT[111]</t>
  </si>
  <si>
    <t>Wash Tank Overall Level - High High Alarm Setpoint</t>
  </si>
  <si>
    <t>WRITEFLOAT[112]</t>
  </si>
  <si>
    <t>Wash Tank Overall Level - High Alarm Setpoint</t>
  </si>
  <si>
    <t>WRITEFLOAT[113]</t>
  </si>
  <si>
    <t>Wash Tank Overall Level - Low Alarm Setpoint</t>
  </si>
  <si>
    <t>WRITEFLOAT[114]</t>
  </si>
  <si>
    <t>WRITEFLOAT[115]</t>
  </si>
  <si>
    <t>WRITEFLOAT[116]</t>
  </si>
  <si>
    <t>Wash Tank Interface Level - High Alarm Setpoint</t>
  </si>
  <si>
    <t>Wash Tank Interface Level - Low Alarm Setpoint</t>
  </si>
  <si>
    <t>WRITEFLOAT[120]</t>
  </si>
  <si>
    <t>WRITEFLOAT[121]</t>
  </si>
  <si>
    <t>WRITEFLOAT[122]</t>
  </si>
  <si>
    <t>WRITEFLOAT[125]</t>
  </si>
  <si>
    <t>WRITEFLOAT[126]</t>
  </si>
  <si>
    <t>WRITEFLOAT[127]</t>
  </si>
  <si>
    <t>WRITEFLOAT[128]</t>
  </si>
  <si>
    <t>WRITEFLOAT[129]</t>
  </si>
  <si>
    <t>Stock Tank Overall Level - High High Alarm Setpoint</t>
  </si>
  <si>
    <t>WRITEFLOAT[130]</t>
  </si>
  <si>
    <t>Stock Tank Overall Level - High Alarm Setpoint</t>
  </si>
  <si>
    <t>WRITEFLOAT[131]</t>
  </si>
  <si>
    <t>Stock Tank Overall Level - Low Alarm Setpoint</t>
  </si>
  <si>
    <t>WRITEFLOAT[132]</t>
  </si>
  <si>
    <t>WRITEFLOAT[133]</t>
  </si>
  <si>
    <t>WRITEFLOAT[134]</t>
  </si>
  <si>
    <t>WRITEFLOAT[135]</t>
  </si>
  <si>
    <t>WRITEFLOAT[136]</t>
  </si>
  <si>
    <t>WRITEFLOAT[137]</t>
  </si>
  <si>
    <t>WRITEFLOAT[138]</t>
  </si>
  <si>
    <t>WRITEFLOAT[139]</t>
  </si>
  <si>
    <t>isf_level_start</t>
  </si>
  <si>
    <t>ISF Level Permissive Start Setpoint</t>
  </si>
  <si>
    <t>P205_ISF_LEVEL_ENABLE</t>
  </si>
  <si>
    <t>ISF Feed Pumps - ISF Level Permissive Start Setpoint</t>
  </si>
  <si>
    <t>isf_level_permissive</t>
  </si>
  <si>
    <t>ISF Level Permissive</t>
  </si>
  <si>
    <t>0=Level Ok;1=ISF Level High</t>
  </si>
  <si>
    <t>LEVEL_TRANSMITTER[13].TMR[0].DN</t>
  </si>
  <si>
    <t>ISF Feed Pumps - ISF Level Permissive</t>
  </si>
  <si>
    <t>SD (P-205A/B)</t>
  </si>
  <si>
    <t>WRITEFLOAT[142]</t>
  </si>
  <si>
    <t>Stock Tank Level - Low Alarm Setpoint</t>
  </si>
  <si>
    <t>WRITEFLOAT[143]</t>
  </si>
  <si>
    <t>Stock Tank Level - Low Low Alarm Setpoint</t>
  </si>
  <si>
    <t>WRITEFLOAT[200]</t>
  </si>
  <si>
    <t>Production Inlet Separator Level - High High Alarm Setpoint</t>
  </si>
  <si>
    <t>WRITEFLOAT[201]</t>
  </si>
  <si>
    <t>Production Inlet Separator Level - High Alarm Setpoint</t>
  </si>
  <si>
    <t>WRITEFLOAT[202]</t>
  </si>
  <si>
    <t>Production Inlet Separator Level - Low Alarm Setpoint</t>
  </si>
  <si>
    <t>WRITEFLOAT[204]</t>
  </si>
  <si>
    <t>Production Inlet Separator Gas Out Pressure - High High Alarm Setpoint</t>
  </si>
  <si>
    <t>WRITEFLOAT[205]</t>
  </si>
  <si>
    <t>Production Inlet Separator Gas Out Pressure - High Alarm Setpoint</t>
  </si>
  <si>
    <t>WRITEFLOAT[206]</t>
  </si>
  <si>
    <t>Production Inlet Separator Gas Out Pressure - Low Alarm Setpoint</t>
  </si>
  <si>
    <t>WRITEFLOAT[209]</t>
  </si>
  <si>
    <t>P-125A Injection Booster Pump Suction Pressure - Low Low Alarm Setpoint</t>
  </si>
  <si>
    <t>P-125B Injection Booster Pump Suction Pressure - Low Low Alarm Setpoint</t>
  </si>
  <si>
    <t>1=Lead;2=Lag</t>
  </si>
  <si>
    <t>WRITEFLOAT[902]</t>
  </si>
  <si>
    <t>Vapor Recovery Sliding Vane Compressor - Lead/Lag Status</t>
  </si>
  <si>
    <t>P-125B Injection Booster Pump Suction Pressure - Low Alarm Setpoint</t>
  </si>
  <si>
    <t>WRITEFLOAT[211]</t>
  </si>
  <si>
    <t>P-125B Injection Booster Pump Discharge Pressure - High High Alarm Setpoint</t>
  </si>
  <si>
    <t>WRITEFLOAT[212]</t>
  </si>
  <si>
    <t>Process Cooler - Enable</t>
  </si>
  <si>
    <t>P-125B Injection Booster Pump Discharge Pressure - High Alarm Setpoint</t>
  </si>
  <si>
    <t>WRITEFLOAT[601]</t>
  </si>
  <si>
    <t>ISF Feed Pumps - Lead Start Setpoint</t>
  </si>
  <si>
    <t>WRITEFLOAT[216]</t>
  </si>
  <si>
    <t>P-125A Injection Booster Pump Suction Pressure - Low Alarm Setpoint</t>
  </si>
  <si>
    <t>WRITEFLOAT[217]</t>
  </si>
  <si>
    <t>P-125A Injection Booster Pump Discharge Pressure - High High Alarm Setpoint</t>
  </si>
  <si>
    <t>WRITEFLOAT[218]</t>
  </si>
  <si>
    <t>P-125A Injection Booster Pump Discharge Pressure - High Alarm Setpoint</t>
  </si>
  <si>
    <t>WRITEFLOAT[221]</t>
  </si>
  <si>
    <t>Injection Water Booster Pumps Discharge Flow - High High Alarm Setpoint</t>
  </si>
  <si>
    <t>Injection Water Booster Pumps Discharge Flow - High Alarm Setpoint</t>
  </si>
  <si>
    <t>FV_V562A_3_PID.KI</t>
  </si>
  <si>
    <t>Eductor Charge Pumps Flow Control Valve - Integral</t>
  </si>
  <si>
    <t>WRITEFLOAT[223]</t>
  </si>
  <si>
    <t>Injection Water Booster Pumps Discharge Flow - Low Alarm Setpoint</t>
  </si>
  <si>
    <t>WRITEFLOAT[224]</t>
  </si>
  <si>
    <t>Injection Water Booster Pumps Discharge Flow - Low Low Alarm Setpoint</t>
  </si>
  <si>
    <t>WRITEFLOAT[226]</t>
  </si>
  <si>
    <t>ISF Skim Pump Suction Pressure - Low Alarm Setpoint</t>
  </si>
  <si>
    <t>WRITEFLOAT[227]</t>
  </si>
  <si>
    <t>ISF Skim Pump Suction Pressure - Low Low Alarm Setpoint</t>
  </si>
  <si>
    <t>WRITEFLOAT[228]</t>
  </si>
  <si>
    <t>ISF Skim Pump Discharge Pressure - High Alarm Setpoint</t>
  </si>
  <si>
    <t>WRITEFLOAT[229]</t>
  </si>
  <si>
    <t>ISF Skim Pump Discharge Pressure - High High Alarm Setpoint</t>
  </si>
  <si>
    <t>k_101a_b</t>
  </si>
  <si>
    <t>K-101A/B</t>
  </si>
  <si>
    <t>Vapor Recovery Sliding Vane Compressors</t>
  </si>
  <si>
    <t>Lead Compressor Call</t>
  </si>
  <si>
    <t>BIT[6].28</t>
  </si>
  <si>
    <t>Vapor Recovery Sliding Vane Compressors - Lead Compressor Call</t>
  </si>
  <si>
    <t>Lag Compressor Call</t>
  </si>
  <si>
    <t>BIT[6].29</t>
  </si>
  <si>
    <t>Vapor Recovery Sliding Vane Compressors - Lag Compressor Call</t>
  </si>
  <si>
    <t>WRITEFLOAT[231]</t>
  </si>
  <si>
    <t>P-205A ISF Feed Pump Suction Pressure - Low Low Alarm Setpoint</t>
  </si>
  <si>
    <t>P-205A ISF Feed Pump Suction Pressure - Low Alarm Setpoint</t>
  </si>
  <si>
    <t>FV_V562A_3_PID.KP</t>
  </si>
  <si>
    <t>Eductor Charge Pumps Flow Control Valve - Proportional</t>
  </si>
  <si>
    <t>WRITEFLOAT[233]</t>
  </si>
  <si>
    <t>P-205A ISF Feed Pump Discharge Pressure - High High Alarm Setpoint</t>
  </si>
  <si>
    <t>WRITEFLOAT[234]</t>
  </si>
  <si>
    <t>P-205A ISF Feed Pump Discharge Pressure - High Alarm Setpoint</t>
  </si>
  <si>
    <t>P-205B ISF Feed Pump Discharge Pressure - High Alarm Setpoint</t>
  </si>
  <si>
    <t>WRITEFLOAT[236]</t>
  </si>
  <si>
    <t>P-205B ISF Feed Pump Suction Pressure - Low Low Alarm Setpoint</t>
  </si>
  <si>
    <t>WRITEFLOAT[237]</t>
  </si>
  <si>
    <t>P-205B ISF Feed Pump Suction Pressure - Low Alarm Setpoint</t>
  </si>
  <si>
    <t>WRITEFLOAT[238]</t>
  </si>
  <si>
    <t>P-205B ISF Feed Pump Discharge Pressure - High High Alarm Setpoint</t>
  </si>
  <si>
    <t>WRITEFLOAT[240]</t>
  </si>
  <si>
    <t>P-205B ISF Feed Pump Discharge Pressure - Low Low Alarm Setpoint</t>
  </si>
  <si>
    <t>WRITEFLOAT[241]</t>
  </si>
  <si>
    <t>ISF Feed Pumps Discharge Flow - High High Alarm Setpoint</t>
  </si>
  <si>
    <t>WRITEFLOAT[242]</t>
  </si>
  <si>
    <t>ISF Feed Pumps Discharge Flow - High Alarm Setpoint</t>
  </si>
  <si>
    <t>WRITEFLOAT[243]</t>
  </si>
  <si>
    <t>ISF Feed Pumps Discharge Flow - Low Alarm Setpoint</t>
  </si>
  <si>
    <t>WRITEFLOAT[246]</t>
  </si>
  <si>
    <t>P-210A ISF Transfer Pump Suction Pressure - Low Alarm Setpoint</t>
  </si>
  <si>
    <t>WRITEFLOAT[247]</t>
  </si>
  <si>
    <t>P-210A ISF Transfer Pump Suction Pressure - Low Low Alarm Setpoint</t>
  </si>
  <si>
    <t>WRITEFLOAT[248]</t>
  </si>
  <si>
    <t>P-210A ISF Transfer Pump Discharge Pressure - High Alarm Setpoint</t>
  </si>
  <si>
    <t>WRITEFLOAT[249]</t>
  </si>
  <si>
    <t>P-210A ISF Transfer Pump Discharge Pressure - High High Alarm Setpoint</t>
  </si>
  <si>
    <t>WRITEFLOAT[250]</t>
  </si>
  <si>
    <t>P-210B ISF Transfer Pump Suction Pressure - Low Low Alarm Setpoint</t>
  </si>
  <si>
    <t>WRITEFLOAT[251]</t>
  </si>
  <si>
    <t>P-210B ISF Transfer Pump Suction Pressure - Low Alarm Setpoint</t>
  </si>
  <si>
    <t>WRITEFLOAT[252]</t>
  </si>
  <si>
    <t>P-210B ISF Transfer Pump Discharge Pressure - High High Alarm Setpoint</t>
  </si>
  <si>
    <t>WRITEFLOAT[253]</t>
  </si>
  <si>
    <t>P-210B ISF Transfer Pump Discharge Pressure - High Alarm Setpoint</t>
  </si>
  <si>
    <t>WRITEFLOAT[268]</t>
  </si>
  <si>
    <t>ISF Eductor Water Flow - High High Alarm Setpoint</t>
  </si>
  <si>
    <t>WRITEFLOAT[269]</t>
  </si>
  <si>
    <t>ISF Eductor Water Flow - High Alarm Setpoint</t>
  </si>
  <si>
    <t>WRITEFLOAT[270]</t>
  </si>
  <si>
    <t>ISF Eductor Water Flow - Low Alarm Setpoint</t>
  </si>
  <si>
    <t>WRITEFLOAT[271]</t>
  </si>
  <si>
    <t>ISF Eductor Water Flow - Low Low Alarm Setpoint</t>
  </si>
  <si>
    <t>WRITEFLOAT[272]</t>
  </si>
  <si>
    <t>P-145A Backwash Pump Suction Pressure - Low Alarm Setpoint</t>
  </si>
  <si>
    <t>WRITEFLOAT[273]</t>
  </si>
  <si>
    <t>P-145A Backwash Pump Discharge Pressure - High High Alarm Setpoint</t>
  </si>
  <si>
    <t>WRITEFLOAT[274]</t>
  </si>
  <si>
    <t>P-145A Backwash Pump Discharge Pressure - High Alarm Setpoint</t>
  </si>
  <si>
    <t>WRITEFLOAT[275]</t>
  </si>
  <si>
    <t>P-145A Backwash Pump Suction Pressure - Low Low Alarm Setpoint</t>
  </si>
  <si>
    <t>WRITEFLOAT[277]</t>
  </si>
  <si>
    <t>P-145B Backwash Pump Discharge Pressure - High High Alarm Setpoint</t>
  </si>
  <si>
    <t>WRITEFLOAT[278]</t>
  </si>
  <si>
    <t>P-145B Backwash Pump Discharge Pressure - High Alarm Setpoint</t>
  </si>
  <si>
    <t>WRITEFLOAT[282]</t>
  </si>
  <si>
    <t>Dirty Backwash Pumps Discharge Flow - High High Alarm Setpoint</t>
  </si>
  <si>
    <t>WRITEFLOAT[283]</t>
  </si>
  <si>
    <t>Dirty Backwash Pumps Discharge Flow - High Alarm Setpoint</t>
  </si>
  <si>
    <t>WRITEFLOAT[284]</t>
  </si>
  <si>
    <t>Dirty Backwash Pumps Discharge Flow - Low Alarm Setpoint</t>
  </si>
  <si>
    <t>WRITEFLOAT[285]</t>
  </si>
  <si>
    <t>Dirty Backwash Pumps Discharge Flow - Low Low Alarm Setpoint</t>
  </si>
  <si>
    <t>WRITEFLOAT[288]</t>
  </si>
  <si>
    <t>Disposal Pump Suction Pressure - Low Low Alarm Setpoint</t>
  </si>
  <si>
    <t>WRITEFLOAT[289]</t>
  </si>
  <si>
    <t>Disposal Pump Suction Pressure - Low Alarm Setpoint</t>
  </si>
  <si>
    <t>WRITEFLOAT[290]</t>
  </si>
  <si>
    <t>Disposal Pump Discharge Pressure - High High Alarm Setpoint</t>
  </si>
  <si>
    <t>WRITEFLOAT[291]</t>
  </si>
  <si>
    <t>Disposal Pump Discharge Pressure - High Alarm Setpoint</t>
  </si>
  <si>
    <t>WRITEFLOAT[292]</t>
  </si>
  <si>
    <t>Disposal Pump Discharge Pressure - Low Alarm Setpoint</t>
  </si>
  <si>
    <t>WRITEFLOAT[295]</t>
  </si>
  <si>
    <t>WRITEFLOAT[296]</t>
  </si>
  <si>
    <t>WRITEFLOAT[297]</t>
  </si>
  <si>
    <t>P-135 Discharge Disposal Well Supply Pressure - High Alarm Setpoint</t>
  </si>
  <si>
    <t>WRITEFLOAT[298]</t>
  </si>
  <si>
    <t>P-135 Discharge Disposal Well Supply Pressure - Low Alarm Setpoint</t>
  </si>
  <si>
    <t>tanks</t>
  </si>
  <si>
    <t>t_11</t>
  </si>
  <si>
    <t>T-11</t>
  </si>
  <si>
    <t>Wash Tank</t>
  </si>
  <si>
    <t>Tank Mode Selection</t>
  </si>
  <si>
    <t>1=Wash Tank;3=Out of Service</t>
  </si>
  <si>
    <t>WRITEFLOAT[3]</t>
  </si>
  <si>
    <t>Wash Tank - Tank Mode Selection</t>
  </si>
  <si>
    <t>WRITEFLOAT[300]</t>
  </si>
  <si>
    <t>Jet Wash Supply Pressure - High Alarm Setpoint</t>
  </si>
  <si>
    <t>WRITEFLOAT[302]</t>
  </si>
  <si>
    <t>Disposal Pump Motor Outboard Vibration - High High Alarm Setpoint</t>
  </si>
  <si>
    <t>WRITEFLOAT[303]</t>
  </si>
  <si>
    <t>Disposal Pump Motor Outboard Vibration - High Alarm Setpoint</t>
  </si>
  <si>
    <t>WRITEFLOAT[304]</t>
  </si>
  <si>
    <t>Disposal Pump Thrust Bearing Chamber Vibration - High High Alarm Setpoint</t>
  </si>
  <si>
    <t>WRITEFLOAT[305]</t>
  </si>
  <si>
    <t>Disposal Pump Thrust Bearing Chamber Vibration - High Alarm Setpoint</t>
  </si>
  <si>
    <t>WRITEFLOAT[306]</t>
  </si>
  <si>
    <t>Disposal Pump Discharge Flow - High High Alarm Setpoint</t>
  </si>
  <si>
    <t>WRITEFLOAT[307]</t>
  </si>
  <si>
    <t>Disposal Pump Discharge Flow - High Alarm Setpoint</t>
  </si>
  <si>
    <t>WRITEFLOAT[308]</t>
  </si>
  <si>
    <t>Disposal Pump Discharge Flow - Low Alarm Setpoint</t>
  </si>
  <si>
    <t>WRITEFLOAT[309]</t>
  </si>
  <si>
    <t>Disposal Pump Discharge Flow - Low Low Alarm Setpoint</t>
  </si>
  <si>
    <t>WRITEFLOAT[351]</t>
  </si>
  <si>
    <t>Injection Tank Level - High High Alarm Setpoint</t>
  </si>
  <si>
    <t>WRITEFLOAT[352]</t>
  </si>
  <si>
    <t>Injection Tank Level - High Alarm Setpoint</t>
  </si>
  <si>
    <t>WRITEFLOAT[353]</t>
  </si>
  <si>
    <t>Injection Tank Level - Low Alarm Setpoint</t>
  </si>
  <si>
    <t>WRITEFLOAT[357]</t>
  </si>
  <si>
    <t>Injection Tank Pressure - High Alarm Setpoint</t>
  </si>
  <si>
    <t>WRITEFLOAT[358]</t>
  </si>
  <si>
    <t>Injection Tank Pressure - Low Alarm Setpoint</t>
  </si>
  <si>
    <t>WRITEFLOAT[360]</t>
  </si>
  <si>
    <t>WRITEFLOAT[361]</t>
  </si>
  <si>
    <t>WRITEFLOAT[362]</t>
  </si>
  <si>
    <t>WRITEFLOAT[366]</t>
  </si>
  <si>
    <t>WRITEFLOAT[367]</t>
  </si>
  <si>
    <t>WRITEFLOAT[369]</t>
  </si>
  <si>
    <t>Dirty Backwash Tank Level - High High Alarm Setpoint</t>
  </si>
  <si>
    <t>WRITEFLOAT[370]</t>
  </si>
  <si>
    <t>Dirty Backwash Tank Level - High Alarm Setpoint</t>
  </si>
  <si>
    <t>WRITEFLOAT[371]</t>
  </si>
  <si>
    <t>Dirty Backwash Tank Level - Low Alarm Setpoint</t>
  </si>
  <si>
    <t>WRITEFLOAT[375]</t>
  </si>
  <si>
    <t>Dirty Backwash Tank Pressure - High Alarm Setpoint</t>
  </si>
  <si>
    <t>WRITEFLOAT[376]</t>
  </si>
  <si>
    <t>Dirty Backwash Tank Pressure - Low Alarm Setpoint</t>
  </si>
  <si>
    <t>WRITEFLOAT[378]</t>
  </si>
  <si>
    <t>WRITEFLOAT[379]</t>
  </si>
  <si>
    <t>WRITEFLOAT[380]</t>
  </si>
  <si>
    <t>WRITEFLOAT[384]</t>
  </si>
  <si>
    <t>WRITEFLOAT[385]</t>
  </si>
  <si>
    <t>WRITEFLOAT[387]</t>
  </si>
  <si>
    <t>Tank Vapor Header Pressure Near T-150 - High Alarm Setpoint</t>
  </si>
  <si>
    <t>WRITEFLOAT[388]</t>
  </si>
  <si>
    <t>Tank Vapor Header Pressure Near T-150 - Low Alarm Setpoint</t>
  </si>
  <si>
    <t>WRITEFLOAT[394]</t>
  </si>
  <si>
    <t>ISF Water Inlet Flow - High Alarm Setpoint</t>
  </si>
  <si>
    <t>WRITEFLOAT[395]</t>
  </si>
  <si>
    <t>ISF Water Inlet Flow - Low Alarm Setpoint</t>
  </si>
  <si>
    <t>WRITEFLOAT[396]</t>
  </si>
  <si>
    <t>ISF Oil Weir Level - High Alarm Setpoint</t>
  </si>
  <si>
    <t>WRITEFLOAT[397]</t>
  </si>
  <si>
    <t>ISF Water Level - Low Alarm Setpoint</t>
  </si>
  <si>
    <t>WRITEFLOAT[399]</t>
  </si>
  <si>
    <t>ISF Oil Weir Level - Low Alarm Setpoint</t>
  </si>
  <si>
    <t>t_109</t>
  </si>
  <si>
    <t>T-109</t>
  </si>
  <si>
    <t>WRITEFLOAT[4]</t>
  </si>
  <si>
    <t>t_110</t>
  </si>
  <si>
    <t>T-110</t>
  </si>
  <si>
    <t>Stock Tank</t>
  </si>
  <si>
    <t>1=Wash Tank;2=Stock Tank;3=Out of Service</t>
  </si>
  <si>
    <t>WRITEFLOAT[5]</t>
  </si>
  <si>
    <t>Stock Tank - Tank Mode Selection</t>
  </si>
  <si>
    <t>WRITEFLOAT[602]</t>
  </si>
  <si>
    <t>ISF Feed Pumps - Lag Start Setpoint</t>
  </si>
  <si>
    <t>ISF Feed Pumps - Lead Stop Setpoint</t>
  </si>
  <si>
    <t>WRITEFLOAT[529]</t>
  </si>
  <si>
    <t>P-106 Discharge Oil BS&amp;W - High High Alarm Setpoint</t>
  </si>
  <si>
    <t>WRITEFLOAT[530]</t>
  </si>
  <si>
    <t>P-106 Discharge Oil BS&amp;W - High Alarm Setpoint</t>
  </si>
  <si>
    <t>WRITEFLOAT[622]</t>
  </si>
  <si>
    <t>ISF Feed Pumps - Lag Stop Setpoint</t>
  </si>
  <si>
    <t>1=P-205A Lead;2=P-205B Lead</t>
  </si>
  <si>
    <t>WRITEFLOAT[918]</t>
  </si>
  <si>
    <t>ISF Feed Pumps - Lead/Lag Status</t>
  </si>
  <si>
    <t>t_102</t>
  </si>
  <si>
    <t>T-102</t>
  </si>
  <si>
    <t>Drain Tank</t>
  </si>
  <si>
    <t>2=Drain Tank;3=Out of Service</t>
  </si>
  <si>
    <t>WRITEFLOAT[568]</t>
  </si>
  <si>
    <t>Drain Tank - Tank Mode Selection</t>
  </si>
  <si>
    <t>PUMPS_FEEDWATER[1].Fail_to_Run_alarm</t>
  </si>
  <si>
    <t>BIT[1].12</t>
  </si>
  <si>
    <t>p_210a</t>
  </si>
  <si>
    <t>P-210A</t>
  </si>
  <si>
    <t>ISF Transfer Pump</t>
  </si>
  <si>
    <t>ISF Transfer Pump - Lead/Lag Status</t>
  </si>
  <si>
    <t>t_108</t>
  </si>
  <si>
    <t>T-108</t>
  </si>
  <si>
    <t>2=Stock Tank;3=Out of Service</t>
  </si>
  <si>
    <t>WRITEFLOAT[6]</t>
  </si>
  <si>
    <t>FV_V562A_3_PID.MAXO</t>
  </si>
  <si>
    <t>Eductor Charge Pumps Flow Control Valve - Maximum CV</t>
  </si>
  <si>
    <t>PUMPS_FEEDWATER[1].MOTOR_RUN_BIT</t>
  </si>
  <si>
    <t>RACK01_SLOT_11_TABLE[0].3</t>
  </si>
  <si>
    <t>REMOTE_IO:11:I.Data.2</t>
  </si>
  <si>
    <t>WRITEFLOAT[644]</t>
  </si>
  <si>
    <t>FV_V562A_3_PID.MINO</t>
  </si>
  <si>
    <t>Eductor Charge Pumps Flow Control Valve - Minimum CV</t>
  </si>
  <si>
    <t>PUMPS_TRANSFER[0].Fail_to_Run_alarm</t>
  </si>
  <si>
    <t>ISF Transfer Pump - Run Fail</t>
  </si>
  <si>
    <t>BIT[2].10</t>
  </si>
  <si>
    <t>ISF Transfer Pump - Permissive Status</t>
  </si>
  <si>
    <t>p_210b</t>
  </si>
  <si>
    <t>P-210B</t>
  </si>
  <si>
    <t>PUMPS_TRANSFER[0].MOTOR_RUN_BIT</t>
  </si>
  <si>
    <t>ISF Transfer Pump - Run Command</t>
  </si>
  <si>
    <t>RACK01_SLOT_11_TABLE[0].5</t>
  </si>
  <si>
    <t>ISF Transfer Pump - Run Status</t>
  </si>
  <si>
    <t>REMOTE_IO:11:I.Data.4</t>
  </si>
  <si>
    <t>ISF Transfer Pump - Auto Status</t>
  </si>
  <si>
    <t>WRITEFLOAT[645]</t>
  </si>
  <si>
    <t>ISF Transfer Pump - Enable</t>
  </si>
  <si>
    <t>p_210a_b</t>
  </si>
  <si>
    <t>P-210A/B</t>
  </si>
  <si>
    <t>ISF Transfer Pumps</t>
  </si>
  <si>
    <t>0=ISF Level Too Low;1=Level Ok</t>
  </si>
  <si>
    <t>BIT[1].10</t>
  </si>
  <si>
    <t>ISF Transfer Pumps - ISF Level Permissive</t>
  </si>
  <si>
    <t>WRITEFLOAT[592]</t>
  </si>
  <si>
    <t>ISF Transfer Pumps - Lead Stop Setpoint</t>
  </si>
  <si>
    <t>WRITEFLOAT[594]</t>
  </si>
  <si>
    <t>ISF Transfer Pumps - Lead Start Setpoint</t>
  </si>
  <si>
    <t>t_120</t>
  </si>
  <si>
    <t>T-120</t>
  </si>
  <si>
    <t>Injection Water Tank</t>
  </si>
  <si>
    <t>1=Inection Water Tank;3=Out of Service</t>
  </si>
  <si>
    <t>WRITEFLOAT[7]</t>
  </si>
  <si>
    <t>Injection Water Tank - Tank Mode Selection</t>
  </si>
  <si>
    <t>t_140</t>
  </si>
  <si>
    <t>T-140</t>
  </si>
  <si>
    <t>Dirty Backwash Tank</t>
  </si>
  <si>
    <t>1=Backwash Tank;3=Out Of Service</t>
  </si>
  <si>
    <t>WRITEFLOAT[72]</t>
  </si>
  <si>
    <t>Dirty Backwash Tank - Tank Mode Selection</t>
  </si>
  <si>
    <t>t_150</t>
  </si>
  <si>
    <t>T-150</t>
  </si>
  <si>
    <t>WRITEFLOAT[73]</t>
  </si>
  <si>
    <t>t_120_130</t>
  </si>
  <si>
    <t>tank_select</t>
  </si>
  <si>
    <t>T-120/130</t>
  </si>
  <si>
    <t>Injection Water Tanks</t>
  </si>
  <si>
    <t>Selected Tank</t>
  </si>
  <si>
    <t>1=T-120;2=T-130</t>
  </si>
  <si>
    <t>WRITEFLOAT[74]</t>
  </si>
  <si>
    <t>Injection Water Tanks - Selected Tank</t>
  </si>
  <si>
    <t>WRITEFLOAT[797]</t>
  </si>
  <si>
    <t>Disposal Pump Speed Controller - Maximum Setpoint</t>
  </si>
  <si>
    <t>FV_V562A_3_PID.OUT</t>
  </si>
  <si>
    <t>Eductor Charge Pumps Flow Control Valve - Control Variable</t>
  </si>
  <si>
    <t>FV_V562A_3_PID.PV</t>
  </si>
  <si>
    <t>Eductor Charge Pumps Flow Control Valve - Process Variable</t>
  </si>
  <si>
    <t>t_130</t>
  </si>
  <si>
    <t>T-130</t>
  </si>
  <si>
    <t>WRITEFLOAT[8]</t>
  </si>
  <si>
    <t>FV_V562A_3_PID.SO</t>
  </si>
  <si>
    <t>Eductor Charge Pumps Flow Control Valve - Manual Output</t>
  </si>
  <si>
    <t>FV_V562A_3_PID.SP</t>
  </si>
  <si>
    <t>Eductor Charge Pumps Flow Control Valve - Setpoint</t>
  </si>
  <si>
    <t>FV_V562A_3_PID.SWM</t>
  </si>
  <si>
    <t>Eductor Charge Pumps Flow Control Valve - Auto/Manual Mode</t>
  </si>
  <si>
    <t>WRITEFLOAT[817]</t>
  </si>
  <si>
    <t>WRITEFLOAT[818]</t>
  </si>
  <si>
    <t>WRITEFLOAT[820]</t>
  </si>
  <si>
    <t>ISF Transfer Pumps - ISF Level Permissive Start Setpoint</t>
  </si>
  <si>
    <t>WRITEFLOAT[821]</t>
  </si>
  <si>
    <t>ISF Transfer Pumps - ISF Level Permissive Stop Setpoint</t>
  </si>
  <si>
    <t>WRITEFLOAT[813]</t>
  </si>
  <si>
    <t>WRITEFLOAT[220]</t>
  </si>
  <si>
    <t>Vapor Recovery Sliding Vane Compressors - Lead Start Setpoint</t>
  </si>
  <si>
    <t>Vapor Recovery Sliding Vane Compressors - Lag Start Setpoint</t>
  </si>
  <si>
    <t>PUMPS_TRANSFER[1].Fail_to_Run_alarm</t>
  </si>
  <si>
    <t>BIT[2].11</t>
  </si>
  <si>
    <t>XA_TMR[16]</t>
  </si>
  <si>
    <t>V-101 Suction Scrubber Level Switch High - Alarm Delay</t>
  </si>
  <si>
    <t>XA_TMR[18]</t>
  </si>
  <si>
    <t>V-102 Discharge Scrubber Level Switch High - Alarm Delay</t>
  </si>
  <si>
    <t>XA_TMR[21]</t>
  </si>
  <si>
    <t>P-106 Discharge Oil BS&amp;W - High High Alarm Delay</t>
  </si>
  <si>
    <t>XA_TMR[22]</t>
  </si>
  <si>
    <t>P-106 Discharge Oil BS&amp;W - High Alarm Delay</t>
  </si>
  <si>
    <t>p_563a_1</t>
  </si>
  <si>
    <t>P-563A-1</t>
  </si>
  <si>
    <t>ISF Eductor Charge Pump</t>
  </si>
  <si>
    <t>ISF Eductor Charge Pump - Lead/Lag Status</t>
  </si>
  <si>
    <t>PUMPS_TRANSFER[1].MOTOR_RUN_BIT</t>
  </si>
  <si>
    <t>WRITEFLOAT[230]</t>
  </si>
  <si>
    <t>Vapor Recovery Sliding Vane Compressors - Lead Stop Setpoint</t>
  </si>
  <si>
    <t>Vapor Recovery Sliding Vane Compressors - Lag Stop Setpoint</t>
  </si>
  <si>
    <t>k_101b</t>
  </si>
  <si>
    <t>K-101B</t>
  </si>
  <si>
    <t>ALARM[4].26</t>
  </si>
  <si>
    <t>BIT[0].7</t>
  </si>
  <si>
    <t>SLOT_4_24_VDC_INPUT_TABLE[0].3</t>
  </si>
  <si>
    <t>fv_p205</t>
  </si>
  <si>
    <t>FV-P205</t>
  </si>
  <si>
    <t>IGF Bypass Flow Control Valve</t>
  </si>
  <si>
    <t>LY_WASH_TK_LVL.MO</t>
  </si>
  <si>
    <t>IGF Bypass Flow Control Valve - Manual Mode</t>
  </si>
  <si>
    <t>LY_WASH_TK_LVL.KD</t>
  </si>
  <si>
    <t>IGF Bypass Flow Control Valve - Derivative</t>
  </si>
  <si>
    <t>LY_WASH_TK_LVL.KI</t>
  </si>
  <si>
    <t>IGF Bypass Flow Control Valve - Integral</t>
  </si>
  <si>
    <t>LY_WASH_TK_LVL.KP</t>
  </si>
  <si>
    <t>IGF Bypass Flow Control Valve - Proportional</t>
  </si>
  <si>
    <t>LY_WASH_TK_LVL.MAXO</t>
  </si>
  <si>
    <t>IGF Bypass Flow Control Valve - Maximum CV</t>
  </si>
  <si>
    <t>LY_WASH_TK_LVL.MAXS</t>
  </si>
  <si>
    <t>IGF Bypass Flow Control Valve - Maximum Setpoint</t>
  </si>
  <si>
    <t>LY_WASH_TK_LVL.MINO</t>
  </si>
  <si>
    <t>IGF Bypass Flow Control Valve - Minimum CV</t>
  </si>
  <si>
    <t>LY_WASH_TK_LVL.MINS</t>
  </si>
  <si>
    <t>IGF Bypass Flow Control Valve - Minimum Setpoint</t>
  </si>
  <si>
    <t>LY_WASH_TK_LVL.OUT</t>
  </si>
  <si>
    <t>IGF Bypass Flow Control Valve - Control Variable</t>
  </si>
  <si>
    <t>LY_WASH_TK_LVL.PV</t>
  </si>
  <si>
    <t>IGF Bypass Flow Control Valve - Process Variable</t>
  </si>
  <si>
    <t>LY_WASH_TK_LVL.SO</t>
  </si>
  <si>
    <t>IGF Bypass Flow Control Valve - Manual Output</t>
  </si>
  <si>
    <t>LY_WASH_TK_LVL.SP</t>
  </si>
  <si>
    <t>IGF Bypass Flow Control Valve - Setpoint</t>
  </si>
  <si>
    <t>LY_WASH_TK_LVL.SWM</t>
  </si>
  <si>
    <t>IGF Bypass Flow Control Valve - Auto/Manual Mode</t>
  </si>
  <si>
    <t>SLOT_6_24_VDC_OUTPUT_TABLE[0].3</t>
  </si>
  <si>
    <t>WRITEFLOAT[903]</t>
  </si>
  <si>
    <t>fv_p145</t>
  </si>
  <si>
    <t>FV-P145</t>
  </si>
  <si>
    <t>Dirty Backwash Pumps Discharge Flow Control</t>
  </si>
  <si>
    <t>FY_P145_PID.KD</t>
  </si>
  <si>
    <t>Dirty Backwash Pumps Discharge Flow Control - Derivative</t>
  </si>
  <si>
    <t>FY_P145_PID.KI</t>
  </si>
  <si>
    <t>Dirty Backwash Pumps Discharge Flow Control - Integral</t>
  </si>
  <si>
    <t>FY_P145_PID.KP</t>
  </si>
  <si>
    <t>Dirty Backwash Pumps Discharge Flow Control - Proportional</t>
  </si>
  <si>
    <t>FY_P145_PID.MAXO</t>
  </si>
  <si>
    <t>Dirty Backwash Pumps Discharge Flow Control - Maximum CV</t>
  </si>
  <si>
    <t>FY_P145_PID.MINO</t>
  </si>
  <si>
    <t>Dirty Backwash Pumps Discharge Flow Control - Minimum CV</t>
  </si>
  <si>
    <t>FY_P145_PID.OUT</t>
  </si>
  <si>
    <t>Dirty Backwash Pumps Discharge Flow Control - Control Variable</t>
  </si>
  <si>
    <t>FY_P145_PID.PV</t>
  </si>
  <si>
    <t>Dirty Backwash Pumps Discharge Flow Control - Process Variable</t>
  </si>
  <si>
    <t>FY_P145_PID.SO</t>
  </si>
  <si>
    <t>Dirty Backwash Pumps Discharge Flow Control - Manual Output</t>
  </si>
  <si>
    <t>FY_P145_PID.SP</t>
  </si>
  <si>
    <t>Dirty Backwash Pumps Discharge Flow Control - Setpoint</t>
  </si>
  <si>
    <t>FY_P145_PID.SWM</t>
  </si>
  <si>
    <t>Dirty Backwash Pumps Discharge Flow Control - Auto/Manual Mode</t>
  </si>
  <si>
    <t>WRITEFLOAT[805]</t>
  </si>
  <si>
    <t>fv_p125</t>
  </si>
  <si>
    <t>FV-P125</t>
  </si>
  <si>
    <t>Injection Charge Pumps Recycle Control Valve</t>
  </si>
  <si>
    <t>FV_P125_PID.KD</t>
  </si>
  <si>
    <t>Injection Charge Pumps Recycle Control Valve - Derivative</t>
  </si>
  <si>
    <t>FV_P125_PID.KI</t>
  </si>
  <si>
    <t>Injection Charge Pumps Recycle Control Valve - Integral</t>
  </si>
  <si>
    <t>FV_P125_PID.KP</t>
  </si>
  <si>
    <t>Injection Charge Pumps Recycle Control Valve - Proportional</t>
  </si>
  <si>
    <t>FV_P125_PID.MAXO</t>
  </si>
  <si>
    <t>Injection Charge Pumps Recycle Control Valve - Maximum CV</t>
  </si>
  <si>
    <t>RACK01_SLOT_11_TABLE[0].7</t>
  </si>
  <si>
    <t>REMOTE_IO:11:I.Data.6</t>
  </si>
  <si>
    <t>WRITEFLOAT[646]</t>
  </si>
  <si>
    <t>p_215</t>
  </si>
  <si>
    <t>P-215</t>
  </si>
  <si>
    <t>ISF Skim Pump</t>
  </si>
  <si>
    <t>PUMPS_SKIM[0].Fail_to_Run_alarm</t>
  </si>
  <si>
    <t>ISF Skim Pump - Run Fail</t>
  </si>
  <si>
    <t>PUMPS_SKIM[0].MOTOR_RUN_BIT</t>
  </si>
  <si>
    <t>ISF Skim Pump - Run Command</t>
  </si>
  <si>
    <t>RACK01_SLOT_11_TABLE[0].9</t>
  </si>
  <si>
    <t>ISF Skim Pump - Run Status</t>
  </si>
  <si>
    <t>REMOTE_IO:11:I.Data.8</t>
  </si>
  <si>
    <t>ISF Skim Pump - Auto Status</t>
  </si>
  <si>
    <t>WRITEFLOAT[615]</t>
  </si>
  <si>
    <t>ISF Skim Pump - Start Setpoint</t>
  </si>
  <si>
    <t>WRITEFLOAT[616]</t>
  </si>
  <si>
    <t>ISF Skim Pump - Stop Setpoint</t>
  </si>
  <si>
    <t>WRITEFLOAT[649]</t>
  </si>
  <si>
    <t>ISF Skim Pump - Enable</t>
  </si>
  <si>
    <t>ShtdwnSPWrite[110]</t>
  </si>
  <si>
    <t>C-4930B Motor Impact Vibration - High High Alarm Setpoint</t>
  </si>
  <si>
    <t>VT_C4930B_04_I.HHSetpoint</t>
  </si>
  <si>
    <t>VT_C4930B_04_I.ProcessValue</t>
  </si>
  <si>
    <t>C-4930B Motor Impact Vibration - Process Value</t>
  </si>
  <si>
    <t>C-4930B Motor Impact Vibration - PV Maximum Scaled Value</t>
  </si>
  <si>
    <t>C-4930B Motor Impact Vibration - PV Minimum Scaled Value</t>
  </si>
  <si>
    <t>vit_c4930b_04v</t>
  </si>
  <si>
    <t>VIT-C4930B-04V</t>
  </si>
  <si>
    <t>C-4930B Motor Velocity Vibration</t>
  </si>
  <si>
    <t>AnaAlarms[2].10</t>
  </si>
  <si>
    <t>C-4930B Motor Velocity Vibration - High Alarm</t>
  </si>
  <si>
    <t>VT_C4930B_04_V.HTimerAlert</t>
  </si>
  <si>
    <t>C-4930B Motor Velocity Vibration - High Alarm Delay</t>
  </si>
  <si>
    <t>AlarmSPWrite[90]</t>
  </si>
  <si>
    <t>C-4930B Motor Velocity Vibration - High Alarm Setpoint</t>
  </si>
  <si>
    <t>PUMPS_RECIRCULATION[0].Fail_to_Run_alarm</t>
  </si>
  <si>
    <t>ISF Eductor Charge Pump - Run Fail</t>
  </si>
  <si>
    <t>SD (P-563A-1)</t>
  </si>
  <si>
    <t>BIT[2].12</t>
  </si>
  <si>
    <t>ISF Eductor Charge Pump - Permissive Status</t>
  </si>
  <si>
    <t>p_563a_2</t>
  </si>
  <si>
    <t>P-563A-2</t>
  </si>
  <si>
    <t>PUMPS_RECIRCULATION[0].MOTOR_RUN_BIT</t>
  </si>
  <si>
    <t>ISF Eductor Charge Pump - Run Command</t>
  </si>
  <si>
    <t>RACK01_SLOT_12_TABLE[0].1</t>
  </si>
  <si>
    <t>ISF Eductor Charge Pump - Run Status</t>
  </si>
  <si>
    <t>REMOTE_IO:12:I.Data.0</t>
  </si>
  <si>
    <t>ISF Eductor Charge Pump - Auto Status</t>
  </si>
  <si>
    <t>WRITEFLOAT[647]</t>
  </si>
  <si>
    <t>ISF Eductor Charge Pump - Enable</t>
  </si>
  <si>
    <t>p_563a_1_2</t>
  </si>
  <si>
    <t>P-563A-1/2</t>
  </si>
  <si>
    <t>ISF Eductor Charge Pumps</t>
  </si>
  <si>
    <t>1=P-563A-1 Lead;2=P-563A-2 Lead</t>
  </si>
  <si>
    <t>WRITEFLOAT[588]</t>
  </si>
  <si>
    <t>ISF Eductor Charge Pumps - Lead/Lag Status</t>
  </si>
  <si>
    <t>PUMPS_RECIRCULATION[1].Fail_to_Run_alarm</t>
  </si>
  <si>
    <t>SD (P-563A-2)</t>
  </si>
  <si>
    <t>BIT[2].13</t>
  </si>
  <si>
    <t>xv_t109</t>
  </si>
  <si>
    <t>XV-T109</t>
  </si>
  <si>
    <t>T-109 Production Inlet Valve</t>
  </si>
  <si>
    <t>T-109 Production Inlet Valve - Output Command</t>
  </si>
  <si>
    <t>PUMPS_RECIRCULATION[1].MOTOR_RUN_BIT</t>
  </si>
  <si>
    <t>WRITEFLOAT[648]</t>
  </si>
  <si>
    <t>RACK01_SLOT_12_TABLE[0].3</t>
  </si>
  <si>
    <t>REMOTE_IO:12:I.Data.2</t>
  </si>
  <si>
    <t>FV_P125_PID.MINO</t>
  </si>
  <si>
    <t>Injection Charge Pumps Recycle Control Valve - Minimum CV</t>
  </si>
  <si>
    <t>FV_P125_PID.OUT</t>
  </si>
  <si>
    <t>Injection Charge Pumps Recycle Control Valve - Control Variable</t>
  </si>
  <si>
    <t>FV_P125_PID.PV</t>
  </si>
  <si>
    <t>Injection Charge Pumps Recycle Control Valve - Process Variable</t>
  </si>
  <si>
    <t>FV_P125_PID.SO</t>
  </si>
  <si>
    <t>Injection Charge Pumps Recycle Control Valve - Manual Output</t>
  </si>
  <si>
    <t>FV_P125_PID.SP</t>
  </si>
  <si>
    <t>Injection Charge Pumps Recycle Control Valve - Setpoint</t>
  </si>
  <si>
    <t>FV_P125_PID.SWM</t>
  </si>
  <si>
    <t>Injection Charge Pumps Recycle Control Valve - Auto/Manual Mode</t>
  </si>
  <si>
    <t>fcv_p30</t>
  </si>
  <si>
    <t>FCV-P30</t>
  </si>
  <si>
    <t>Oil Transfer Pump Discharge Control Valve</t>
  </si>
  <si>
    <t>Local:3:O.Ch6Data</t>
  </si>
  <si>
    <t>Oil Transfer Pump Discharge Control Valve - Output Command</t>
  </si>
  <si>
    <t>PID_FLOW[0].Controller.KD</t>
  </si>
  <si>
    <t>Oil Transfer Pump Discharge Control Valve - Derivative</t>
  </si>
  <si>
    <t>PID_FLOW[0].Controller.KI</t>
  </si>
  <si>
    <t>Oil Transfer Pump Discharge Control Valve - Integral</t>
  </si>
  <si>
    <t>PID_FLOW[0].Controller.KP</t>
  </si>
  <si>
    <t>Oil Transfer Pump Discharge Control Valve - Proportional</t>
  </si>
  <si>
    <t>PID_FLOW[0].Controller.MAXO</t>
  </si>
  <si>
    <t>Oil Transfer Pump Discharge Control Valve - Maximum CV</t>
  </si>
  <si>
    <t>PID_FLOW[0].Controller.MAXS</t>
  </si>
  <si>
    <t>Oil Transfer Pump Discharge Control Valve - Maximum Setpoint</t>
  </si>
  <si>
    <t>PID_FLOW[0].Controller.MINO</t>
  </si>
  <si>
    <t>Oil Transfer Pump Discharge Control Valve - Minimum CV</t>
  </si>
  <si>
    <t>PID_FLOW[0].Controller.MINS</t>
  </si>
  <si>
    <t>Oil Transfer Pump Discharge Control Valve - Minimum Setpoint</t>
  </si>
  <si>
    <t>PID_FLOW[0].Controller.OUT</t>
  </si>
  <si>
    <t>Oil Transfer Pump Discharge Control Valve - Control Variable</t>
  </si>
  <si>
    <t>PID_FLOW[0].Controller.PV</t>
  </si>
  <si>
    <t>Oil Transfer Pump Discharge Control Valve - Process Variable</t>
  </si>
  <si>
    <t>PID_FLOW[0].Controller.SO</t>
  </si>
  <si>
    <t>Oil Transfer Pump Discharge Control Valve - Manual Output</t>
  </si>
  <si>
    <t>PID_FLOW[0].Controller.SP</t>
  </si>
  <si>
    <t>Oil Transfer Pump Discharge Control Valve - Setpoint</t>
  </si>
  <si>
    <t>PID_FLOW[0].Controller.SWM</t>
  </si>
  <si>
    <t>Oil Transfer Pump Discharge Control Valve - Auto/Manual Mode</t>
  </si>
  <si>
    <t>PIDReadFloatFast[4]</t>
  </si>
  <si>
    <t>VT_C4930B_04_V.HSetpoint</t>
  </si>
  <si>
    <t>AnaShtdwns[2].10</t>
  </si>
  <si>
    <t>VAHH-C4930B-04V</t>
  </si>
  <si>
    <t>C-4930B Motor Velocity Vibration - High High Alarm</t>
  </si>
  <si>
    <t>VT_C4930B_04_V.HHTimerAlarm</t>
  </si>
  <si>
    <t>C-4930B Motor Velocity Vibration - High High Alarm Delay</t>
  </si>
  <si>
    <t>ShtdwnSPWrite[90]</t>
  </si>
  <si>
    <t>C-4930B Motor Velocity Vibration - High High Alarm Setpoint</t>
  </si>
  <si>
    <t>VT_C4930B_04_V.HHSetpoint</t>
  </si>
  <si>
    <t>VT_C4930B_04_V.ProcessValue</t>
  </si>
  <si>
    <t>C-4930B Motor Velocity Vibration - Process Value</t>
  </si>
  <si>
    <t>C-4930B Motor Velocity Vibration - PV Maximum Scaled Value</t>
  </si>
  <si>
    <t>C-4930B Motor Velocity Vibration - PV Minimum Scaled Value</t>
  </si>
  <si>
    <t>36b_4b</t>
  </si>
  <si>
    <t>ait_701</t>
  </si>
  <si>
    <t>AIT-701</t>
  </si>
  <si>
    <t>Low Pressure Pool Separator Outlet BS&amp;W (MicroMotion)</t>
  </si>
  <si>
    <t>READFLOAT[26]</t>
  </si>
  <si>
    <t>36B-4B-TS</t>
  </si>
  <si>
    <t>group_2 (Equip Type) must not be blank. group_2 (Equip Type) invalid. group_4 (Value Type) must not be blank. group_4 (Value Type) invalid. target_name must not be blank. target_name must be snake_case. target_udt must not be blank. target_udt invalid. target_param must not be blank. Invalid Allowed_Sequence.</t>
  </si>
  <si>
    <t>TODO</t>
  </si>
  <si>
    <t>ALARM-1</t>
  </si>
  <si>
    <t>PLC Panel Enclosure Door Open Xa-Door</t>
  </si>
  <si>
    <t>fit_201</t>
  </si>
  <si>
    <t>FIT-201</t>
  </si>
  <si>
    <t>Test Separator 1 Inlet Flow Rate</t>
  </si>
  <si>
    <t>RACK00_SLOT10.8</t>
  </si>
  <si>
    <t>gal</t>
  </si>
  <si>
    <t>READFLOAT[11]</t>
  </si>
  <si>
    <t>fit_202</t>
  </si>
  <si>
    <t>FIT-202</t>
  </si>
  <si>
    <t>mcf</t>
  </si>
  <si>
    <t>Test Separator 1 Outlet Flow Rate</t>
  </si>
  <si>
    <t>READFLOAT[13]</t>
  </si>
  <si>
    <t>READFLOAT[14]</t>
  </si>
  <si>
    <t>mcfpd</t>
  </si>
  <si>
    <t>READFLOAT[15]</t>
  </si>
  <si>
    <t>fit_701</t>
  </si>
  <si>
    <t>FIT-701</t>
  </si>
  <si>
    <t>Low Pressure Pool Separator  Outlet Oil / Water Flow Rate</t>
  </si>
  <si>
    <t>READFLOAT[16]</t>
  </si>
  <si>
    <t>READFLOAT[17]</t>
  </si>
  <si>
    <t>READFLOAT[18]</t>
  </si>
  <si>
    <t>fit_701a</t>
  </si>
  <si>
    <t>FIT-701A</t>
  </si>
  <si>
    <t>Low Pressure Pool Separator Backup Outlet Oil / Water Flow Rate</t>
  </si>
  <si>
    <t>RACK00_SLOT04[7]</t>
  </si>
  <si>
    <t>READFLOAT[19]</t>
  </si>
  <si>
    <t>READFLOAT[20]</t>
  </si>
  <si>
    <t>fit_702</t>
  </si>
  <si>
    <t>FIT-702</t>
  </si>
  <si>
    <t>Low Pressure Pool Separator Outlet Gas Vaccum Header Flow Rate</t>
  </si>
  <si>
    <t>READFLOAT[22]</t>
  </si>
  <si>
    <t>READFLOAT[23]</t>
  </si>
  <si>
    <t>READFLOAT[24]</t>
  </si>
  <si>
    <t>lcv_701</t>
  </si>
  <si>
    <t>LCV-701</t>
  </si>
  <si>
    <t>Low Pressure Pool Separator Water Outlet  Level Control Valve</t>
  </si>
  <si>
    <t>RACK00_SLOT07[1]</t>
  </si>
  <si>
    <t>READFLOAT[44]</t>
  </si>
  <si>
    <t>WRITEFLOAT[44]</t>
  </si>
  <si>
    <t>lit_010</t>
  </si>
  <si>
    <t>LIT-010</t>
  </si>
  <si>
    <t>Drain Pot Level</t>
  </si>
  <si>
    <t>RACK00_SLOT04[10]</t>
  </si>
  <si>
    <t>lit_701</t>
  </si>
  <si>
    <t>LIT-701</t>
  </si>
  <si>
    <t>Low Pressure Pool Separator Level (Radar)</t>
  </si>
  <si>
    <t>ALARM[5].10</t>
  </si>
  <si>
    <t>ALARM[5].8</t>
  </si>
  <si>
    <t>ALARM[5].9</t>
  </si>
  <si>
    <t>RACK00_SLOT04[5]</t>
  </si>
  <si>
    <t>WRITEFLOAT[38]</t>
  </si>
  <si>
    <t>WRITEFLOAT[39]</t>
  </si>
  <si>
    <t>WRITEFLOAT[40]</t>
  </si>
  <si>
    <t>WRITEFLOAT[41]</t>
  </si>
  <si>
    <t>lsh_201</t>
  </si>
  <si>
    <t>LSH-201</t>
  </si>
  <si>
    <t>Test Separator 1 Level Switch High</t>
  </si>
  <si>
    <t>ALARM[4].0</t>
  </si>
  <si>
    <t>ma</t>
  </si>
  <si>
    <t>RACK00_SLOT04[0]</t>
  </si>
  <si>
    <t>lsh_701</t>
  </si>
  <si>
    <t>LSH-701</t>
  </si>
  <si>
    <t>Low Pressure Pool Separator Level Switch High</t>
  </si>
  <si>
    <t>RACK00_SLOT10.4</t>
  </si>
  <si>
    <t>lshh_701</t>
  </si>
  <si>
    <t>LSHH-701</t>
  </si>
  <si>
    <t>Low Pressure Pool Separator Level Switch High High</t>
  </si>
  <si>
    <t>RACK00_SLOT04[8]</t>
  </si>
  <si>
    <t>lsl_201</t>
  </si>
  <si>
    <t>LSL-201</t>
  </si>
  <si>
    <t>Test Separator 1 Level Switch Low</t>
  </si>
  <si>
    <t>ALARM[4].1</t>
  </si>
  <si>
    <t>RACK00_SLOT04[1]</t>
  </si>
  <si>
    <t>lsl_701</t>
  </si>
  <si>
    <t>LSL-701</t>
  </si>
  <si>
    <t>Low Pressure Pool Separator Level Switch Low</t>
  </si>
  <si>
    <t>RACK00_SLOT10.5</t>
  </si>
  <si>
    <t>lsll_701</t>
  </si>
  <si>
    <t>LSLL-701</t>
  </si>
  <si>
    <t>Low Pressure Pool Separator Level Switch Low Low</t>
  </si>
  <si>
    <t>RACK00_SLOT04[9]</t>
  </si>
  <si>
    <t>pcv_702</t>
  </si>
  <si>
    <t>PCV-702</t>
  </si>
  <si>
    <t>Low Pressure Pool Separator  Outlet Pressure Control Valve</t>
  </si>
  <si>
    <t>RACK00_SLOT07[0]</t>
  </si>
  <si>
    <t>READFLOAT[45]</t>
  </si>
  <si>
    <t>WRITEFLOAT[45]</t>
  </si>
  <si>
    <t>pit_001</t>
  </si>
  <si>
    <t>PIT-001</t>
  </si>
  <si>
    <t>RACK00_SLOT04[3]</t>
  </si>
  <si>
    <t>WRITEFLOAT[46]</t>
  </si>
  <si>
    <t>WRITEFLOAT[47]</t>
  </si>
  <si>
    <t>WRITEFLOAT[48]</t>
  </si>
  <si>
    <t>WRITEFLOAT[49]</t>
  </si>
  <si>
    <t>pit_110</t>
  </si>
  <si>
    <t>PIT-110</t>
  </si>
  <si>
    <t>Test Header Pressure</t>
  </si>
  <si>
    <t>ALARM[3].0</t>
  </si>
  <si>
    <t>ALARM[3].1</t>
  </si>
  <si>
    <t>RACK00_SLOT04[4]</t>
  </si>
  <si>
    <t>WRITEFLOAT[42]</t>
  </si>
  <si>
    <t>WRITEFLOAT[43]</t>
  </si>
  <si>
    <t>pit_202a</t>
  </si>
  <si>
    <t>PIT-202A</t>
  </si>
  <si>
    <t>Test Separator 1 Pressure</t>
  </si>
  <si>
    <t>ALARM[4].2</t>
  </si>
  <si>
    <t>ALARM[4].3</t>
  </si>
  <si>
    <t>ALARM[4].5</t>
  </si>
  <si>
    <t>RACK00_SLOT04[2]</t>
  </si>
  <si>
    <t>WRITEFLOAT[30]</t>
  </si>
  <si>
    <t>WRITEFLOAT[31]</t>
  </si>
  <si>
    <t>WRITEFLOAT[32]</t>
  </si>
  <si>
    <t>WRITEFLOAT[33]</t>
  </si>
  <si>
    <t>pit_702</t>
  </si>
  <si>
    <t>PIT-702</t>
  </si>
  <si>
    <t>Low Pressure Pool Separator Pressure</t>
  </si>
  <si>
    <t>ALARM[5].5</t>
  </si>
  <si>
    <t>ALARM[5].6</t>
  </si>
  <si>
    <t>RACK00_SLOT04[6]</t>
  </si>
  <si>
    <t>WRITEFLOAT[34]</t>
  </si>
  <si>
    <t>WRITEFLOAT[35]</t>
  </si>
  <si>
    <t>WRITEFLOAT[36]</t>
  </si>
  <si>
    <t>WRITEFLOAT[37]</t>
  </si>
  <si>
    <t>38b_4b</t>
  </si>
  <si>
    <t>PLC-38B-4B</t>
  </si>
  <si>
    <t>PLC Separator</t>
  </si>
  <si>
    <t>RACK00_SLOT13.0</t>
  </si>
  <si>
    <t>xv_701a</t>
  </si>
  <si>
    <t>XV-701A</t>
  </si>
  <si>
    <t>Low Pressure Pool Separator Shutoff Valve</t>
  </si>
  <si>
    <t>RACK00_SLOT10.6</t>
  </si>
  <si>
    <t>RACK00_SLOT10.7</t>
  </si>
  <si>
    <t>group_4 (Value Type) must not be blank. group_4 (Value Type) invalid. target_name must not be blank. target_name must be snake_case. target_udt must not be blank. target_udt invalid. target_param must not be blank. Equipment description should not repeat target_id. Invalid Allowed_Sequence.</t>
  </si>
  <si>
    <t>xy_701a</t>
  </si>
  <si>
    <t>XY-701A</t>
  </si>
  <si>
    <t>V-700 Low Pressure Pool Separator Level Control Shutoff (Xy-701A 1=Open/LY-701 Enabled)</t>
  </si>
  <si>
    <t>RACK00_SLOT13.1</t>
  </si>
  <si>
    <t>1a_9d</t>
  </si>
  <si>
    <t>pit_201</t>
  </si>
  <si>
    <t>PIT-201</t>
  </si>
  <si>
    <t>Test Separator 1 Inlet Pressure</t>
  </si>
  <si>
    <t>ALARM[1].31</t>
  </si>
  <si>
    <t>TF_9D_1A</t>
  </si>
  <si>
    <t>1A-9D ASZU</t>
  </si>
  <si>
    <t>Testers</t>
  </si>
  <si>
    <t>Test Separator 1 Inlet Pressure - High Alarm</t>
  </si>
  <si>
    <t>xv_702a</t>
  </si>
  <si>
    <t>XV-702A</t>
  </si>
  <si>
    <t>Free Water Knock Out Gas Out to Vent Stack Valve</t>
  </si>
  <si>
    <t>ALARM[2].5</t>
  </si>
  <si>
    <t>FWKO</t>
  </si>
  <si>
    <t>Free Water Knock Out Gas Out to Vent Stack Valve - Valve Open</t>
  </si>
  <si>
    <t>Free Water Knock Out Oil Outlet BS&amp;W</t>
  </si>
  <si>
    <t>AT[0].HIGH_ALM</t>
  </si>
  <si>
    <t>Free Water Knock Out Oil Outlet BS&amp;W - High Alarm</t>
  </si>
  <si>
    <t>AT[0].HIGH_SP</t>
  </si>
  <si>
    <t>Free Water Knock Out Oil Outlet BS&amp;W - High Alarm Setpoint</t>
  </si>
  <si>
    <t>AT[0].HIGH_TMR</t>
  </si>
  <si>
    <t>Free Water Knock Out Oil Outlet BS&amp;W - High Alarm Delay</t>
  </si>
  <si>
    <t>AT[0].Value</t>
  </si>
  <si>
    <t>Free Water Knock Out Oil Outlet BS&amp;W - Process Value</t>
  </si>
  <si>
    <t>ait_111</t>
  </si>
  <si>
    <t>AIT-111</t>
  </si>
  <si>
    <t>Oil Transfer Pumps Discharge BS&amp;W</t>
  </si>
  <si>
    <t>AT[1].HIGH_ALM</t>
  </si>
  <si>
    <t>Oil Xfer</t>
  </si>
  <si>
    <t>Oil Transfer Pumps Discharge BS&amp;W - High Alarm</t>
  </si>
  <si>
    <t>AT[1].HIGH_SP</t>
  </si>
  <si>
    <t>Oil Transfer Pumps Discharge BS&amp;W - High Alarm Setpoint</t>
  </si>
  <si>
    <t>AT[1].HIGH_TMR</t>
  </si>
  <si>
    <t>Oil Transfer Pumps Discharge BS&amp;W - High Alarm Delay</t>
  </si>
  <si>
    <t>AT[1].Value</t>
  </si>
  <si>
    <t>Oil Transfer Pumps Discharge BS&amp;W - Process Value</t>
  </si>
  <si>
    <t>lxcv_701b</t>
  </si>
  <si>
    <t>LXCV-701B</t>
  </si>
  <si>
    <t>Free Water Knock Out Water Out Control Valve</t>
  </si>
  <si>
    <t>0=Interface Lvl;1=Weir Level</t>
  </si>
  <si>
    <t>BIT[0].10</t>
  </si>
  <si>
    <t>Free Water Knock Out Water Out Control Valve - PID in Control</t>
  </si>
  <si>
    <t>fit_101</t>
  </si>
  <si>
    <t>FIT-101</t>
  </si>
  <si>
    <t>Produced Water Transfer Pumps Discharge Flow</t>
  </si>
  <si>
    <t>DataAcquisitionRead[22]</t>
  </si>
  <si>
    <t>Water Xfer</t>
  </si>
  <si>
    <t>Produced Water Transfer Pumps Discharge Flow - Day 1 Volume</t>
  </si>
  <si>
    <t>fit_1701</t>
  </si>
  <si>
    <t>FIT-1701</t>
  </si>
  <si>
    <t>Oil Transfer Pumps Discharge Pulse Meter</t>
  </si>
  <si>
    <t>DataAcquisitionRead[23]</t>
  </si>
  <si>
    <t>Oil Transfer Pumps Discharge Pulse Meter - Day 1 Volume</t>
  </si>
  <si>
    <t>power_fail</t>
  </si>
  <si>
    <t>Power Fail</t>
  </si>
  <si>
    <t>DataAcquisitionRead[266].1</t>
  </si>
  <si>
    <t>Utilities</t>
  </si>
  <si>
    <t>Tank Farm PLC - Power Fail</t>
  </si>
  <si>
    <t>pshh_701a</t>
  </si>
  <si>
    <t>PSHH-701A</t>
  </si>
  <si>
    <t>Free Water Knock Out Pressure Switch High High</t>
  </si>
  <si>
    <t>DataAcquisitionRead[449].1</t>
  </si>
  <si>
    <t>Free Water Knock Out Pressure Switch High High - Alarm</t>
  </si>
  <si>
    <t>DataAcquisitionRead[473].1</t>
  </si>
  <si>
    <t>DataAcquisitionRead[483].1</t>
  </si>
  <si>
    <t>p_1</t>
  </si>
  <si>
    <t>P-1</t>
  </si>
  <si>
    <t>Produced Water Transfer Pump</t>
  </si>
  <si>
    <t>Produced Water Transfer Pump - Lead/Lag Status</t>
  </si>
  <si>
    <t>p_2</t>
  </si>
  <si>
    <t>P-2</t>
  </si>
  <si>
    <t>p_4</t>
  </si>
  <si>
    <t>P-4</t>
  </si>
  <si>
    <t>Oil Transfer Pump - Lead/Lag Status</t>
  </si>
  <si>
    <t>p_5</t>
  </si>
  <si>
    <t>P-5</t>
  </si>
  <si>
    <t>FLOW_TRANSMITTER[1].FAH</t>
  </si>
  <si>
    <t>Produced Water Transfer Pumps Discharge Flow - High Alarm</t>
  </si>
  <si>
    <t>FLOW_TRANSMITTER[1].FAH_SP</t>
  </si>
  <si>
    <t>Produced Water Transfer Pumps Discharge Flow - High Alarm Setpoint</t>
  </si>
  <si>
    <t>FLOW_TRANSMITTER[1].FAH_TMR</t>
  </si>
  <si>
    <t>Produced Water Transfer Pumps Discharge Flow - High Alarm Delay</t>
  </si>
  <si>
    <t>FLOW_TRANSMITTER[1].FAL</t>
  </si>
  <si>
    <t>Produced Water Transfer Pumps Discharge Flow - Low Alarm</t>
  </si>
  <si>
    <t>FLOW_TRANSMITTER[1].FAL_SP</t>
  </si>
  <si>
    <t>Produced Water Transfer Pumps Discharge Flow - Low Alarm Setpoint</t>
  </si>
  <si>
    <t>FLOW_TRANSMITTER[1].FAL_TMR</t>
  </si>
  <si>
    <t>Produced Water Transfer Pumps Discharge Flow - Low Alarm Delay</t>
  </si>
  <si>
    <t>FLOW_TRANSMITTER[1].VALUE</t>
  </si>
  <si>
    <t>Produced Water Transfer Pumps Discharge Flow - Rate</t>
  </si>
  <si>
    <t>fit_637b</t>
  </si>
  <si>
    <t>FIT-637B</t>
  </si>
  <si>
    <t>Produced Water Transfer Pumps Recycle Flow</t>
  </si>
  <si>
    <t>FLOW_TRANSMITTER[2].VALUE</t>
  </si>
  <si>
    <t>Produced Water Transfer Pumps Recycle Flow - Rate</t>
  </si>
  <si>
    <t>FQ_101</t>
  </si>
  <si>
    <t>Produced Water Transfer Pumps Discharge Flow - Day 0 Volume</t>
  </si>
  <si>
    <t>FQ_1701</t>
  </si>
  <si>
    <t>Oil Transfer Pumps Discharge Pulse Meter - Day 0 Volume</t>
  </si>
  <si>
    <t>lsll_100</t>
  </si>
  <si>
    <t>LSLL-100</t>
  </si>
  <si>
    <t>T-1 Produced Water Tank Level Switch Low Low</t>
  </si>
  <si>
    <t>LEVEL_SWITCH[1].ALARM</t>
  </si>
  <si>
    <t>T-1 Produced Water Tank Level Switch Low Low - Alarm</t>
  </si>
  <si>
    <t>LEVEL_SWITCH[1].TMR[2]</t>
  </si>
  <si>
    <t>T-1 Produced Water Tank Level Switch Low Low - Alarm Delay</t>
  </si>
  <si>
    <t>lshh_703</t>
  </si>
  <si>
    <t>LSHH-703</t>
  </si>
  <si>
    <t>Free Water Knock Out Weir Level Switch High High</t>
  </si>
  <si>
    <t>LEVEL_SWITCH[2].ALARM</t>
  </si>
  <si>
    <t>Free Water Knock Out Weir Level Switch High High - Alarm</t>
  </si>
  <si>
    <t>LEVEL_SWITCH[2].TMR[2]</t>
  </si>
  <si>
    <t>Free Water Knock Out Weir Level Switch High High - Alarm Delay</t>
  </si>
  <si>
    <t>Free Water Knock Out Weir Level Switch Low</t>
  </si>
  <si>
    <t>LEVEL_SWITCH[3].ALARM</t>
  </si>
  <si>
    <t>Free Water Knock Out Weir Level Switch Low - Alarm</t>
  </si>
  <si>
    <t>LEVEL_SWITCH[3].TMR[2]</t>
  </si>
  <si>
    <t>Free Water Knock Out Weir Level Switch Low - Alarm Delay</t>
  </si>
  <si>
    <t>lshh_801</t>
  </si>
  <si>
    <t>LSHH-801</t>
  </si>
  <si>
    <t>Oil Separator Weir Level Switch High High</t>
  </si>
  <si>
    <t>LEVEL_SWITCH[4].ALARM</t>
  </si>
  <si>
    <t>Oil Separator Weir Level Switch High High - Alarm</t>
  </si>
  <si>
    <t>LEVEL_SWITCH[4].TMR[2]</t>
  </si>
  <si>
    <t>Oil Separator Weir Level Switch High High - Alarm Delay</t>
  </si>
  <si>
    <t>lsll_801</t>
  </si>
  <si>
    <t>LSLL-801</t>
  </si>
  <si>
    <t>Oil Separator Weir Level Switch Low Low</t>
  </si>
  <si>
    <t>LEVEL_SWITCH[5].ALARM</t>
  </si>
  <si>
    <t>Oil Separator Weir Level Switch Low Low - Alarm</t>
  </si>
  <si>
    <t>LEVEL_SWITCH[5].TMR[2]</t>
  </si>
  <si>
    <t>Oil Separator Weir Level Switch Low Low - Alarm Delay</t>
  </si>
  <si>
    <t>Free Water Knock Out Interface Level Switch High High</t>
  </si>
  <si>
    <t>LEVEL_SWITCH[6].ALARM</t>
  </si>
  <si>
    <t>Free Water Knock Out Interface Level Switch High High - Alarm</t>
  </si>
  <si>
    <t>LEVEL_SWITCH[6].TMR[2]</t>
  </si>
  <si>
    <t>Free Water Knock Out Interface Level Switch High High - Alarm Delay</t>
  </si>
  <si>
    <t>Free Water Knock Out Interface Level Switch Low Low</t>
  </si>
  <si>
    <t>LEVEL_SWITCH[7].ALARM</t>
  </si>
  <si>
    <t>Free Water Knock Out Interface Level Switch Low Low - Alarm</t>
  </si>
  <si>
    <t>LEVEL_SWITCH[7].TMR[2]</t>
  </si>
  <si>
    <t>Free Water Knock Out Interface Level Switch Low Low - Alarm Delay</t>
  </si>
  <si>
    <t>lxshh_801</t>
  </si>
  <si>
    <t>LXSHH-801</t>
  </si>
  <si>
    <t>Oil Separator Interface Level Switch High High</t>
  </si>
  <si>
    <t>LEVEL_SWITCH[8].ALARM</t>
  </si>
  <si>
    <t>Oil Separator Interface Level Switch High High - Alarm</t>
  </si>
  <si>
    <t>LEVEL_SWITCH[8].TMR[2]</t>
  </si>
  <si>
    <t>Oil Separator Interface Level Switch High High - Alarm Delay</t>
  </si>
  <si>
    <t>lxsll_801</t>
  </si>
  <si>
    <t>LXSLL-801</t>
  </si>
  <si>
    <t>Oil Separator Interface Level Switch Low Low</t>
  </si>
  <si>
    <t>LEVEL_SWITCH[9].ALARM</t>
  </si>
  <si>
    <t>Oil Separator Interface Level Switch Low Low - Alarm</t>
  </si>
  <si>
    <t>LEVEL_SWITCH[9].TMR[2]</t>
  </si>
  <si>
    <t>Oil Separator Interface Level Switch Low Low - Alarm Delay</t>
  </si>
  <si>
    <t>lxit_101</t>
  </si>
  <si>
    <t>LXIT-101</t>
  </si>
  <si>
    <t>T-1 Produced Water Tank Interface Level</t>
  </si>
  <si>
    <t>LEVEL_TRANSMITTER[0].LAH</t>
  </si>
  <si>
    <t>T-1 Produced Water Tank Interface Level - High Alarm</t>
  </si>
  <si>
    <t>LEVEL_TRANSMITTER[0].LAH_SP</t>
  </si>
  <si>
    <t>T-1 Produced Water Tank Interface Level - High Alarm Setpoint</t>
  </si>
  <si>
    <t>LEVEL_TRANSMITTER[0].LAH_TMR</t>
  </si>
  <si>
    <t>T-1 Produced Water Tank Interface Level - High Alarm Delay</t>
  </si>
  <si>
    <t>LEVEL_TRANSMITTER[0].LAL</t>
  </si>
  <si>
    <t>T-1 Produced Water Tank Interface Level - Low Alarm</t>
  </si>
  <si>
    <t>LEVEL_TRANSMITTER[0].LAL_SP</t>
  </si>
  <si>
    <t>T-1 Produced Water Tank Interface Level - Low Alarm Setpoint</t>
  </si>
  <si>
    <t>LEVEL_TRANSMITTER[0].LAL_TMR</t>
  </si>
  <si>
    <t>T-1 Produced Water Tank Interface Level - Low Alarm Delay</t>
  </si>
  <si>
    <t>LEVEL_TRANSMITTER[0].VALUE</t>
  </si>
  <si>
    <t>T-1 Produced Water Tank Interface Level - Process Value</t>
  </si>
  <si>
    <t>T-1 Produced Water Tank Overall Level</t>
  </si>
  <si>
    <t>LEVEL_TRANSMITTER[1].LAH</t>
  </si>
  <si>
    <t>T-1 Produced Water Tank Overall Level - High Alarm</t>
  </si>
  <si>
    <t>LEVEL_TRANSMITTER[1].LAH_SP</t>
  </si>
  <si>
    <t>T-1 Produced Water Tank Overall Level - High Alarm Setpoint</t>
  </si>
  <si>
    <t>LEVEL_TRANSMITTER[1].LAH_TMR</t>
  </si>
  <si>
    <t>T-1 Produced Water Tank Overall Level - High Alarm Delay</t>
  </si>
  <si>
    <t>LEVEL_TRANSMITTER[1].LAHH</t>
  </si>
  <si>
    <t>LAHH-101</t>
  </si>
  <si>
    <t>T-1 Produced Water Tank Overall Level - High High Alarm</t>
  </si>
  <si>
    <t>LEVEL_TRANSMITTER[1].LAHH_SP</t>
  </si>
  <si>
    <t>T-1 Produced Water Tank Overall Level - High High Alarm Setpoint</t>
  </si>
  <si>
    <t>LEVEL_TRANSMITTER[1].LAHH_TMR</t>
  </si>
  <si>
    <t>T-1 Produced Water Tank Overall Level - High High Alarm Delay</t>
  </si>
  <si>
    <t>LEVEL_TRANSMITTER[1].LAL</t>
  </si>
  <si>
    <t>T-1 Produced Water Tank Overall Level - Low Alarm</t>
  </si>
  <si>
    <t>LEVEL_TRANSMITTER[1].LAL_SP</t>
  </si>
  <si>
    <t>T-1 Produced Water Tank Overall Level - Low Alarm Setpoint</t>
  </si>
  <si>
    <t>LEVEL_TRANSMITTER[1].LAL_TMR</t>
  </si>
  <si>
    <t>T-1 Produced Water Tank Overall Level - Low Alarm Delay</t>
  </si>
  <si>
    <t>LEVEL_TRANSMITTER[1].LALL</t>
  </si>
  <si>
    <t>LALL-101</t>
  </si>
  <si>
    <t>T-1 Produced Water Tank Overall Level - Low Low Alarm</t>
  </si>
  <si>
    <t>SD (P-1/2)</t>
  </si>
  <si>
    <t>LEVEL_TRANSMITTER[1].LALL_SP</t>
  </si>
  <si>
    <t>T-1 Produced Water Tank Overall Level - Low Low Alarm Setpoint</t>
  </si>
  <si>
    <t>LEVEL_TRANSMITTER[1].LALL_TMR</t>
  </si>
  <si>
    <t>T-1 Produced Water Tank Overall Level - Low Low Alarm Delay</t>
  </si>
  <si>
    <t>LEVEL_TRANSMITTER[1].VALUE</t>
  </si>
  <si>
    <t>T-1 Produced Water Tank Overall Level - Process Value</t>
  </si>
  <si>
    <t>lxi_701</t>
  </si>
  <si>
    <t>LXI-701</t>
  </si>
  <si>
    <t>Free Water Knock Out Interface Level (Selected)</t>
  </si>
  <si>
    <t>LEVEL_TRANSMITTER[2].LAH</t>
  </si>
  <si>
    <t>Free Water Knock Out Interface Level (Selected) - High Alarm</t>
  </si>
  <si>
    <t>LEVEL_TRANSMITTER[2].LAH_SP</t>
  </si>
  <si>
    <t>Free Water Knock Out Interface Level (Selected) - High Alarm Setpoint</t>
  </si>
  <si>
    <t>LEVEL_TRANSMITTER[2].LAH_TMR</t>
  </si>
  <si>
    <t>Free Water Knock Out Interface Level (Selected) - High Alarm Delay</t>
  </si>
  <si>
    <t>LEVEL_TRANSMITTER[2].LAL</t>
  </si>
  <si>
    <t>Free Water Knock Out Interface Level (Selected) - Low Alarm</t>
  </si>
  <si>
    <t>LEVEL_TRANSMITTER[2].LAL_SP</t>
  </si>
  <si>
    <t>Free Water Knock Out Interface Level (Selected) - Low Alarm Setpoint</t>
  </si>
  <si>
    <t>LEVEL_TRANSMITTER[2].LAL_TMR</t>
  </si>
  <si>
    <t>Free Water Knock Out Interface Level (Selected) - Low Alarm Delay</t>
  </si>
  <si>
    <t>Free Water Knock Out Weir Level</t>
  </si>
  <si>
    <t>LEVEL_TRANSMITTER[3].LAH</t>
  </si>
  <si>
    <t>Free Water Knock Out Weir Level - High Alarm</t>
  </si>
  <si>
    <t>LEVEL_TRANSMITTER[3].LAH_SP</t>
  </si>
  <si>
    <t>Free Water Knock Out Weir Level - High Alarm Setpoint</t>
  </si>
  <si>
    <t>LEVEL_TRANSMITTER[3].LAH_TMR</t>
  </si>
  <si>
    <t>Free Water Knock Out Weir Level - High Alarm Delay</t>
  </si>
  <si>
    <t>LEVEL_TRANSMITTER[3].LAHH</t>
  </si>
  <si>
    <t>LAHH-701</t>
  </si>
  <si>
    <t>Free Water Knock Out Weir Level - High High Alarm</t>
  </si>
  <si>
    <t>LEVEL_TRANSMITTER[3].LAHH_SP</t>
  </si>
  <si>
    <t>Free Water Knock Out Weir Level - High High Alarm Setpoint</t>
  </si>
  <si>
    <t>LEVEL_TRANSMITTER[3].LAHH_TMR</t>
  </si>
  <si>
    <t>Free Water Knock Out Weir Level - High High Alarm Delay</t>
  </si>
  <si>
    <t>LEVEL_TRANSMITTER[3].LAL</t>
  </si>
  <si>
    <t>Free Water Knock Out Weir Level - Low Alarm</t>
  </si>
  <si>
    <t>LEVEL_TRANSMITTER[3].LAL_SP</t>
  </si>
  <si>
    <t>Free Water Knock Out Weir Level - Low Alarm Setpoint</t>
  </si>
  <si>
    <t>LEVEL_TRANSMITTER[3].LAL_TMR</t>
  </si>
  <si>
    <t>Free Water Knock Out Weir Level - Low Alarm Delay</t>
  </si>
  <si>
    <t>LEVEL_TRANSMITTER[3].VALUE_IN_INCHES</t>
  </si>
  <si>
    <t>Free Water Knock Out Weir Level - Process Value</t>
  </si>
  <si>
    <t>lit_802</t>
  </si>
  <si>
    <t>LIT-802</t>
  </si>
  <si>
    <t>Oil Separator Weir Level</t>
  </si>
  <si>
    <t>LEVEL_TRANSMITTER[4].LAH</t>
  </si>
  <si>
    <t>Oil Separator Weir Level - High Alarm</t>
  </si>
  <si>
    <t>LEVEL_TRANSMITTER[4].LAH_SP</t>
  </si>
  <si>
    <t>Oil Separator Weir Level - High Alarm Setpoint</t>
  </si>
  <si>
    <t>LEVEL_TRANSMITTER[4].LAH_TMR</t>
  </si>
  <si>
    <t>Oil Separator Weir Level - High Alarm Delay</t>
  </si>
  <si>
    <t>LEVEL_TRANSMITTER[4].LAHH</t>
  </si>
  <si>
    <t>LAHH-802</t>
  </si>
  <si>
    <t>Oil Separator Weir Level - High High Alarm</t>
  </si>
  <si>
    <t>LEVEL_TRANSMITTER[4].LAHH_SP</t>
  </si>
  <si>
    <t>Oil Separator Weir Level - High High Alarm Setpoint</t>
  </si>
  <si>
    <t>LEVEL_TRANSMITTER[4].LAHH_TMR</t>
  </si>
  <si>
    <t>Oil Separator Weir Level - High High Alarm Delay</t>
  </si>
  <si>
    <t>LEVEL_TRANSMITTER[4].LAL</t>
  </si>
  <si>
    <t>Oil Separator Weir Level - Low Alarm</t>
  </si>
  <si>
    <t>LEVEL_TRANSMITTER[4].LAL_SP</t>
  </si>
  <si>
    <t>Oil Separator Weir Level - Low Alarm Setpoint</t>
  </si>
  <si>
    <t>LEVEL_TRANSMITTER[4].LAL_TMR</t>
  </si>
  <si>
    <t>Oil Separator Weir Level - Low Alarm Delay</t>
  </si>
  <si>
    <t>LEVEL_TRANSMITTER[4].VALUE_IN_INCHES</t>
  </si>
  <si>
    <t>Oil Separator Weir Level - Process Value</t>
  </si>
  <si>
    <t>lxit_801</t>
  </si>
  <si>
    <t>LXIT-801</t>
  </si>
  <si>
    <t>Oil Separator Interface Level</t>
  </si>
  <si>
    <t>LEVEL_TRANSMITTER[5].LAH</t>
  </si>
  <si>
    <t>Oil Separator Interface Level - High Alarm</t>
  </si>
  <si>
    <t>LEVEL_TRANSMITTER[5].LAH_SP</t>
  </si>
  <si>
    <t>Oil Separator Interface Level - High Alarm Setpoint</t>
  </si>
  <si>
    <t>LEVEL_TRANSMITTER[5].LAH_TMR</t>
  </si>
  <si>
    <t>Oil Separator Interface Level - High Alarm Delay</t>
  </si>
  <si>
    <t>LEVEL_TRANSMITTER[5].LAL</t>
  </si>
  <si>
    <t>Oil Separator Interface Level - Low Alarm</t>
  </si>
  <si>
    <t>LEVEL_TRANSMITTER[5].LAL_SP</t>
  </si>
  <si>
    <t>Oil Separator Interface Level - Low Alarm Setpoint</t>
  </si>
  <si>
    <t>LEVEL_TRANSMITTER[5].LAL_TMR</t>
  </si>
  <si>
    <t>Oil Separator Interface Level - Low Alarm Delay</t>
  </si>
  <si>
    <t>lic_101</t>
  </si>
  <si>
    <t>LIC-101</t>
  </si>
  <si>
    <t>Produced Water Transfer Pumps Speed Controller</t>
  </si>
  <si>
    <t>LIC_101.KD</t>
  </si>
  <si>
    <t>Produced Water Transfer Pumps Speed Controller - Derivative</t>
  </si>
  <si>
    <t>LIC_101.KI</t>
  </si>
  <si>
    <t>Produced Water Transfer Pumps Speed Controller - Integral</t>
  </si>
  <si>
    <t>LIC_101.KP</t>
  </si>
  <si>
    <t>Produced Water Transfer Pumps Speed Controller - Proportional</t>
  </si>
  <si>
    <t>LIC_101.MAXO</t>
  </si>
  <si>
    <t>Produced Water Transfer Pumps Speed Controller - Maximum CV</t>
  </si>
  <si>
    <t>LIC_101.MINO</t>
  </si>
  <si>
    <t>Produced Water Transfer Pumps Speed Controller - Minimum CV</t>
  </si>
  <si>
    <t>LIC_101.OUT</t>
  </si>
  <si>
    <t>Produced Water Transfer Pumps Speed Controller - Control Variable</t>
  </si>
  <si>
    <t>LIC_101.PV</t>
  </si>
  <si>
    <t>Produced Water Transfer Pumps Speed Controller - Process Variable</t>
  </si>
  <si>
    <t>LIC_101.SO</t>
  </si>
  <si>
    <t>Produced Water Transfer Pumps Speed Controller - Manual Output</t>
  </si>
  <si>
    <t>LIC_101.SP</t>
  </si>
  <si>
    <t>Produced Water Transfer Pumps Speed Controller - Setpoint</t>
  </si>
  <si>
    <t>LIC_101.SWM</t>
  </si>
  <si>
    <t>Produced Water Transfer Pumps Speed Controller - Auto/Manual Mode</t>
  </si>
  <si>
    <t>lcv_101a</t>
  </si>
  <si>
    <t>LCV-101A</t>
  </si>
  <si>
    <t>Produced Water Transfer Pumps Recycle Control Valve</t>
  </si>
  <si>
    <t>LIC_101A.KD</t>
  </si>
  <si>
    <t>Produced Water Transfer Pumps Recycle Control Valve - Derivative</t>
  </si>
  <si>
    <t>LIC_101A.KI</t>
  </si>
  <si>
    <t>Produced Water Transfer Pumps Recycle Control Valve - Integral</t>
  </si>
  <si>
    <t>LIC_101A.KP</t>
  </si>
  <si>
    <t>Produced Water Transfer Pumps Recycle Control Valve - Proportional</t>
  </si>
  <si>
    <t>LIC_101A.MAXO</t>
  </si>
  <si>
    <t>Produced Water Transfer Pumps Recycle Control Valve - Maximum CV</t>
  </si>
  <si>
    <t>LIC_101A.MINO</t>
  </si>
  <si>
    <t>Produced Water Transfer Pumps Recycle Control Valve - Minimum CV</t>
  </si>
  <si>
    <t>LIC_101A.MO</t>
  </si>
  <si>
    <t>Produced Water Transfer Pumps Recycle Control Valve - Manual Mode</t>
  </si>
  <si>
    <t>LIC_101A.OUT</t>
  </si>
  <si>
    <t>Produced Water Transfer Pumps Recycle Control Valve - Control Variable</t>
  </si>
  <si>
    <t>LIC_101A.PV</t>
  </si>
  <si>
    <t>Produced Water Transfer Pumps Recycle Control Valve - Process Variable</t>
  </si>
  <si>
    <t>LIC_101A.SO</t>
  </si>
  <si>
    <t>Produced Water Transfer Pumps Recycle Control Valve - Manual Output</t>
  </si>
  <si>
    <t>LIC_101A.SP</t>
  </si>
  <si>
    <t>Produced Water Transfer Pumps Recycle Control Valve - Setpoint</t>
  </si>
  <si>
    <t>LIC_101A.SWM</t>
  </si>
  <si>
    <t>Produced Water Transfer Pumps Recycle Control Valve - Auto/Manual Mode</t>
  </si>
  <si>
    <t>lcv_701a</t>
  </si>
  <si>
    <t>LCV-701A</t>
  </si>
  <si>
    <t>Free Water Knock Out Oil Level Control Valve</t>
  </si>
  <si>
    <t>LIC_701A.KD</t>
  </si>
  <si>
    <t>Free Water Knock Out Oil Level Control Valve - Derivative</t>
  </si>
  <si>
    <t>LIC_701A.KI</t>
  </si>
  <si>
    <t>Free Water Knock Out Oil Level Control Valve - Integral</t>
  </si>
  <si>
    <t>LIC_701A.KP</t>
  </si>
  <si>
    <t>Free Water Knock Out Oil Level Control Valve - Proportional</t>
  </si>
  <si>
    <t>LIC_701A.MAXO</t>
  </si>
  <si>
    <t>Free Water Knock Out Oil Level Control Valve - Maximum CV</t>
  </si>
  <si>
    <t>LIC_701A.MINO</t>
  </si>
  <si>
    <t>Free Water Knock Out Oil Level Control Valve - Minimum CV</t>
  </si>
  <si>
    <t>LIC_701A.OUT</t>
  </si>
  <si>
    <t>Free Water Knock Out Oil Level Control Valve - Control Variable</t>
  </si>
  <si>
    <t>LIC_701A.PV</t>
  </si>
  <si>
    <t>Free Water Knock Out Oil Level Control Valve - Process Variable</t>
  </si>
  <si>
    <t>LIC_701A.SO</t>
  </si>
  <si>
    <t>Free Water Knock Out Oil Level Control Valve - Manual Output</t>
  </si>
  <si>
    <t>LIC_701A.SP</t>
  </si>
  <si>
    <t>Free Water Knock Out Oil Level Control Valve - Setpoint</t>
  </si>
  <si>
    <t>LIC_701A.SWM</t>
  </si>
  <si>
    <t>Free Water Knock Out Oil Level Control Valve - Auto/Manual Mode</t>
  </si>
  <si>
    <t>lxic_701b</t>
  </si>
  <si>
    <t>LXIC-701B</t>
  </si>
  <si>
    <t>Free Water Knock Out Interface Level Controller</t>
  </si>
  <si>
    <t>LIC_701B_TB</t>
  </si>
  <si>
    <t>Free Water Knock Out Interface Level Controller - Manual Output</t>
  </si>
  <si>
    <t>Local:16:O.Data.0</t>
  </si>
  <si>
    <t>pit_301</t>
  </si>
  <si>
    <t>PIT-301</t>
  </si>
  <si>
    <t>Test Separator 2 Inlet Pressure</t>
  </si>
  <si>
    <t>Test Separator 2 Inlet Pressure - PV Maximum Scaled Value</t>
  </si>
  <si>
    <t>Test Separator 2 Inlet Pressure - PV Minimum Scaled Value</t>
  </si>
  <si>
    <t>pit_701</t>
  </si>
  <si>
    <t>PIT-701</t>
  </si>
  <si>
    <t>Oil Transfer Pump Suction Header Pressure</t>
  </si>
  <si>
    <t>Oil Transfer Pump Suction Header Pressure - PV Maximum Scaled Value</t>
  </si>
  <si>
    <t>Oil Transfer Pump Suction Header Pressure - PV Minimum Scaled Value</t>
  </si>
  <si>
    <t>Oil Transfer Pumps Discharge BS&amp;W - PV Maximum Scaled Value</t>
  </si>
  <si>
    <t>Oil Transfer Pumps Discharge BS&amp;W - PV Minimum Scaled Value</t>
  </si>
  <si>
    <t>pit_1701</t>
  </si>
  <si>
    <t>PIT-1701</t>
  </si>
  <si>
    <t>Oil Transfer Pumps Discharge Header Pressure</t>
  </si>
  <si>
    <t>Oil Transfer Pumps Discharge Header Pressure - PV Maximum Scaled Value</t>
  </si>
  <si>
    <t>Oil Transfer Pumps Discharge Header Pressure - PV Minimum Scaled Value</t>
  </si>
  <si>
    <t>Test Separator 1 Pressure - PV Maximum Scaled Value</t>
  </si>
  <si>
    <t>Test Separator 1 Pressure - PV Minimum Scaled Value</t>
  </si>
  <si>
    <t>pit_300</t>
  </si>
  <si>
    <t>PIT-300</t>
  </si>
  <si>
    <t>Test Separator 2 Pressure</t>
  </si>
  <si>
    <t>Test Separator 2 Pressure - PV Maximum Scaled Value</t>
  </si>
  <si>
    <t>Test Separator 2 Pressure - PV Minimum Scaled Value</t>
  </si>
  <si>
    <t>Free Water Knock Out Inlet Pressure</t>
  </si>
  <si>
    <t>Free Water Knock Out Inlet Pressure - PV Maximum Scaled Value</t>
  </si>
  <si>
    <t>Free Water Knock Out Inlet Pressure - PV Minimum Scaled Value</t>
  </si>
  <si>
    <t>Test Separator 1 Inlet Pressure - PV Maximum Scaled Value</t>
  </si>
  <si>
    <t>Test Separator 1 Inlet Pressure - PV Minimum Scaled Value</t>
  </si>
  <si>
    <t>Local:4:I.Ch8Data</t>
  </si>
  <si>
    <t>Free Water Knock Out Inlet Pressure - Process Value</t>
  </si>
  <si>
    <t>Local:5:C.Ch0Config.HighEngineering</t>
  </si>
  <si>
    <t>T-1 Produced Water Tank Interface Level - PV Maximum Scaled Value</t>
  </si>
  <si>
    <t>Local:5:C.Ch0Config.LowEngineering</t>
  </si>
  <si>
    <t>T-1 Produced Water Tank Interface Level - PV Minimum Scaled Value</t>
  </si>
  <si>
    <t>Local:5:C.Ch10Config.HighEngineering</t>
  </si>
  <si>
    <t>Free Water Knock Out Oil Outlet BS&amp;W - PV Maximum Scaled Value</t>
  </si>
  <si>
    <t>Local:5:C.Ch10Config.LowEngineering</t>
  </si>
  <si>
    <t>Free Water Knock Out Oil Outlet BS&amp;W - PV Minimum Scaled Value</t>
  </si>
  <si>
    <t>Local:5:C.Ch12Config.HighEngineering</t>
  </si>
  <si>
    <t>Oil Separator Interface Level - PV Maximum Scaled Value</t>
  </si>
  <si>
    <t>Local:5:C.Ch12Config.LowEngineering</t>
  </si>
  <si>
    <t>Oil Separator Interface Level - PV Minimum Scaled Value</t>
  </si>
  <si>
    <t>lxit_701</t>
  </si>
  <si>
    <t>LXIT-701</t>
  </si>
  <si>
    <t>Free Water Knock Out Interface Level (Drexelbrook)</t>
  </si>
  <si>
    <t>Local:5:C.Ch13Config.HighEngineering</t>
  </si>
  <si>
    <t>Free Water Knock Out Interface Level (Drexelbrook) - PV Maximum Scaled Value</t>
  </si>
  <si>
    <t>Local:5:C.Ch13Config.LowEngineering</t>
  </si>
  <si>
    <t>Free Water Knock Out Interface Level (Drexelbrook) - PV Minimum Scaled Value</t>
  </si>
  <si>
    <t>lxit_701a</t>
  </si>
  <si>
    <t>LXIT-701A</t>
  </si>
  <si>
    <t>Free Water Knock Out Interface Level (Bridle Mounted)</t>
  </si>
  <si>
    <t>Local:5:C.Ch15Config.HighEngineering</t>
  </si>
  <si>
    <t>Free Water Knock Out Interface Level (Bridle Mounted) - PV Maximum Scaled Value</t>
  </si>
  <si>
    <t>Local:5:C.Ch15Config.LowEngineering</t>
  </si>
  <si>
    <t>Free Water Knock Out Interface Level (Bridle Mounted) - PV Minimum Scaled Value</t>
  </si>
  <si>
    <t>Local:5:C.Ch1Config.HighEngineering</t>
  </si>
  <si>
    <t>T-1 Produced Water Tank Overall Level - PV Maximum Scaled Value</t>
  </si>
  <si>
    <t>Local:5:C.Ch1Config.LowEngineering</t>
  </si>
  <si>
    <t>T-1 Produced Water Tank Overall Level - PV Minimum Scaled Value</t>
  </si>
  <si>
    <t>Local:5:C.Ch2Config.HighEngineering</t>
  </si>
  <si>
    <t>Produced Water Transfer Pumps Discharge Flow - PV Maximum Scaled Value</t>
  </si>
  <si>
    <t>Local:5:C.Ch2Config.LowEngineering</t>
  </si>
  <si>
    <t>Produced Water Transfer Pumps Discharge Flow - PV Minimum Scaled Value</t>
  </si>
  <si>
    <t>Produced Water Transfer Pumps Discharge Header Pressure</t>
  </si>
  <si>
    <t>Local:5:C.Ch3Config.HighEngineering</t>
  </si>
  <si>
    <t>Produced Water Transfer Pumps Discharge Header Pressure - PV Maximum Scaled Value</t>
  </si>
  <si>
    <t>Local:5:C.Ch3Config.LowEngineering</t>
  </si>
  <si>
    <t>Produced Water Transfer Pumps Discharge Header Pressure - PV Minimum Scaled Value</t>
  </si>
  <si>
    <t>Free Water Knock Out Weir Level - PV Maximum Scaled Value</t>
  </si>
  <si>
    <t>Free Water Knock Out Weir Level - PV Minimum Scaled Value</t>
  </si>
  <si>
    <t>Local:5:C.Ch7Config.HighEngineering</t>
  </si>
  <si>
    <t>Produced Water Transfer Pumps Recycle Flow - PV Maximum Scaled Value</t>
  </si>
  <si>
    <t>Local:5:C.Ch7Config.LowEngineering</t>
  </si>
  <si>
    <t>Produced Water Transfer Pumps Recycle Flow - PV Minimum Scaled Value</t>
  </si>
  <si>
    <t>pit_701a</t>
  </si>
  <si>
    <t>PIT-701A</t>
  </si>
  <si>
    <t>Free Water Knock Out Vessel Pressure</t>
  </si>
  <si>
    <t>Local:5:C.Ch8Config.HighEngineering</t>
  </si>
  <si>
    <t>Free Water Knock Out Vessel Pressure - PV Maximum Scaled Value</t>
  </si>
  <si>
    <t>Local:5:C.Ch8Config.LowEngineering</t>
  </si>
  <si>
    <t>Free Water Knock Out Vessel Pressure - PV Minimum Scaled Value</t>
  </si>
  <si>
    <t>Local:5:I.Ch13Data</t>
  </si>
  <si>
    <t>Free Water Knock Out Interface Level (Drexelbrook) - Process Value</t>
  </si>
  <si>
    <t>Local:6:C.Ch0Config.HighEngineering</t>
  </si>
  <si>
    <t>Oil Separator Weir Level - PV Maximum Scaled Value</t>
  </si>
  <si>
    <t>Local:6:C.Ch0Config.LowEngineering</t>
  </si>
  <si>
    <t>Oil Separator Weir Level - PV Minimum Scaled Value</t>
  </si>
  <si>
    <t>pit_801</t>
  </si>
  <si>
    <t>PIT-801</t>
  </si>
  <si>
    <t>Oil Separator Pressure</t>
  </si>
  <si>
    <t>Local:6:C.Ch2Config.HighEngineering</t>
  </si>
  <si>
    <t>Oil Separator Pressure - PV Maximum Scaled Value</t>
  </si>
  <si>
    <t>Local:6:C.Ch2Config.LowEngineering</t>
  </si>
  <si>
    <t>Oil Separator Pressure - PV Minimum Scaled Value</t>
  </si>
  <si>
    <t>Local:6:I.Ch10Data</t>
  </si>
  <si>
    <t>Produced Water Transfer Pump - Motor Current</t>
  </si>
  <si>
    <t>Local:6:I.Ch7Data</t>
  </si>
  <si>
    <t>Produced Water Transfer Pump - Speed Feedback</t>
  </si>
  <si>
    <t>Local:6:I.Ch8Data</t>
  </si>
  <si>
    <t>Local:6:I.Ch9Data</t>
  </si>
  <si>
    <t>Free Water Knock Out Interface Level Switch High High - PV Maximum Scaled Value</t>
  </si>
  <si>
    <t>Free Water Knock Out Interface Level Switch High High - PV Minimum Scaled Value</t>
  </si>
  <si>
    <t>Test Separator 1 Level Switch High - PV Maximum Scaled Value</t>
  </si>
  <si>
    <t>Test Separator 1 Level Switch High - PV Minimum Scaled Value</t>
  </si>
  <si>
    <t>Test Separator 1 Level Switch Low - PV Maximum Scaled Value</t>
  </si>
  <si>
    <t>Test Separator 1 Level Switch Low - PV Minimum Scaled Value</t>
  </si>
  <si>
    <t>lsh_301</t>
  </si>
  <si>
    <t>LSH-301</t>
  </si>
  <si>
    <t>Test Separator 2 Level Switch High</t>
  </si>
  <si>
    <t>Local:7:C.Ch12Config.HighEngineering</t>
  </si>
  <si>
    <t>Test Separator 2 Level Switch High - PV Maximum Scaled Value</t>
  </si>
  <si>
    <t>Local:7:C.Ch12Config.LowEngineering</t>
  </si>
  <si>
    <t>Test Separator 2 Level Switch High - PV Minimum Scaled Value</t>
  </si>
  <si>
    <t>lsl_301</t>
  </si>
  <si>
    <t>LSL-301</t>
  </si>
  <si>
    <t>Test Separator 2 Level Switch Low</t>
  </si>
  <si>
    <t>Test Separator 2 Level Switch Low - PV Maximum Scaled Value</t>
  </si>
  <si>
    <t>Test Separator 2 Level Switch Low - PV Minimum Scaled Value</t>
  </si>
  <si>
    <t>Local:7:C.Ch1Config.HighEngineering</t>
  </si>
  <si>
    <t>Free Water Knock Out Interface Level Switch Low Low - PV Maximum Scaled Value</t>
  </si>
  <si>
    <t>Local:7:C.Ch1Config.LowEngineering</t>
  </si>
  <si>
    <t>Free Water Knock Out Interface Level Switch Low Low - PV Minimum Scaled Value</t>
  </si>
  <si>
    <t>Local:7:C.Ch4Config.HighEngineering</t>
  </si>
  <si>
    <t>Oil Separator Interface Level Switch High High - PV Maximum Scaled Value</t>
  </si>
  <si>
    <t>Local:7:C.Ch4Config.LowEngineering</t>
  </si>
  <si>
    <t>Oil Separator Interface Level Switch High High - PV Minimum Scaled Value</t>
  </si>
  <si>
    <t>Oil Separator Interface Level Switch Low Low - PV Maximum Scaled Value</t>
  </si>
  <si>
    <t>Oil Separator Interface Level Switch Low Low - PV Minimum Scaled Value</t>
  </si>
  <si>
    <t>T-1 Produced Water Tank Level Switch Low Low - PV Maximum Scaled Value</t>
  </si>
  <si>
    <t>T-1 Produced Water Tank Level Switch Low Low - PV Minimum Scaled Value</t>
  </si>
  <si>
    <t>Local:7:I.Ch0Data</t>
  </si>
  <si>
    <t>Free Water Knock Out Interface Level Switch High High - Process Value</t>
  </si>
  <si>
    <t>Local:7:I.Ch10Data</t>
  </si>
  <si>
    <t>Test Separator 1 Level Switch High - Process Value</t>
  </si>
  <si>
    <t>Local:7:I.Ch11Data</t>
  </si>
  <si>
    <t>Test Separator 1 Level Switch Low - Process Value</t>
  </si>
  <si>
    <t>Local:7:I.Ch12Data</t>
  </si>
  <si>
    <t>Test Separator 2 Level Switch High - Process Value</t>
  </si>
  <si>
    <t>Test Separator 2 Level Switch Low - Process Value</t>
  </si>
  <si>
    <t>Local:7:I.Ch1Data</t>
  </si>
  <si>
    <t>Free Water Knock Out Interface Level Switch Low Low - Process Value</t>
  </si>
  <si>
    <t>Local:7:I.Ch4Data</t>
  </si>
  <si>
    <t>Oil Separator Interface Level Switch High High - Process Value</t>
  </si>
  <si>
    <t>Local:7:I.Ch5Data</t>
  </si>
  <si>
    <t>Oil Separator Interface Level Switch Low Low - Process Value</t>
  </si>
  <si>
    <t>Free Water Knock Out Weir Level Switch High</t>
  </si>
  <si>
    <t>LSH_701</t>
  </si>
  <si>
    <t>Free Water Knock Out Weir Level Switch High - Input</t>
  </si>
  <si>
    <t>lsh_801</t>
  </si>
  <si>
    <t>LSH-801</t>
  </si>
  <si>
    <t>Oil Separator Weir Level Switch High</t>
  </si>
  <si>
    <t>LSH_801</t>
  </si>
  <si>
    <t>Oil Separator Weir Level Switch High - Input</t>
  </si>
  <si>
    <t>T-1 Produced Water Tank Level Switch High High</t>
  </si>
  <si>
    <t>LSHH_101</t>
  </si>
  <si>
    <t>T-1 Produced Water Tank Level Switch High High - Process Value</t>
  </si>
  <si>
    <t>LSHH_701</t>
  </si>
  <si>
    <t>Free Water Knock Out Weir Level Switch High High - Process Value</t>
  </si>
  <si>
    <t>LSHH_801</t>
  </si>
  <si>
    <t>Oil Separator Weir Level Switch High High - Process Value</t>
  </si>
  <si>
    <t>lsl_801</t>
  </si>
  <si>
    <t>LSL-801</t>
  </si>
  <si>
    <t>Oil Separator Weir Level Switch Low</t>
  </si>
  <si>
    <t>LSL_801</t>
  </si>
  <si>
    <t>Oil Separator Weir Level Switch Low - Input</t>
  </si>
  <si>
    <t>LSLL_701</t>
  </si>
  <si>
    <t>Free Water Knock Out Weir Level Switch Low - Process Value</t>
  </si>
  <si>
    <t>LSLL_801</t>
  </si>
  <si>
    <t>Oil Separator Weir Level Switch Low Low - Process Value</t>
  </si>
  <si>
    <t>LXIC_701B.KD</t>
  </si>
  <si>
    <t>Free Water Knock Out Interface Level Controller - Derivative</t>
  </si>
  <si>
    <t>LXIC_701B.KI</t>
  </si>
  <si>
    <t>Free Water Knock Out Interface Level Controller - Integral</t>
  </si>
  <si>
    <t>LXIC_701B.KP</t>
  </si>
  <si>
    <t>Free Water Knock Out Interface Level Controller - Proportional</t>
  </si>
  <si>
    <t>LXIC_701B.MAXO</t>
  </si>
  <si>
    <t>Free Water Knock Out Interface Level Controller - Maximum CV</t>
  </si>
  <si>
    <t>LXIC_701B.MINO</t>
  </si>
  <si>
    <t>Free Water Knock Out Interface Level Controller - Minimum CV</t>
  </si>
  <si>
    <t>0=Auto;=Manual</t>
  </si>
  <si>
    <t>LXIC_701B.MO</t>
  </si>
  <si>
    <t>Free Water Knock Out Interface Level Controller - Auto/Manual Mode</t>
  </si>
  <si>
    <t>LXIC_701B.OUT</t>
  </si>
  <si>
    <t>Free Water Knock Out Interface Level Controller - Control Variable</t>
  </si>
  <si>
    <t>LXIC_701B.PV</t>
  </si>
  <si>
    <t>Free Water Knock Out Interface Level Controller - Process Variable</t>
  </si>
  <si>
    <t>LXIC_701B.SP</t>
  </si>
  <si>
    <t>Free Water Knock Out Interface Level Controller - Setpoint</t>
  </si>
  <si>
    <t>lxcv_801a</t>
  </si>
  <si>
    <t>LXCV-801A</t>
  </si>
  <si>
    <t>Oil Separator Primary Water Out Control Valve (2")</t>
  </si>
  <si>
    <t>LXIC_801A.KD</t>
  </si>
  <si>
    <t>Oil Separator Primary Water Out Control Valve (2") - Derivative</t>
  </si>
  <si>
    <t>LXIC_801A.KI</t>
  </si>
  <si>
    <t>Oil Separator Primary Water Out Control Valve (2") - Integral</t>
  </si>
  <si>
    <t>LXIC_801A.KP</t>
  </si>
  <si>
    <t>Oil Separator Primary Water Out Control Valve (2") - Proportional</t>
  </si>
  <si>
    <t>LXIC_801A.MAXO</t>
  </si>
  <si>
    <t>Oil Separator Primary Water Out Control Valve (2") - Maximum CV</t>
  </si>
  <si>
    <t>LXIC_801A.MINO</t>
  </si>
  <si>
    <t>Oil Separator Primary Water Out Control Valve (2") - Minimum CV</t>
  </si>
  <si>
    <t>LXIC_801A.OUT</t>
  </si>
  <si>
    <t>Oil Separator Primary Water Out Control Valve (2") - Control Variable</t>
  </si>
  <si>
    <t>LXIC_801A.PV</t>
  </si>
  <si>
    <t>Oil Separator Primary Water Out Control Valve (2") - Process Variable</t>
  </si>
  <si>
    <t>LXIC_801A.SO</t>
  </si>
  <si>
    <t>Oil Separator Primary Water Out Control Valve (2") - Manual Output</t>
  </si>
  <si>
    <t>LXIC_801A.SP</t>
  </si>
  <si>
    <t>Oil Separator Primary Water Out Control Valve (2") - Setpoint</t>
  </si>
  <si>
    <t>LXIC_801A.SWM</t>
  </si>
  <si>
    <t>Oil Separator Primary Water Out Control Valve (2") - Auto/Manual Mode</t>
  </si>
  <si>
    <t>lxcv_801c</t>
  </si>
  <si>
    <t>LXCV-801C</t>
  </si>
  <si>
    <t>Oil Separator Secondary Water Out Control Valve (6")</t>
  </si>
  <si>
    <t>LXIC_801C.KD</t>
  </si>
  <si>
    <t>Oil Separator Secondary Water Out Control Valve (6") - Derivative</t>
  </si>
  <si>
    <t>LXIC_801C.KI</t>
  </si>
  <si>
    <t>Oil Separator Secondary Water Out Control Valve (6") - Integral</t>
  </si>
  <si>
    <t>LXIC_801C.KP</t>
  </si>
  <si>
    <t>Oil Separator Secondary Water Out Control Valve (6") - Proportional</t>
  </si>
  <si>
    <t>LXIC_801C.MAXO</t>
  </si>
  <si>
    <t>Oil Separator Secondary Water Out Control Valve (6") - Maximum CV</t>
  </si>
  <si>
    <t>LXIC_801C.MINO</t>
  </si>
  <si>
    <t>Oil Separator Secondary Water Out Control Valve (6") - Minimum CV</t>
  </si>
  <si>
    <t>LXIC_801C.OUT</t>
  </si>
  <si>
    <t>Oil Separator Secondary Water Out Control Valve (6") - Control Variable</t>
  </si>
  <si>
    <t>LXIC_801C.PV</t>
  </si>
  <si>
    <t>Oil Separator Secondary Water Out Control Valve (6") - Process Variable</t>
  </si>
  <si>
    <t>LXIC_801C.SO</t>
  </si>
  <si>
    <t>Oil Separator Secondary Water Out Control Valve (6") - Manual Output</t>
  </si>
  <si>
    <t>LXIC_801C.SP</t>
  </si>
  <si>
    <t>Oil Separator Secondary Water Out Control Valve (6") - Setpoint</t>
  </si>
  <si>
    <t>LXIC_801C.SWM</t>
  </si>
  <si>
    <t>Oil Separator Secondary Water Out Control Valve (6") - Auto/Manual Mode</t>
  </si>
  <si>
    <t>LXT_701_SELECTED</t>
  </si>
  <si>
    <t>Free Water Knock Out Interface Level (Selected) - Process Value</t>
  </si>
  <si>
    <t>P1_AUTO</t>
  </si>
  <si>
    <t>Produced Water Transfer Pump - Auto Status</t>
  </si>
  <si>
    <t>P2_AUTO</t>
  </si>
  <si>
    <t>P4_AUTO</t>
  </si>
  <si>
    <t>P5_AUTO</t>
  </si>
  <si>
    <t>pcv_700</t>
  </si>
  <si>
    <t>PCV-700</t>
  </si>
  <si>
    <t>Free Water Knock Out Gas Out Control Valve</t>
  </si>
  <si>
    <t>PIC_700.KD</t>
  </si>
  <si>
    <t>Free Water Knock Out Gas Out Control Valve - Derivative</t>
  </si>
  <si>
    <t>PIC_700.KI</t>
  </si>
  <si>
    <t>Free Water Knock Out Gas Out Control Valve - Integral</t>
  </si>
  <si>
    <t>PIC_700.KP</t>
  </si>
  <si>
    <t>Free Water Knock Out Gas Out Control Valve - Proportional</t>
  </si>
  <si>
    <t>PIC_700.MAXO</t>
  </si>
  <si>
    <t>Free Water Knock Out Gas Out Control Valve - Maximum CV</t>
  </si>
  <si>
    <t>PIC_700.MINO</t>
  </si>
  <si>
    <t>Free Water Knock Out Gas Out Control Valve - Minimum CV</t>
  </si>
  <si>
    <t>PIC_700.MO</t>
  </si>
  <si>
    <t>Free Water Knock Out Gas Out Control Valve - Manual Mode</t>
  </si>
  <si>
    <t>PIC_700.OUT</t>
  </si>
  <si>
    <t>Free Water Knock Out Gas Out Control Valve - Control Variable</t>
  </si>
  <si>
    <t>PIC_700.PV</t>
  </si>
  <si>
    <t>Free Water Knock Out Gas Out Control Valve - Process Variable</t>
  </si>
  <si>
    <t>PIC_700.SO</t>
  </si>
  <si>
    <t>Free Water Knock Out Gas Out Control Valve - Manual Output</t>
  </si>
  <si>
    <t>PIC_700.SP</t>
  </si>
  <si>
    <t>Free Water Knock Out Gas Out Control Valve - Setpoint</t>
  </si>
  <si>
    <t>PIC_700.SWM</t>
  </si>
  <si>
    <t>Free Water Knock Out Gas Out Control Valve - Auto/Manual Mode</t>
  </si>
  <si>
    <t>pcv_802</t>
  </si>
  <si>
    <t>PCV-802</t>
  </si>
  <si>
    <t>Oil Separator Gas Out Control Valve to Low Pressure</t>
  </si>
  <si>
    <t>PIC_802.KD</t>
  </si>
  <si>
    <t>Oil Separator Gas Out Control Valve to Low Pressure - Derivative</t>
  </si>
  <si>
    <t>PIC_802.KI</t>
  </si>
  <si>
    <t>Oil Separator Gas Out Control Valve to Low Pressure - Integral</t>
  </si>
  <si>
    <t>PIC_802.KP</t>
  </si>
  <si>
    <t>Oil Separator Gas Out Control Valve to Low Pressure - Proportional</t>
  </si>
  <si>
    <t>PIC_802.MAXO</t>
  </si>
  <si>
    <t>Oil Separator Gas Out Control Valve to Low Pressure - Maximum CV</t>
  </si>
  <si>
    <t>PIC_802.MINO</t>
  </si>
  <si>
    <t>Oil Separator Gas Out Control Valve to Low Pressure - Minimum CV</t>
  </si>
  <si>
    <t>PIC_802.OUT</t>
  </si>
  <si>
    <t>Oil Separator Gas Out Control Valve to Low Pressure - Control Variable</t>
  </si>
  <si>
    <t>PIC_802.PV</t>
  </si>
  <si>
    <t>Oil Separator Gas Out Control Valve to Low Pressure - Process Variable</t>
  </si>
  <si>
    <t>PIC_802.SO</t>
  </si>
  <si>
    <t>Oil Separator Gas Out Control Valve to Low Pressure - Manual Output</t>
  </si>
  <si>
    <t>PIC_802.SP</t>
  </si>
  <si>
    <t>Oil Separator Gas Out Control Valve to Low Pressure - Setpoint</t>
  </si>
  <si>
    <t>PIC_802.SWM</t>
  </si>
  <si>
    <t>Oil Separator Gas Out Control Valve to Low Pressure - Auto/Manual Mode</t>
  </si>
  <si>
    <t>pcv_802b</t>
  </si>
  <si>
    <t>PCV-802B</t>
  </si>
  <si>
    <t>Oil Separator Gas Out Control Valve to Vacuum</t>
  </si>
  <si>
    <t>PIC_802B.KD</t>
  </si>
  <si>
    <t>Oil Separator Gas Out Control Valve to Vacuum - Derivative</t>
  </si>
  <si>
    <t>PIC_802B.KI</t>
  </si>
  <si>
    <t>Oil Separator Gas Out Control Valve to Vacuum - Integral</t>
  </si>
  <si>
    <t>PIC_802B.KP</t>
  </si>
  <si>
    <t>Oil Separator Gas Out Control Valve to Vacuum - Proportional</t>
  </si>
  <si>
    <t>PIC_802B.MAXO</t>
  </si>
  <si>
    <t>Oil Separator Gas Out Control Valve to Vacuum - Maximum CV</t>
  </si>
  <si>
    <t>PIC_802B.MINO</t>
  </si>
  <si>
    <t>Oil Separator Gas Out Control Valve to Vacuum - Minimum CV</t>
  </si>
  <si>
    <t>PIC_802B.MO</t>
  </si>
  <si>
    <t>Oil Separator Gas Out Control Valve to Vacuum - Manual Mode</t>
  </si>
  <si>
    <t>PIC_802B.OUT</t>
  </si>
  <si>
    <t>Oil Separator Gas Out Control Valve to Vacuum - Control Variable</t>
  </si>
  <si>
    <t>PIC_802B.PV</t>
  </si>
  <si>
    <t>Oil Separator Gas Out Control Valve to Vacuum - Process Variable</t>
  </si>
  <si>
    <t>PIC_802B.SO</t>
  </si>
  <si>
    <t>Oil Separator Gas Out Control Valve to Vacuum - Manual Output</t>
  </si>
  <si>
    <t>PIC_802B.SP</t>
  </si>
  <si>
    <t>Oil Separator Gas Out Control Valve to Vacuum - Setpoint</t>
  </si>
  <si>
    <t>PIC_802B.SWM</t>
  </si>
  <si>
    <t>Oil Separator Gas Out Control Valve to Vacuum - Auto/Manual Mode</t>
  </si>
  <si>
    <t>pcv_802c</t>
  </si>
  <si>
    <t>PCV-802C</t>
  </si>
  <si>
    <t>Oil Separator Gas Makeup Control Valve</t>
  </si>
  <si>
    <t>PIC_802C.KD</t>
  </si>
  <si>
    <t>Oil Separator Gas Makeup Control Valve - Derivative</t>
  </si>
  <si>
    <t>PIC_802C.KI</t>
  </si>
  <si>
    <t>Oil Separator Gas Makeup Control Valve - Integral</t>
  </si>
  <si>
    <t>PIC_802C.KP</t>
  </si>
  <si>
    <t>Oil Separator Gas Makeup Control Valve - Proportional</t>
  </si>
  <si>
    <t>PIC_802C.MAXO</t>
  </si>
  <si>
    <t>Oil Separator Gas Makeup Control Valve - Maximum CV</t>
  </si>
  <si>
    <t>PIC_802C.MINO</t>
  </si>
  <si>
    <t>Oil Separator Gas Makeup Control Valve - Minimum CV</t>
  </si>
  <si>
    <t>PIC_802C.MO</t>
  </si>
  <si>
    <t>Oil Separator Gas Makeup Control Valve - Manual Mode</t>
  </si>
  <si>
    <t>PIC_802C.OUT</t>
  </si>
  <si>
    <t>Oil Separator Gas Makeup Control Valve - Control Variable</t>
  </si>
  <si>
    <t>PIC_802C.PV</t>
  </si>
  <si>
    <t>Oil Separator Gas Makeup Control Valve - Process Variable</t>
  </si>
  <si>
    <t>PIC_802C.SO</t>
  </si>
  <si>
    <t>Oil Separator Gas Makeup Control Valve - Manual Output</t>
  </si>
  <si>
    <t>PIC_802C.SP</t>
  </si>
  <si>
    <t>Oil Separator Gas Makeup Control Valve - Setpoint</t>
  </si>
  <si>
    <t>PIC_802C.SWM</t>
  </si>
  <si>
    <t>Oil Separator Gas Makeup Control Valve - Auto/Manual Mode</t>
  </si>
  <si>
    <t>lic_701_1</t>
  </si>
  <si>
    <t>LIC-701-1</t>
  </si>
  <si>
    <t>Free Water Knock Out High Weir Level Controller</t>
  </si>
  <si>
    <t>PID_CONTROLLERS[0].PID.KD</t>
  </si>
  <si>
    <t>Free Water Knock Out High Weir Level Controller - Derivative</t>
  </si>
  <si>
    <t>PID_CONTROLLERS[0].PID.KI</t>
  </si>
  <si>
    <t>Free Water Knock Out High Weir Level Controller - Integral</t>
  </si>
  <si>
    <t>PID_CONTROLLERS[0].PID.KP</t>
  </si>
  <si>
    <t>Free Water Knock Out High Weir Level Controller - Proportional</t>
  </si>
  <si>
    <t>PID_CONTROLLERS[0].PID.MAXO</t>
  </si>
  <si>
    <t>Free Water Knock Out High Weir Level Controller - Maximum CV</t>
  </si>
  <si>
    <t>PID_CONTROLLERS[0].PID.MINO</t>
  </si>
  <si>
    <t>Free Water Knock Out High Weir Level Controller - Minimum CV</t>
  </si>
  <si>
    <t>PID_CONTROLLERS[0].PID.OUT</t>
  </si>
  <si>
    <t>Free Water Knock Out High Weir Level Controller - Control Variable</t>
  </si>
  <si>
    <t>PID_CONTROLLERS[0].PID.PV</t>
  </si>
  <si>
    <t>Free Water Knock Out High Weir Level Controller - Process Variable</t>
  </si>
  <si>
    <t>PID_CONTROLLERS[0].PID.SO</t>
  </si>
  <si>
    <t>Free Water Knock Out High Weir Level Controller - Manual Output</t>
  </si>
  <si>
    <t>PID_CONTROLLERS[0].PID.SP</t>
  </si>
  <si>
    <t>Free Water Knock Out High Weir Level Controller - Setpoint</t>
  </si>
  <si>
    <t>PID_CONTROLLERS[0].PID.SWM</t>
  </si>
  <si>
    <t>Free Water Knock Out High Weir Level Controller - Auto/Manual Mode</t>
  </si>
  <si>
    <t>PIT_200</t>
  </si>
  <si>
    <t>Test Separator 1 Pressure - Process Value</t>
  </si>
  <si>
    <t>PIT_300</t>
  </si>
  <si>
    <t>Test Separator 2 Pressure - Process Value</t>
  </si>
  <si>
    <t>PIT_301</t>
  </si>
  <si>
    <t>Test Separator 2 Inlet Pressure - Process Value</t>
  </si>
  <si>
    <t>pshh_air</t>
  </si>
  <si>
    <t>PSHH-AIR</t>
  </si>
  <si>
    <t>Instrument Air Pressure Switch High High</t>
  </si>
  <si>
    <t>PRESSURE_SWITCH[10].ALARM</t>
  </si>
  <si>
    <t>Instrument Air Pressure Switch High High - Alarm</t>
  </si>
  <si>
    <t>pshh_802</t>
  </si>
  <si>
    <t>PSHH-802</t>
  </si>
  <si>
    <t>Oil Separator Pressure Switch High High</t>
  </si>
  <si>
    <t>PRESSURE_SWITCH[3].Alarm_High_High</t>
  </si>
  <si>
    <t>Oil Separator Pressure Switch High High - Alarm</t>
  </si>
  <si>
    <t>PRESSURE_SWITCH[3].TMR[0]</t>
  </si>
  <si>
    <t>Oil Separator Pressure Switch High High - Alarm Delay</t>
  </si>
  <si>
    <t>PRESSURE_TRANSMITTER[1].PAH</t>
  </si>
  <si>
    <t>PRESSURE_TRANSMITTER[1].PAH_SP</t>
  </si>
  <si>
    <t>PRESSURE_TRANSMITTER[1].PAH_TMR</t>
  </si>
  <si>
    <t>PRESSURE_TRANSMITTER[1].PAL</t>
  </si>
  <si>
    <t>PRESSURE_TRANSMITTER[1].PAL_SP</t>
  </si>
  <si>
    <t>PRESSURE_TRANSMITTER[1].PAL_TMR</t>
  </si>
  <si>
    <t>PRESSURE_TRANSMITTER[1].VALUE</t>
  </si>
  <si>
    <t>PRESSURE_TRANSMITTER[12].PAL</t>
  </si>
  <si>
    <t>Oil Transfer Pump Suction Header Pressure - Low Alarm</t>
  </si>
  <si>
    <t>PRESSURE_TRANSMITTER[12].PAL_SP</t>
  </si>
  <si>
    <t>Oil Transfer Pump Suction Header Pressure - Low Alarm Setpoint</t>
  </si>
  <si>
    <t>PRESSURE_TRANSMITTER[12].PAL_TMR</t>
  </si>
  <si>
    <t>Oil Transfer Pump Suction Header Pressure - Low Alarm Delay</t>
  </si>
  <si>
    <t>PRESSURE_TRANSMITTER[12].VALUE</t>
  </si>
  <si>
    <t>Oil Transfer Pump Suction Header Pressure - Process Value</t>
  </si>
  <si>
    <t>PRESSURE_TRANSMITTER[2].PAH</t>
  </si>
  <si>
    <t>Oil Transfer Pumps Discharge Header Pressure - High Alarm</t>
  </si>
  <si>
    <t>PRESSURE_TRANSMITTER[2].PAH_SP</t>
  </si>
  <si>
    <t>Oil Transfer Pumps Discharge Header Pressure - High Alarm Setpoint</t>
  </si>
  <si>
    <t>PRESSURE_TRANSMITTER[2].PAH_TMR</t>
  </si>
  <si>
    <t>Oil Transfer Pumps Discharge Header Pressure - High Alarm Delay</t>
  </si>
  <si>
    <t>PRESSURE_TRANSMITTER[2].PAL</t>
  </si>
  <si>
    <t>Oil Transfer Pumps Discharge Header Pressure - Low Alarm</t>
  </si>
  <si>
    <t>PRESSURE_TRANSMITTER[2].PAL_SP</t>
  </si>
  <si>
    <t>Oil Transfer Pumps Discharge Header Pressure - Low Alarm Setpoint</t>
  </si>
  <si>
    <t>PRESSURE_TRANSMITTER[2].PAL_TMR</t>
  </si>
  <si>
    <t>Oil Transfer Pumps Discharge Header Pressure - Low Alarm Delay</t>
  </si>
  <si>
    <t>PRESSURE_TRANSMITTER[2].VALUE</t>
  </si>
  <si>
    <t>Oil Transfer Pumps Discharge Header Pressure - Process Value</t>
  </si>
  <si>
    <t>PRESSURE_TRANSMITTER[3].VALUE</t>
  </si>
  <si>
    <t>Test Separator 1 Inlet Pressure - Process Value</t>
  </si>
  <si>
    <t>PRESSURE_TRANSMITTER[7].PAH</t>
  </si>
  <si>
    <t>Free Water Knock Out Vessel Pressure - High Alarm</t>
  </si>
  <si>
    <t>PRESSURE_TRANSMITTER[7].PAH_SP</t>
  </si>
  <si>
    <t>Free Water Knock Out Vessel Pressure - High Alarm Setpoint</t>
  </si>
  <si>
    <t>PRESSURE_TRANSMITTER[7].PAH_TMR</t>
  </si>
  <si>
    <t>Free Water Knock Out Vessel Pressure - High Alarm Delay</t>
  </si>
  <si>
    <t>PRESSURE_TRANSMITTER[7].PAL</t>
  </si>
  <si>
    <t>Free Water Knock Out Vessel Pressure - Low Alarm</t>
  </si>
  <si>
    <t>PRESSURE_TRANSMITTER[7].PAL_SP</t>
  </si>
  <si>
    <t>Free Water Knock Out Vessel Pressure - Low Alarm Setpoint</t>
  </si>
  <si>
    <t>PRESSURE_TRANSMITTER[7].PAL_TMR</t>
  </si>
  <si>
    <t>Free Water Knock Out Vessel Pressure - Low Alarm Delay</t>
  </si>
  <si>
    <t>PRESSURE_TRANSMITTER[7].VALUE</t>
  </si>
  <si>
    <t>Free Water Knock Out Vessel Pressure - Process Value</t>
  </si>
  <si>
    <t>PRESSURE_TRANSMITTER[8].PAH</t>
  </si>
  <si>
    <t>Oil Separator Pressure - High Alarm</t>
  </si>
  <si>
    <t>PRESSURE_TRANSMITTER[8].PAH_SP</t>
  </si>
  <si>
    <t>Oil Separator Pressure - High Alarm Setpoint</t>
  </si>
  <si>
    <t>PRESSURE_TRANSMITTER[8].PAH_TMR</t>
  </si>
  <si>
    <t>Oil Separator Pressure - High Alarm Delay</t>
  </si>
  <si>
    <t>PRESSURE_TRANSMITTER[8].PAL</t>
  </si>
  <si>
    <t>Oil Separator Pressure - Low Alarm</t>
  </si>
  <si>
    <t>PRESSURE_TRANSMITTER[8].PAL_SP</t>
  </si>
  <si>
    <t>Oil Separator Pressure - Low Alarm Setpoint</t>
  </si>
  <si>
    <t>PRESSURE_TRANSMITTER[8].PAL_TMR</t>
  </si>
  <si>
    <t>Oil Separator Pressure - Low Alarm Delay</t>
  </si>
  <si>
    <t>PRESSURE_TRANSMITTER[8].VALUE</t>
  </si>
  <si>
    <t>Oil Separator Pressure - Process Value</t>
  </si>
  <si>
    <t>PRESSURE_TRANSMITTER[9].PAH</t>
  </si>
  <si>
    <t>Produced Water Transfer Pumps Discharge Header Pressure - High Alarm</t>
  </si>
  <si>
    <t>PRESSURE_TRANSMITTER[9].PAH_SP</t>
  </si>
  <si>
    <t>Produced Water Transfer Pumps Discharge Header Pressure - High Alarm Setpoint</t>
  </si>
  <si>
    <t>PRESSURE_TRANSMITTER[9].PAH_TMR</t>
  </si>
  <si>
    <t>Produced Water Transfer Pumps Discharge Header Pressure - High Alarm Delay</t>
  </si>
  <si>
    <t>PRESSURE_TRANSMITTER[9].PAL</t>
  </si>
  <si>
    <t>Produced Water Transfer Pumps Discharge Header Pressure - Low Alarm</t>
  </si>
  <si>
    <t>PRESSURE_TRANSMITTER[9].PAL_SP</t>
  </si>
  <si>
    <t>Produced Water Transfer Pumps Discharge Header Pressure - Low Alarm Setpoint</t>
  </si>
  <si>
    <t>PRESSURE_TRANSMITTER[9].PAL_TMR</t>
  </si>
  <si>
    <t>Produced Water Transfer Pumps Discharge Header Pressure - Low Alarm Delay</t>
  </si>
  <si>
    <t>PRESSURE_TRANSMITTER[9].VALUE</t>
  </si>
  <si>
    <t>Produced Water Transfer Pumps Discharge Header Pressure - Process Value</t>
  </si>
  <si>
    <t>PSHH_701A</t>
  </si>
  <si>
    <t>Free Water Knock Out Pressure Switch High High - Input</t>
  </si>
  <si>
    <t>PUMP_OIL[4].Fail_to_Run_alarm</t>
  </si>
  <si>
    <t>PUMP_OIL[5].Fail_to_Run_alarm</t>
  </si>
  <si>
    <t>PUMP_WATER[1].Fail_to_Run_alarm</t>
  </si>
  <si>
    <t>Produced Water Transfer Pump - Run Fail</t>
  </si>
  <si>
    <t>PUMP_WATER[2].Fail_to_Run_alarm</t>
  </si>
  <si>
    <t>PUMP_WATER[2].MOTOR_RUNNING</t>
  </si>
  <si>
    <t>Produced Water Transfer Pump - Run Status</t>
  </si>
  <si>
    <t>RACK00_SLOT05_TABLE[11]</t>
  </si>
  <si>
    <t>Free Water Knock Out Interface Level (Bridle Mounted) - Process Value</t>
  </si>
  <si>
    <t>RACK00_SLOT05_TABLE[14]</t>
  </si>
  <si>
    <t>Oil Separator Interface Level - Process Value</t>
  </si>
  <si>
    <t>RACK00_SLOT07_TABLE[9]</t>
  </si>
  <si>
    <t>T-1 Produced Water Tank Level Switch Low Low - Process Value</t>
  </si>
  <si>
    <t>RACK00_SLOT09_TABLE[4]</t>
  </si>
  <si>
    <t>Free Water Knock Out Water Out Control Valve - Output Command</t>
  </si>
  <si>
    <t>lv_801</t>
  </si>
  <si>
    <t>LV-801</t>
  </si>
  <si>
    <t>Oil Separator Oil Out Control Valve</t>
  </si>
  <si>
    <t>RACK00_SLOT10_TABLE[2]</t>
  </si>
  <si>
    <t>Oil Separator Oil Out Control Valve - Output Command</t>
  </si>
  <si>
    <t>RACK00_SLOT13_TABLE[0].2</t>
  </si>
  <si>
    <t>Instrument Air Pressure Switch High High - Input</t>
  </si>
  <si>
    <t>1=Not Open;0=Open</t>
  </si>
  <si>
    <t>RACK00_SLOT14_TABLE[0].1</t>
  </si>
  <si>
    <t>Free Water Knock Out Gas Out to Vent Stack Valve - Open Switch Status</t>
  </si>
  <si>
    <t>RACK00_SLOT14_TABLE[0].12</t>
  </si>
  <si>
    <t>Oil Separator Pressure Switch High High - Input</t>
  </si>
  <si>
    <t>RACK00_SLOT14_TABLE[0].13</t>
  </si>
  <si>
    <t>Tank Farm PLC - Emergency Stop Status</t>
  </si>
  <si>
    <t>RACK00_SLOT14_TABLE[0].2</t>
  </si>
  <si>
    <t>Free Water Knock Out Gas Out to Vent Stack Valve - Closed Switch Status</t>
  </si>
  <si>
    <t>RACK00_SLOT15_TABLE[0].1</t>
  </si>
  <si>
    <t>RACK00_SLOT15_TABLE[0].10</t>
  </si>
  <si>
    <t>RACK00_SLOT15_TABLE[0].7</t>
  </si>
  <si>
    <t>RACK00_SLOT16_TABLE[0].1</t>
  </si>
  <si>
    <t>Produced Water Transfer Pump - Run Command</t>
  </si>
  <si>
    <t>RACK00_SLOT16_TABLE[0].2</t>
  </si>
  <si>
    <t>RACK00_SLOT16_TABLE[0].3</t>
  </si>
  <si>
    <t>RACK00_SLOT16_TABLE[0].4</t>
  </si>
  <si>
    <t>t_1</t>
  </si>
  <si>
    <t>oil_volume</t>
  </si>
  <si>
    <t>T-1</t>
  </si>
  <si>
    <t>Produced Water Tank</t>
  </si>
  <si>
    <t>Oil Pad Volume</t>
  </si>
  <si>
    <t>Produced Water Tank - Oil Pad Volume</t>
  </si>
  <si>
    <t>p_1_2</t>
  </si>
  <si>
    <t>P-1/2</t>
  </si>
  <si>
    <t>Produced Water Transfer Pumps</t>
  </si>
  <si>
    <t>1=P-1 Lead;2=P-2 Lead</t>
  </si>
  <si>
    <t>READFLOAT[911]</t>
  </si>
  <si>
    <t>Produced Water Transfer Pumps - Lead/Lag Status</t>
  </si>
  <si>
    <t>p_4_5</t>
  </si>
  <si>
    <t>P-4/5</t>
  </si>
  <si>
    <t>Oil Transfer Pumps</t>
  </si>
  <si>
    <t>1=P-4 Lead;2=P-5 Lead</t>
  </si>
  <si>
    <t>READFLOAT[914]</t>
  </si>
  <si>
    <t>Oil Transfer Pumps - Lead/Lag Status</t>
  </si>
  <si>
    <t>v_700</t>
  </si>
  <si>
    <t>V-700</t>
  </si>
  <si>
    <t>Free Water Knock Out</t>
  </si>
  <si>
    <t>1=In Service;3=Out of Service</t>
  </si>
  <si>
    <t>READFLOAT1[1002]</t>
  </si>
  <si>
    <t>Free Water Knock Out - Enable</t>
  </si>
  <si>
    <t>Oil Transfer Pumps Discharge Pulse Meter - Rate</t>
  </si>
  <si>
    <t>1=Closed;0=Open</t>
  </si>
  <si>
    <t>SOV_701A</t>
  </si>
  <si>
    <t>Free Water Knock Out Gas Out to Vent Stack Valve - Output Command</t>
  </si>
  <si>
    <t>xv_802a</t>
  </si>
  <si>
    <t>XV-802A</t>
  </si>
  <si>
    <t>Oil Separator Gas Out to Vent Stack Valve</t>
  </si>
  <si>
    <t>SOV_801A</t>
  </si>
  <si>
    <t>Oil Separator Gas Out to Vent Stack Valve - Output Command</t>
  </si>
  <si>
    <t>WRITEFLOAT[1001]</t>
  </si>
  <si>
    <t>Produced Water Tank - Enable</t>
  </si>
  <si>
    <t>WRITEFLOAT[500]</t>
  </si>
  <si>
    <t>WRITEFLOAT[501]</t>
  </si>
  <si>
    <t>WRITEFLOAT[502]</t>
  </si>
  <si>
    <t>WRITEFLOAT[503]</t>
  </si>
  <si>
    <t>WRITEFLOAT[505]</t>
  </si>
  <si>
    <t>WRITEFLOAT[507]</t>
  </si>
  <si>
    <t>WRITEFLOAT[508]</t>
  </si>
  <si>
    <t>WRITEFLOAT[509]</t>
  </si>
  <si>
    <t>reset_lockout</t>
  </si>
  <si>
    <t>Reset Lockout</t>
  </si>
  <si>
    <t>Free Water Knock Out Gas Out to Vent Stack Valve - Reset Lockout</t>
  </si>
  <si>
    <t>WRITEFLOAT[671]</t>
  </si>
  <si>
    <t>WRITEFLOAT[672]</t>
  </si>
  <si>
    <t>WRITEFLOAT[673]</t>
  </si>
  <si>
    <t>WRITEFLOAT[674]</t>
  </si>
  <si>
    <t>WRITEFLOAT[676]</t>
  </si>
  <si>
    <t>WRITEFLOAT[677]</t>
  </si>
  <si>
    <t>WRITEFLOAT[679]</t>
  </si>
  <si>
    <t>Produced Water Transfer Pumps - Lead Start Setpoint</t>
  </si>
  <si>
    <t>WRITEFLOAT[680]</t>
  </si>
  <si>
    <t>Produced Water Transfer Pumps - Lead Stop Setpoint</t>
  </si>
  <si>
    <t>WRITEFLOAT[681]</t>
  </si>
  <si>
    <t>Produced Water Transfer Pumps - Lag Start Setpoint</t>
  </si>
  <si>
    <t>WRITEFLOAT[682]</t>
  </si>
  <si>
    <t>Produced Water Transfer Pumps - Lag Stop Setpoint</t>
  </si>
  <si>
    <t>WRITEFLOAT[699]</t>
  </si>
  <si>
    <t>Oil Transfer Pumps - Lead Start Setpoint</t>
  </si>
  <si>
    <t>WRITEFLOAT[700]</t>
  </si>
  <si>
    <t>Oil Transfer Pumps - Lead Stop Setpoint</t>
  </si>
  <si>
    <t>WRITEFLOAT[701]</t>
  </si>
  <si>
    <t>Oil Transfer Pumps - Lag Start Setpoint</t>
  </si>
  <si>
    <t>WRITEFLOAT[702]</t>
  </si>
  <si>
    <t>Oil Transfer Pumps - Lag Stop Setpoint</t>
  </si>
  <si>
    <t>WRITEFLOAT[740]</t>
  </si>
  <si>
    <t>WRITEFLOAT[795]</t>
  </si>
  <si>
    <t>WRITEFLOAT[796]</t>
  </si>
  <si>
    <t>WRITEFLOAT[803]</t>
  </si>
  <si>
    <t>WRITEFLOAT[804]</t>
  </si>
  <si>
    <t>WRITEFLOAT[806]</t>
  </si>
  <si>
    <t>WRITEFLOAT[807]</t>
  </si>
  <si>
    <t>WRITEFLOAT[808]</t>
  </si>
  <si>
    <t>WRITEFLOAT[815]</t>
  </si>
  <si>
    <t>WRITEFLOAT[816]</t>
  </si>
  <si>
    <t>WRITEFLOAT[819]</t>
  </si>
  <si>
    <t>WRITEFLOAT[823]</t>
  </si>
  <si>
    <t>WRITEFLOAT[824]</t>
  </si>
  <si>
    <t>WRITEFLOAT[831]</t>
  </si>
  <si>
    <t>WRITEFLOAT[832]</t>
  </si>
  <si>
    <t>WRITEFLOAT[851]</t>
  </si>
  <si>
    <t>WRITEFLOAT[852]</t>
  </si>
  <si>
    <t>WRITEFLOAT[855]</t>
  </si>
  <si>
    <t>WRITEFLOAT[856]</t>
  </si>
  <si>
    <t>WRITEFLOAT[861]</t>
  </si>
  <si>
    <t>WRITEFLOAT[862]</t>
  </si>
  <si>
    <t>WRITEFLOAT[865]</t>
  </si>
  <si>
    <t>WRITEFLOAT[875]</t>
  </si>
  <si>
    <t>1=Manual On;2=Enable;3=Disable</t>
  </si>
  <si>
    <t>WRITEFLOAT[901]</t>
  </si>
  <si>
    <t>Produced Water Transfer Pump - Enable</t>
  </si>
  <si>
    <t>WRITEFLOAT[904]</t>
  </si>
  <si>
    <t>WRITEFLOAT[905]</t>
  </si>
  <si>
    <t>WRITEFLOAT[911]</t>
  </si>
  <si>
    <t>WRITEFLOAT[914]</t>
  </si>
  <si>
    <t>level_selection</t>
  </si>
  <si>
    <t>Interface Level Selection</t>
  </si>
  <si>
    <t>1=Drexelbrook;2=Bridle Mounted</t>
  </si>
  <si>
    <t>WRITEFLOAT[998]</t>
  </si>
  <si>
    <t>Free Water Knock Out - Interface Level Selection</t>
  </si>
  <si>
    <t>ZSC_800</t>
  </si>
  <si>
    <t>Oil Separator Gas Out to Vent Stack Valve - Closed Switch Status</t>
  </si>
  <si>
    <t>ZSO_800</t>
  </si>
  <si>
    <t>Oil Separator Gas Out to Vent Stack Valve - Open Switch Status</t>
  </si>
  <si>
    <t>1c_6d</t>
  </si>
  <si>
    <t>WRITEFLOAT[827]</t>
  </si>
  <si>
    <t>TF_6D_1C</t>
  </si>
  <si>
    <t>1C 6D ASZU</t>
  </si>
  <si>
    <t>REAL[2]</t>
  </si>
  <si>
    <t>LEVEL_SWITCH[0].ALARM</t>
  </si>
  <si>
    <t>T-1 Produced Water Tank Level Switch High High - Alarm</t>
  </si>
  <si>
    <t>LEVEL_SWITCH[0].TMR[2]</t>
  </si>
  <si>
    <t>T-1 Produced Water Tank Level Switch High High - Alarm Delay</t>
  </si>
  <si>
    <t>RACK00_SLOT07_TABLE[8]</t>
  </si>
  <si>
    <t>T-1 Produced Water Tank Level Switch High High - PV Maximum Scaled Value</t>
  </si>
  <si>
    <t>T-1 Produced Water Tank Level Switch High High - PV Minimum Scaled Value</t>
  </si>
  <si>
    <t>Local:7:C.Ch2Config.HighEngineering</t>
  </si>
  <si>
    <t>Free Water Knock Out Weir Level Switch High High - PV Maximum Scaled Value</t>
  </si>
  <si>
    <t>Local:7:C.Ch2Config.LowEngineering</t>
  </si>
  <si>
    <t>Free Water Knock Out Weir Level Switch High High - PV Minimum Scaled Value</t>
  </si>
  <si>
    <t>Local:7:C.Ch6Config.HighEngineering</t>
  </si>
  <si>
    <t>Oil Separator Weir Level Switch High High - PV Maximum Scaled Value</t>
  </si>
  <si>
    <t>Local:7:C.Ch6Config.LowEngineering</t>
  </si>
  <si>
    <t>Oil Separator Weir Level Switch High High - PV Minimum Scaled Value</t>
  </si>
  <si>
    <t>Free Water Knock Out Weir Level Switch Low - PV Maximum Scaled Value</t>
  </si>
  <si>
    <t>Free Water Knock Out Weir Level Switch Low - PV Minimum Scaled Value</t>
  </si>
  <si>
    <t>Oil Separator Weir Level Switch Low - Alarm</t>
  </si>
  <si>
    <t>Oil Separator Weir Level Switch Low - Alarm Delay</t>
  </si>
  <si>
    <t>Oil Separator Weir Level Switch Low - Process Value</t>
  </si>
  <si>
    <t>Local:7:C.Ch7Config.HighEngineering</t>
  </si>
  <si>
    <t>Oil Separator Weir Level Switch Low - PV Maximum Scaled Value</t>
  </si>
  <si>
    <t>Local:7:C.Ch7Config.LowEngineering</t>
  </si>
  <si>
    <t>Oil Separator Weir Level Switch Low - PV Minimum Scaled Value</t>
  </si>
  <si>
    <t>LEVEL_TRANSMITTER[2].LAHH</t>
  </si>
  <si>
    <t>LXAHH-701</t>
  </si>
  <si>
    <t>Free Water Knock Out Interface Level (Selected) - High High Alarm</t>
  </si>
  <si>
    <t>LEVEL_TRANSMITTER[2].LAHH_TMR</t>
  </si>
  <si>
    <t>Free Water Knock Out Interface Level (Selected) - High High Alarm Delay</t>
  </si>
  <si>
    <t>WRITEFLOAT[802]</t>
  </si>
  <si>
    <t>Free Water Knock Out Interface Level (Selected) - High High Alarm Setpoint</t>
  </si>
  <si>
    <t>LEVEL_TRANSMITTER[2].LAHH_SP</t>
  </si>
  <si>
    <t>LEVEL_TRANSMITTER[2].VALUE_IN_INCHES</t>
  </si>
  <si>
    <t>lxi_801</t>
  </si>
  <si>
    <t>LXI-801</t>
  </si>
  <si>
    <t>Oil Separator Interface Level (Selected)</t>
  </si>
  <si>
    <t>Oil Separator Interface Level (Selected) - High Alarm</t>
  </si>
  <si>
    <t>Oil Separator Interface Level (Selected) - High Alarm Delay</t>
  </si>
  <si>
    <t>Oil Separator Interface Level (Selected) - High Alarm Setpoint</t>
  </si>
  <si>
    <t>Oil Separator Interface Level (Selected) - Low Alarm</t>
  </si>
  <si>
    <t>Oil Separator Interface Level (Selected) - Low Alarm Delay</t>
  </si>
  <si>
    <t>Oil Separator Interface Level (Selected) - Low Alarm Setpoint</t>
  </si>
  <si>
    <t>LEVEL_TRANSMITTER[5].VALUE_IN_INCHES</t>
  </si>
  <si>
    <t>Oil Separator Interface Level (Selected) - Process Value</t>
  </si>
  <si>
    <t>Local:5:I.Ch9Data</t>
  </si>
  <si>
    <t>Local:5:C.Ch9Config.HighEngineering</t>
  </si>
  <si>
    <t>Local:5:C.Ch9Config.LowEngineering</t>
  </si>
  <si>
    <t>LXIT_701_BRIDAL</t>
  </si>
  <si>
    <t>Local:5:C.Ch11Config.HighEngineering</t>
  </si>
  <si>
    <t>Local:5:C.Ch11Config.LowEngineering</t>
  </si>
  <si>
    <t>Oil Separator Interface Level (Drexelbrook)</t>
  </si>
  <si>
    <t>Local:5:I.Ch12Data</t>
  </si>
  <si>
    <t>Oil Separator Interface Level (Drexelbrook) - Process Value</t>
  </si>
  <si>
    <t>Oil Separator Interface Level (Drexelbrook) - PV Maximum Scaled Value</t>
  </si>
  <si>
    <t>Oil Separator Interface Level (Drexelbrook) - PV Minimum Scaled Value</t>
  </si>
  <si>
    <t>lxit_801a</t>
  </si>
  <si>
    <t>LXIT-801A</t>
  </si>
  <si>
    <t>Oil Separator Interface Level (Bridle Mounted)</t>
  </si>
  <si>
    <t>LXT_801</t>
  </si>
  <si>
    <t>Oil Separator Interface Level (Bridle Mounted) - Process Value</t>
  </si>
  <si>
    <t>Local:5:C.Ch14Config.HighEngineering</t>
  </si>
  <si>
    <t>Oil Separator Interface Level (Bridle Mounted) - PV Maximum Scaled Value</t>
  </si>
  <si>
    <t>Local:5:C.Ch14Config.LowEngineering</t>
  </si>
  <si>
    <t>Oil Separator Interface Level (Bridle Mounted) - PV Minimum Scaled Value</t>
  </si>
  <si>
    <t>Local:6:I.Ch12Data</t>
  </si>
  <si>
    <t>Oil Transfer Pump - Motor Current</t>
  </si>
  <si>
    <t>Local:6:I.Ch11Data</t>
  </si>
  <si>
    <t>Oil Transfer Pump - Speed Feedback</t>
  </si>
  <si>
    <t>Local:6:I.Ch14Data</t>
  </si>
  <si>
    <t>Local:6:I.Ch13Data</t>
  </si>
  <si>
    <t>PIT_201</t>
  </si>
  <si>
    <t>Oil Transfer Pump Suction Header Pressure - High Alarm</t>
  </si>
  <si>
    <t>Oil Transfer Pump Suction Header Pressure - High Alarm Delay</t>
  </si>
  <si>
    <t>Oil Transfer Pump Suction Header Pressure - High Alarm Setpoint</t>
  </si>
  <si>
    <t>WRITEFLOAT[800]</t>
  </si>
  <si>
    <t>ALARM[2].11</t>
  </si>
  <si>
    <t>PSHH-Air</t>
  </si>
  <si>
    <t>READFLOAT1[1001]</t>
  </si>
  <si>
    <t>WRITEFLOAT[10]</t>
  </si>
  <si>
    <t>v_800</t>
  </si>
  <si>
    <t>V-800</t>
  </si>
  <si>
    <t>Oil Separator</t>
  </si>
  <si>
    <t>WRITEFLOAT[11]</t>
  </si>
  <si>
    <t>Oil Separator - Interface Level Selection</t>
  </si>
  <si>
    <t>ZSC_700</t>
  </si>
  <si>
    <t>ZSO_700</t>
  </si>
  <si>
    <t>equipment path</t>
  </si>
  <si>
    <t>Alert Description</t>
  </si>
  <si>
    <t>Acknowledge</t>
  </si>
  <si>
    <t>Post Val. Autofill Tag Creation</t>
  </si>
  <si>
    <t>stv_condensate/36r/valves/pcv_101</t>
  </si>
  <si>
    <t>Faceplate labels for each controller must be manually updated by updating the ux file (subcontent 1/2, custom_params.tag).</t>
  </si>
  <si>
    <t>use pic_100 and pic_101</t>
  </si>
  <si>
    <t>Dual PID/dual control detected with no status/active_control tag detected. Status/active control tag must be created after import in order for graphics to function. If you want to add a placeholder tag prior to import, indicate that with "x" in the Post Val. Autofill Tag Creation column and run post-validation autofill.</t>
  </si>
  <si>
    <t>use active_pid tag instead</t>
  </si>
  <si>
    <t>stv_condensate/36r/valves/lcv_104</t>
  </si>
  <si>
    <t>1 tags outside UDT (see green/orange highlights in MTL). Tags: status/open</t>
  </si>
  <si>
    <t>2 tags outside UDT (see green/orange highlights in MTL). Tags: status/open, status/active_pid</t>
  </si>
  <si>
    <t>stv_condensate/36r/valves/pcv_103</t>
  </si>
  <si>
    <t>2 tags outside UDT (see green/orange highlights in MTL). Tags: status/manual_mode, status/open</t>
  </si>
  <si>
    <t>manual mode should show up in faceplate on bottom right of pid config tab -- developer will need to verify this occurs.</t>
  </si>
  <si>
    <t>Visibility binding on manual mode was broken on "global/faceplate/pids/style_b/tuning"</t>
  </si>
  <si>
    <t>stv_condensate/36r/valves/hv_106</t>
  </si>
  <si>
    <t>Auto created expression tag detected: Expression tag created for the valve status/state. After import, update tag to be based on position switch status.</t>
  </si>
  <si>
    <t>yes valid</t>
  </si>
  <si>
    <t>stv_condensate/36r/valves/mov_105</t>
  </si>
  <si>
    <t>stv_condensate/36r/valves/xv_100</t>
  </si>
  <si>
    <t>Instance Name</t>
  </si>
  <si>
    <t>UDT Name</t>
  </si>
  <si>
    <t>equipment_description (optional)</t>
  </si>
  <si>
    <t>Exceptions (see note)</t>
  </si>
  <si>
    <t>Total Tags</t>
  </si>
  <si>
    <t>Skipped</t>
  </si>
  <si>
    <t>Delete</t>
  </si>
  <si>
    <t>Add</t>
  </si>
  <si>
    <t>Existing</t>
  </si>
  <si>
    <t>equipment prefix</t>
  </si>
  <si>
    <t>equipment prefix group2</t>
  </si>
  <si>
    <t>Instrument Initiating Variables</t>
  </si>
  <si>
    <t>Default Engineering Units</t>
  </si>
  <si>
    <t>Instrument Suffixes</t>
  </si>
  <si>
    <t>Instrument Suffixes Group2</t>
  </si>
  <si>
    <t>unique_instrument_tags</t>
  </si>
  <si>
    <t>unique_instrument_tags Group2</t>
  </si>
  <si>
    <t>for group 2</t>
  </si>
  <si>
    <t>ending in</t>
  </si>
  <si>
    <t>target_name_description auto fill</t>
  </si>
  <si>
    <t>group_4 auto fill</t>
  </si>
  <si>
    <t>target_name auto fill</t>
  </si>
  <si>
    <t>Runtime_Identifiers</t>
  </si>
  <si>
    <t>Run Status Identifiers</t>
  </si>
  <si>
    <t>Allowed target_units</t>
  </si>
  <si>
    <t>cfg_rules: group2</t>
  </si>
  <si>
    <t>cfg_udt</t>
  </si>
  <si>
    <t>exception condition</t>
  </si>
  <si>
    <t>exception cfg</t>
  </si>
  <si>
    <t>states - target_name_description</t>
  </si>
  <si>
    <t>formatting - target_units</t>
  </si>
  <si>
    <t>formatting - target_name</t>
  </si>
  <si>
    <t>P</t>
  </si>
  <si>
    <t>I</t>
  </si>
  <si>
    <t>ZSC</t>
  </si>
  <si>
    <t>valves, pids</t>
  </si>
  <si>
    <t>_SP_W</t>
  </si>
  <si>
    <t>HOURS</t>
  </si>
  <si>
    <t>_XI</t>
  </si>
  <si>
    <t>crc/config/compressors/cfg_001</t>
  </si>
  <si>
    <t>blank</t>
  </si>
  <si>
    <t>T</t>
  </si>
  <si>
    <t>DP</t>
  </si>
  <si>
    <t>IT</t>
  </si>
  <si>
    <t>ZSO</t>
  </si>
  <si>
    <t>_SP_MAX</t>
  </si>
  <si>
    <t>_HRS</t>
  </si>
  <si>
    <t>_RUN</t>
  </si>
  <si>
    <t>crc/config/fans/cfg_001</t>
  </si>
  <si>
    <t>V</t>
  </si>
  <si>
    <t>PD</t>
  </si>
  <si>
    <t>XY</t>
  </si>
  <si>
    <t>_SP_MIN</t>
  </si>
  <si>
    <t>_RUN_TIME</t>
  </si>
  <si>
    <t>crc/config/meters/cfg_meter_001</t>
  </si>
  <si>
    <t>F</t>
  </si>
  <si>
    <t>L</t>
  </si>
  <si>
    <t>XV</t>
  </si>
  <si>
    <t>_PV</t>
  </si>
  <si>
    <t>_RUNTIME</t>
  </si>
  <si>
    <t>EXCEPTION 1</t>
  </si>
  <si>
    <t>meter folder has a analogs/orifice_diameter,  /temperature_correction_factor tag or setpoint/temperature_referencetag</t>
  </si>
  <si>
    <t xml:space="preserve"> crc/config/meters/cfg_meter_gas_dp</t>
  </si>
  <si>
    <t>density</t>
  </si>
  <si>
    <t>FI</t>
  </si>
  <si>
    <t>CV</t>
  </si>
  <si>
    <t>SDV</t>
  </si>
  <si>
    <t>_CV</t>
  </si>
  <si>
    <t>_KI</t>
  </si>
  <si>
    <t>in Hg</t>
  </si>
  <si>
    <t>EXCEPTION 2</t>
  </si>
  <si>
    <t>meter folder has a differential_pressure tag and no meter_gas_dp cfg trigger tags OR has a setpoint/temperature_reference or folder has a temperature or pressure tag</t>
  </si>
  <si>
    <t>crc/config/meters/cfg_meter_totalflow_plc</t>
  </si>
  <si>
    <t>FQI</t>
  </si>
  <si>
    <t>IC</t>
  </si>
  <si>
    <t>SDY</t>
  </si>
  <si>
    <t>_MAXO</t>
  </si>
  <si>
    <t>EXCEPTION 3</t>
  </si>
  <si>
    <t>meter folder has a density or drive_gain tag</t>
  </si>
  <si>
    <t>crc/config/meters/cfg_meter_micromotion</t>
  </si>
  <si>
    <t>FQIT</t>
  </si>
  <si>
    <t>FQ</t>
  </si>
  <si>
    <t>Y</t>
  </si>
  <si>
    <t>MOV</t>
  </si>
  <si>
    <t>_MINO</t>
  </si>
  <si>
    <t>EXCEPTION 4</t>
  </si>
  <si>
    <t>meter folder has any timers tags</t>
  </si>
  <si>
    <t>crc/config/meters/cfg_meter_detailed</t>
  </si>
  <si>
    <t>FQT</t>
  </si>
  <si>
    <t>LX</t>
  </si>
  <si>
    <t>E</t>
  </si>
  <si>
    <t>FCU</t>
  </si>
  <si>
    <t>_KP</t>
  </si>
  <si>
    <t>motors</t>
  </si>
  <si>
    <t>crc/config/motors/cfg_agitator_001</t>
  </si>
  <si>
    <t>FT</t>
  </si>
  <si>
    <t>SH</t>
  </si>
  <si>
    <t>SOV</t>
  </si>
  <si>
    <t>ºC</t>
  </si>
  <si>
    <t>crc/config/pids/cfg_001</t>
  </si>
  <si>
    <t>FIT</t>
  </si>
  <si>
    <t>A</t>
  </si>
  <si>
    <t>SL</t>
  </si>
  <si>
    <t>XT</t>
  </si>
  <si>
    <t>_KD</t>
  </si>
  <si>
    <t>crc/config/pumps/cfg_cf_001</t>
  </si>
  <si>
    <t>SHH</t>
  </si>
  <si>
    <t>_MODE</t>
  </si>
  <si>
    <t>crc/config/transmitters/cfg_transmitter_001</t>
  </si>
  <si>
    <t>C</t>
  </si>
  <si>
    <t>SLL</t>
  </si>
  <si>
    <t>_MODE_CMD_W</t>
  </si>
  <si>
    <t>target_id prefix includes "S", TND &lt;&gt; "Process Value", and transmitter folder has any group4=timers tags</t>
  </si>
  <si>
    <t>crc/config/switches/cfg_discrete_timers</t>
  </si>
  <si>
    <t>Lag2 Pump Call</t>
  </si>
  <si>
    <t>K</t>
  </si>
  <si>
    <t>_TIE</t>
  </si>
  <si>
    <t>target_id prefix includes "S" and TND &lt;&gt; "Process Value"</t>
  </si>
  <si>
    <t>crc/config/switches/cfg_discrete_001</t>
  </si>
  <si>
    <t>Unit Loaded</t>
  </si>
  <si>
    <t>0=Not Loaded;1=Loaded</t>
  </si>
  <si>
    <t>AC</t>
  </si>
  <si>
    <t>_DB</t>
  </si>
  <si>
    <t>Deadband</t>
  </si>
  <si>
    <t>db</t>
  </si>
  <si>
    <t>scfm</t>
  </si>
  <si>
    <t>target_id prefix includes "S", TND = "Process Value", and transmitter folder has any group4=timers tags</t>
  </si>
  <si>
    <t>crc/config/switches/cfg_analog_timers</t>
  </si>
  <si>
    <t>Prelube Status</t>
  </si>
  <si>
    <t>BL</t>
  </si>
  <si>
    <t>compressors, pumps, motors, fans</t>
  </si>
  <si>
    <t>_AUTO</t>
  </si>
  <si>
    <t>target_id prefix includes "S" and TND = "Process Value"</t>
  </si>
  <si>
    <t>crc/config/switches/cfg_analog_001</t>
  </si>
  <si>
    <t>B</t>
  </si>
  <si>
    <t>_PERMISSIVE</t>
  </si>
  <si>
    <t>EXCEPTION 5</t>
  </si>
  <si>
    <t>transmitter folder has any group4=timers tags</t>
  </si>
  <si>
    <t>crc/config/transmitters/cfg_transmitter_detailed</t>
  </si>
  <si>
    <t>_HOALOGIC</t>
  </si>
  <si>
    <t>Not in Auto Alarm</t>
  </si>
  <si>
    <t>scf</t>
  </si>
  <si>
    <t>crc/config/tanks/cfg_tank_001</t>
  </si>
  <si>
    <t>Crank Status</t>
  </si>
  <si>
    <t>_STARTFAILLOGIC</t>
  </si>
  <si>
    <t>crc/config/valves/cfg_control_valve_001</t>
  </si>
  <si>
    <t>Enable Ignition Output</t>
  </si>
  <si>
    <t>_STOPFAILLOGIC</t>
  </si>
  <si>
    <t>Stop Fail</t>
  </si>
  <si>
    <t>stop_fail</t>
  </si>
  <si>
    <t>equipment has a status/output tag</t>
  </si>
  <si>
    <t>crc/config/valves/cfg_discrete_status_output</t>
  </si>
  <si>
    <t>Engine Status</t>
  </si>
  <si>
    <t>_AUTOMANUAL</t>
  </si>
  <si>
    <t>equipment has a status/state tag and no group4=analogs tags</t>
  </si>
  <si>
    <t>crc/config/valves/cfg_discrete_001</t>
  </si>
  <si>
    <t>Ignition Verification Status</t>
  </si>
  <si>
    <t>0=Off;1=Ignition</t>
  </si>
  <si>
    <t>transmitters, meters</t>
  </si>
  <si>
    <t>_BYPSTATUS</t>
  </si>
  <si>
    <t>mils</t>
  </si>
  <si>
    <t>equipment has a analogs folder, but no sp, kp, ki, kd tags</t>
  </si>
  <si>
    <t>crc/config/valves/cfg_analog_simple_001</t>
  </si>
  <si>
    <t>_HBYPSTATUS</t>
  </si>
  <si>
    <t>High Alarm Bypass</t>
  </si>
  <si>
    <t>high_bypass</t>
  </si>
  <si>
    <t>g</t>
  </si>
  <si>
    <t>crc/config/vessels/cfg_vessel_001</t>
  </si>
  <si>
    <t>_HHBYPSTATUS</t>
  </si>
  <si>
    <t>High High Alarm Bypass</t>
  </si>
  <si>
    <t>high_high_bypass</t>
  </si>
  <si>
    <t>cts</t>
  </si>
  <si>
    <t>_LBYPSTATUS</t>
  </si>
  <si>
    <t>Low Alarm Bypass</t>
  </si>
  <si>
    <t>low_bypass</t>
  </si>
  <si>
    <t>_LLBYPSTATUS</t>
  </si>
  <si>
    <t>Low Low Alarm Bypass</t>
  </si>
  <si>
    <t>low_low_bypass</t>
  </si>
  <si>
    <t>_INHIBIT</t>
  </si>
  <si>
    <t>Transmitter Enable</t>
  </si>
  <si>
    <t>_PROCESSVALUE</t>
  </si>
  <si>
    <t>mV</t>
  </si>
  <si>
    <t>_HHLOGIC</t>
  </si>
  <si>
    <t>ppm</t>
  </si>
  <si>
    <t>_HLOGIC</t>
  </si>
  <si>
    <t>_LLOGIC</t>
  </si>
  <si>
    <t>_LLLOGIC</t>
  </si>
  <si>
    <t>_ALARM</t>
  </si>
  <si>
    <t>_TRANSMITTERFAILURE</t>
  </si>
  <si>
    <t>_L_SP_VALUE</t>
  </si>
  <si>
    <t>_LALM_ACTIVE</t>
  </si>
  <si>
    <t>_LL_SP_VALUE</t>
  </si>
  <si>
    <t>_LLALM_ACTIVE</t>
  </si>
  <si>
    <t>_H_SP_VALUE</t>
  </si>
  <si>
    <t>_HALM_ACTIVE</t>
  </si>
  <si>
    <t>_HH_SP_VALUE</t>
  </si>
  <si>
    <t>_HHALM_ACTIVE</t>
  </si>
  <si>
    <t>_XTFAIL_ACTIVE</t>
  </si>
  <si>
    <t>pumps, compressors, fans</t>
  </si>
  <si>
    <t>_STARTFAIL_ACTIVE</t>
  </si>
  <si>
    <t>_PRIORITY</t>
  </si>
  <si>
    <t>_MOTORSTATUS</t>
  </si>
  <si>
    <t>_CMD_OUTPUT</t>
  </si>
  <si>
    <t>_AUTO_INPUT</t>
  </si>
  <si>
    <t>Comment</t>
  </si>
  <si>
    <t>column_header</t>
  </si>
  <si>
    <t>key</t>
  </si>
  <si>
    <t>value</t>
  </si>
  <si>
    <t>!hasMotor</t>
  </si>
  <si>
    <t>Not in Auto</t>
  </si>
  <si>
    <t>compressors, fans, motors, pumps</t>
  </si>
  <si>
    <t>!isXmtr</t>
  </si>
  <si>
    <t>meters, transmitters</t>
  </si>
  <si>
    <t>!cmd_param</t>
  </si>
  <si>
    <t>cmd_write_path, cmd_read_path</t>
  </si>
  <si>
    <t>!sp_param</t>
  </si>
  <si>
    <t>sp_write_path, sp_read_path</t>
  </si>
  <si>
    <t>rtd_trip</t>
  </si>
  <si>
    <t>Thermal Protection Relay Trip</t>
  </si>
  <si>
    <t>!PIDControlled</t>
  </si>
  <si>
    <t>pids, valves</t>
  </si>
  <si>
    <t>!sp_param_time</t>
  </si>
  <si>
    <t>sp_hrs_read_path, sp_hrs_write_path, sp_mins_read_path, sp_mins_write_path</t>
  </si>
  <si>
    <t>!timer_udt</t>
  </si>
  <si>
    <t>core/timers/tmr_sp_remaining,  core/timers/tmr_sp, core/timers/tmr_lgx</t>
  </si>
  <si>
    <t>vfd_fail</t>
  </si>
  <si>
    <t>VFD Fail</t>
  </si>
  <si>
    <t>!tmr_param</t>
  </si>
  <si>
    <t>tmr_accum_path, tmr_preset_path, tmr_path, tmr_remaining_path</t>
  </si>
  <si>
    <t>motor current PV can be incorporated in pump folder if no alarms exist</t>
  </si>
  <si>
    <t>!analog_udt</t>
  </si>
  <si>
    <t>core/analog/simple*, core/analog/pv_only</t>
  </si>
  <si>
    <t>!sp_udt</t>
  </si>
  <si>
    <t>core/setpoints/sp_readback*, core/setpoints/sp</t>
  </si>
  <si>
    <t>frequency</t>
  </si>
  <si>
    <t>Motor Frequency</t>
  </si>
  <si>
    <t>runtime_day_0</t>
  </si>
  <si>
    <t>Day 0 Runtime</t>
  </si>
  <si>
    <t>runtime_day_1</t>
  </si>
  <si>
    <t>Day 1 Runtime</t>
  </si>
  <si>
    <t>runtime_this_run</t>
  </si>
  <si>
    <t>Current Run Runtime</t>
  </si>
  <si>
    <t>speed_output</t>
  </si>
  <si>
    <t>Speed Command</t>
  </si>
  <si>
    <t>starts_count</t>
  </si>
  <si>
    <t>Number of Starts</t>
  </si>
  <si>
    <t>starts_count_day_0</t>
  </si>
  <si>
    <t>Day 0 Number of Starts</t>
  </si>
  <si>
    <t>starts_count_day_1</t>
  </si>
  <si>
    <t>Day 1 Number of Starts</t>
  </si>
  <si>
    <t>NOT for HOA status -- only for operator command to run equipment in Manual</t>
  </si>
  <si>
    <t>For PLC HOAs, use this tag (enable)</t>
  </si>
  <si>
    <t>runtime_reset</t>
  </si>
  <si>
    <t>Runtime Reset</t>
  </si>
  <si>
    <t>Start Command</t>
  </si>
  <si>
    <t>Operator Start Command; NOT for PLC output command to equipment (Use Run Command);</t>
  </si>
  <si>
    <t>used when there is only one equipment</t>
  </si>
  <si>
    <t>block_start</t>
  </si>
  <si>
    <t>Block Start Permissive</t>
  </si>
  <si>
    <t>hand</t>
  </si>
  <si>
    <t>Hand Status</t>
  </si>
  <si>
    <t>intended only when this is the HOA/JOA hand status input</t>
  </si>
  <si>
    <t>hoa</t>
  </si>
  <si>
    <t>Hand/Off/Auto Status</t>
  </si>
  <si>
    <t>Intended only when the tag has 3 states (preference is to use Auto Status)</t>
  </si>
  <si>
    <t>VFD Fault Status</t>
  </si>
  <si>
    <t>start_count_reset</t>
  </si>
  <si>
    <t>Number of Starts Reset Timer Preset</t>
  </si>
  <si>
    <t>primarily used for flow meters with multiple low flow shutdowns, and for lube oil pressure transmitter logic on screw compressors (which uses a special faceplate)</t>
  </si>
  <si>
    <t>out_of_range</t>
  </si>
  <si>
    <t>Out of Range</t>
  </si>
  <si>
    <t>high_high_off</t>
  </si>
  <si>
    <t>High High Alarm Off Delay</t>
  </si>
  <si>
    <t>high_off</t>
  </si>
  <si>
    <t>High Alarm Off Delay</t>
  </si>
  <si>
    <t>low_low_off</t>
  </si>
  <si>
    <t>Low Low Alarm Off Delay</t>
  </si>
  <si>
    <t>low_off</t>
  </si>
  <si>
    <t>Low Alarm Off Delay</t>
  </si>
  <si>
    <t>normal</t>
  </si>
  <si>
    <t>Normal Setpoint</t>
  </si>
  <si>
    <t>sp_non_skim</t>
  </si>
  <si>
    <t>Non-Skim Level Setpoint</t>
  </si>
  <si>
    <t>sp_requested</t>
  </si>
  <si>
    <t>Operator Requested Setpoint</t>
  </si>
  <si>
    <t>sp_skim</t>
  </si>
  <si>
    <t>Skim Level Setpoint</t>
  </si>
  <si>
    <t>software_manual</t>
  </si>
  <si>
    <t>Software Manual</t>
  </si>
  <si>
    <t>*</t>
  </si>
  <si>
    <t>crank_fail</t>
  </si>
  <si>
    <t>Crank Fail</t>
  </si>
  <si>
    <t>typical for recip. Compressors (engine-driven)</t>
  </si>
  <si>
    <t>Used in the typical EH screw compressor PLC program</t>
  </si>
  <si>
    <t>esd_relay</t>
  </si>
  <si>
    <t>Emergency Shutdown Relay Trip Shutdown</t>
  </si>
  <si>
    <t>ignition_fail</t>
  </si>
  <si>
    <t>Ignition Fail</t>
  </si>
  <si>
    <t>prelube_fail</t>
  </si>
  <si>
    <t>Prelube Startup Fail</t>
  </si>
  <si>
    <t>typical for recip. Compressors</t>
  </si>
  <si>
    <t>purge_fail</t>
  </si>
  <si>
    <t>Purge Required Startup Fail</t>
  </si>
  <si>
    <t>vibe_monitor</t>
  </si>
  <si>
    <t>Vibration Monitor Alarm</t>
  </si>
  <si>
    <t>vibe_monitor_trip</t>
  </si>
  <si>
    <t>Vibration Monitor Trip</t>
  </si>
  <si>
    <t>runtime_hrs</t>
  </si>
  <si>
    <t>Total Runtime - Hour Counter</t>
  </si>
  <si>
    <t>runtime_mins</t>
  </si>
  <si>
    <t>Total Runtime - Min Counter</t>
  </si>
  <si>
    <t>runtime_month</t>
  </si>
  <si>
    <t>This Month Runtime</t>
  </si>
  <si>
    <t>ss_pos</t>
  </si>
  <si>
    <t>Slide Stop Position</t>
  </si>
  <si>
    <t>sv_pos</t>
  </si>
  <si>
    <t>Slide Valve Position</t>
  </si>
  <si>
    <t>load_start_min_comp_oil_temp</t>
  </si>
  <si>
    <t>Load Start Minimum Compressor Oil Temperature Setpoint</t>
  </si>
  <si>
    <t>prelube_min_comp_oil_press</t>
  </si>
  <si>
    <t>Minimum Prelube Compressor Oil Pressure Setpoint</t>
  </si>
  <si>
    <t>prelube_min_engine_oil_press</t>
  </si>
  <si>
    <t>Minimum Prelube Engine Oil Pressure Setpoint</t>
  </si>
  <si>
    <t>prelube_min_temperature</t>
  </si>
  <si>
    <t>Minimum Prelube Temperature Setpoint</t>
  </si>
  <si>
    <t>purge_satisfied</t>
  </si>
  <si>
    <t>Purge Satisified Setpoint</t>
  </si>
  <si>
    <t>below this value, purge is not required</t>
  </si>
  <si>
    <t>crank</t>
  </si>
  <si>
    <t>engine_state</t>
  </si>
  <si>
    <t>ignition</t>
  </si>
  <si>
    <t>ignition_enable</t>
  </si>
  <si>
    <t>loaded</t>
  </si>
  <si>
    <t>prelube</t>
  </si>
  <si>
    <t>prelube_perm</t>
  </si>
  <si>
    <t>Prelube Permissive Status</t>
  </si>
  <si>
    <t>purge</t>
  </si>
  <si>
    <t>Purge Status</t>
  </si>
  <si>
    <t>This is for if we are in purge or not</t>
  </si>
  <si>
    <t>purge_required</t>
  </si>
  <si>
    <t>Purge Required</t>
  </si>
  <si>
    <t>This is for if purge is required or not (e.g. purge permissive)</t>
  </si>
  <si>
    <t>ready_to_start</t>
  </si>
  <si>
    <t>Ready to Start Status</t>
  </si>
  <si>
    <t>typ. For recip compressors. Preference is to use Permissive Status, unless there is a separate tag for Ready to Start</t>
  </si>
  <si>
    <t>Vibration Monitor Alarm Input</t>
  </si>
  <si>
    <t>Vibration Monitor Trip Input</t>
  </si>
  <si>
    <t>min_prelube</t>
  </si>
  <si>
    <t>Minimum Prelube Time</t>
  </si>
  <si>
    <t>*Differential Pressure Setpoint</t>
  </si>
  <si>
    <t>last_bw</t>
  </si>
  <si>
    <t>Duration Since Last Backwash</t>
  </si>
  <si>
    <t>Offline Command</t>
  </si>
  <si>
    <t>dp_high</t>
  </si>
  <si>
    <t>High Differential Pressure Alarm Setpoint</t>
  </si>
  <si>
    <t>cycle</t>
  </si>
  <si>
    <t>Backwash Cycle Status</t>
  </si>
  <si>
    <t>Sequence Step</t>
  </si>
  <si>
    <t>Recirculation Pump HOA</t>
  </si>
  <si>
    <t>Time Since Last Backwash</t>
  </si>
  <si>
    <t>flares</t>
  </si>
  <si>
    <t>flame_fail</t>
  </si>
  <si>
    <t>Flame Fail</t>
  </si>
  <si>
    <t>pilot</t>
  </si>
  <si>
    <t>Pilot Fire-Eye</t>
  </si>
  <si>
    <t>lacts</t>
  </si>
  <si>
    <t>sampler_fail</t>
  </si>
  <si>
    <t>Sampler Fail</t>
  </si>
  <si>
    <t>bsw_reject</t>
  </si>
  <si>
    <t>BS&amp;W Reject Setpoint</t>
  </si>
  <si>
    <t>sample_rate</t>
  </si>
  <si>
    <t>Sample Rate Setpoint</t>
  </si>
  <si>
    <t>start_level</t>
  </si>
  <si>
    <t>Level Start Setpoint</t>
  </si>
  <si>
    <t>start_time</t>
  </si>
  <si>
    <t>crc/core/setpoints/time_sp_readback</t>
  </si>
  <si>
    <t>Start Time Setpoint</t>
  </si>
  <si>
    <t>stop_level</t>
  </si>
  <si>
    <t>Level Stop Setpoint</t>
  </si>
  <si>
    <t>stop_time</t>
  </si>
  <si>
    <t>Stop Time Setpoint</t>
  </si>
  <si>
    <t>level_call</t>
  </si>
  <si>
    <t>Level Call to Run</t>
  </si>
  <si>
    <t>State</t>
  </si>
  <si>
    <t>meter_fail</t>
  </si>
  <si>
    <t>Meter Fail</t>
  </si>
  <si>
    <t>status_change</t>
  </si>
  <si>
    <t>Status Change Alarm</t>
  </si>
  <si>
    <t>For Micromotion/coriolis meter</t>
  </si>
  <si>
    <t>api_gravity</t>
  </si>
  <si>
    <t>API Gravity</t>
  </si>
  <si>
    <t>cut</t>
  </si>
  <si>
    <t>Water Cut</t>
  </si>
  <si>
    <t>day_0_avg_density</t>
  </si>
  <si>
    <t>Density Day 0 Average</t>
  </si>
  <si>
    <t>day_0_avg_rate</t>
  </si>
  <si>
    <t>Rate Day 0 Average</t>
  </si>
  <si>
    <t>day_0_avg_rate_oil</t>
  </si>
  <si>
    <t>Oil Rate Day 0 Average</t>
  </si>
  <si>
    <t>day_0_avg_rate_water</t>
  </si>
  <si>
    <t>Water Rate Day 0 Average</t>
  </si>
  <si>
    <t>day_0_max_density</t>
  </si>
  <si>
    <t>Density Day 0 Maximum</t>
  </si>
  <si>
    <t>day_0_min_density</t>
  </si>
  <si>
    <t>Density Day 0 Minimum</t>
  </si>
  <si>
    <t>day_0_volume_water</t>
  </si>
  <si>
    <t>Day 0 Water Volume</t>
  </si>
  <si>
    <t>day_1_volume_water</t>
  </si>
  <si>
    <t>Day 1 Water Volume</t>
  </si>
  <si>
    <t>Density</t>
  </si>
  <si>
    <t>drive_gain</t>
  </si>
  <si>
    <t>Drive Gain</t>
  </si>
  <si>
    <t>orifice_diameter</t>
  </si>
  <si>
    <t>Orifice Plate Size</t>
  </si>
  <si>
    <t>rate_oil</t>
  </si>
  <si>
    <t>Oil Rate</t>
  </si>
  <si>
    <t>rate_water</t>
  </si>
  <si>
    <t>Water Rate</t>
  </si>
  <si>
    <t>sp_gravity</t>
  </si>
  <si>
    <t>Specific Gravity</t>
  </si>
  <si>
    <t>temperature_correction_factor</t>
  </si>
  <si>
    <t>Temperature Correction Factor</t>
  </si>
  <si>
    <t>for dP gas calculations</t>
  </si>
  <si>
    <t>all_oil</t>
  </si>
  <si>
    <t>All Oil Reference Density Value</t>
  </si>
  <si>
    <t>all_water</t>
  </si>
  <si>
    <t>All Water Reference Density Value</t>
  </si>
  <si>
    <t>density_gain_max</t>
  </si>
  <si>
    <t>Density Maximum Drive Gain</t>
  </si>
  <si>
    <t>mass_gain_max</t>
  </si>
  <si>
    <t>Mass Maximum Drive Gain</t>
  </si>
  <si>
    <t>temperature_reference</t>
  </si>
  <si>
    <t>Temperature Reference (Fixed)</t>
  </si>
  <si>
    <t>for fixed temperature references in dP calcs</t>
  </si>
  <si>
    <t>gas_detect_bypass</t>
  </si>
  <si>
    <t>Gas Detection Bypassed</t>
  </si>
  <si>
    <t>to be used only if more than a single transmitter is being bypassed; if only one transmitter, put in transmitter folder (alarms/bypass_active)</t>
  </si>
  <si>
    <t>rio_fault</t>
  </si>
  <si>
    <t>Remote I/O Fault</t>
  </si>
  <si>
    <t>for use with ESD relay inputs only. ESD Pushbuttons should use alarms/e_stop, and general ESD tags should be brought in as a status (with all triggers for that esd brought in as alarms)</t>
  </si>
  <si>
    <t>used at EH tank settings</t>
  </si>
  <si>
    <t>ups_battery_low</t>
  </si>
  <si>
    <t>UPS Battery Low</t>
  </si>
  <si>
    <t>ups_bypass</t>
  </si>
  <si>
    <t>UPS Bypassed</t>
  </si>
  <si>
    <t>ups_fail</t>
  </si>
  <si>
    <t>UPS Fail</t>
  </si>
  <si>
    <t>ups_on_battery</t>
  </si>
  <si>
    <t>UPS On Battery</t>
  </si>
  <si>
    <t>uvir_gas_bypass</t>
  </si>
  <si>
    <t>Flame/Gas Detection Bypassed</t>
  </si>
  <si>
    <t>gauge_off_hour</t>
  </si>
  <si>
    <t>Gauge Off Hour</t>
  </si>
  <si>
    <t>motor_runtime</t>
  </si>
  <si>
    <t>Motor Runtime</t>
  </si>
  <si>
    <t>pump_runtime</t>
  </si>
  <si>
    <t>Pump Runtime</t>
  </si>
  <si>
    <t>priority</t>
  </si>
  <si>
    <t>Staging Priority</t>
  </si>
  <si>
    <t>Alternate to lead_lag (for sites with &gt;2 pumps); Works with CRC_LLS Priority Select pop up</t>
  </si>
  <si>
    <t>priority_sequence</t>
  </si>
  <si>
    <t>Staging Sequence</t>
  </si>
  <si>
    <t>Only to be used for &gt;2 pumps, where each state represents a different staging sequence</t>
  </si>
  <si>
    <t>update_priorities</t>
  </si>
  <si>
    <t>Update Priorities Command</t>
  </si>
  <si>
    <t>for use with CRC_LLS Priority Select pop up</t>
  </si>
  <si>
    <t>all_stop</t>
  </si>
  <si>
    <t>All Pumps Stop Setpoint</t>
  </si>
  <si>
    <t>lag_start_max</t>
  </si>
  <si>
    <t>Lag Start Maximum Setpoint</t>
  </si>
  <si>
    <t>lag_start_min</t>
  </si>
  <si>
    <t>Lag Start Minimum Setpoint</t>
  </si>
  <si>
    <t>lag_stop_max</t>
  </si>
  <si>
    <t>Lag Stop Maximum Setpoint</t>
  </si>
  <si>
    <t>lag_stop_min</t>
  </si>
  <si>
    <t>Lag Stop Minimum Setpoint</t>
  </si>
  <si>
    <t>lag2_start</t>
  </si>
  <si>
    <t>Lag2 Start Setpoint</t>
  </si>
  <si>
    <t>lag2_start_max</t>
  </si>
  <si>
    <t>Lag2 Start Maximum Setpoint</t>
  </si>
  <si>
    <t>lag2_start_min</t>
  </si>
  <si>
    <t>Lag2 Start Minimum Setpoint</t>
  </si>
  <si>
    <t>lag2_stop</t>
  </si>
  <si>
    <t>Lag2 Stop Setpoint</t>
  </si>
  <si>
    <t>lag2_stop_max</t>
  </si>
  <si>
    <t>Lag2 Stop Maximum Setpoint</t>
  </si>
  <si>
    <t>lag2_stop_min</t>
  </si>
  <si>
    <t>Lag2 Stop Minimum Setpoint</t>
  </si>
  <si>
    <t>lag3_start</t>
  </si>
  <si>
    <t>Lag3 Start Setpoint</t>
  </si>
  <si>
    <t>lag3_stop</t>
  </si>
  <si>
    <t>Lag3 Stop Setpoint</t>
  </si>
  <si>
    <t>lead_start_max</t>
  </si>
  <si>
    <t>Lead Start Maximum Setpoint</t>
  </si>
  <si>
    <t>lead_start_min</t>
  </si>
  <si>
    <t>Lead Start Minimum Setpoint</t>
  </si>
  <si>
    <t>lead_stop_max</t>
  </si>
  <si>
    <t>Lead Stop Maximum Setpoint</t>
  </si>
  <si>
    <t>lead_stop_min</t>
  </si>
  <si>
    <t>Lead Stop Minimum Setpoint</t>
  </si>
  <si>
    <t>lag2_call</t>
  </si>
  <si>
    <t>setpoint_accepted</t>
  </si>
  <si>
    <t>Last Setpoint Entry Status</t>
  </si>
  <si>
    <t>used for pumps at EH tank settings</t>
  </si>
  <si>
    <t>Update Priorities Status</t>
  </si>
  <si>
    <t>level_high</t>
  </si>
  <si>
    <t>*Level High Alarm</t>
  </si>
  <si>
    <t>level_high_high</t>
  </si>
  <si>
    <t>*Level High High Alarm</t>
  </si>
  <si>
    <t>level_low</t>
  </si>
  <si>
    <t>*Level Low Alarm</t>
  </si>
  <si>
    <t>level_low_low</t>
  </si>
  <si>
    <t>*Level Low Low Alarm</t>
  </si>
  <si>
    <t>Current Volume</t>
  </si>
  <si>
    <t>day_0_volume_change</t>
  </si>
  <si>
    <t>Day 0 Inventory Change</t>
  </si>
  <si>
    <t>Volume at Midnight</t>
  </si>
  <si>
    <t>day_1_volume_change</t>
  </si>
  <si>
    <t>Day 1 Inventory Change</t>
  </si>
  <si>
    <t>interface_level</t>
  </si>
  <si>
    <t>*Interface Level</t>
  </si>
  <si>
    <t>level</t>
  </si>
  <si>
    <t>*Level</t>
  </si>
  <si>
    <t>Selected Level</t>
  </si>
  <si>
    <t>level_day_1</t>
  </si>
  <si>
    <t>Level at Midnight</t>
  </si>
  <si>
    <t>Level Selection</t>
  </si>
  <si>
    <t>Service</t>
  </si>
  <si>
    <t>skim_enable</t>
  </si>
  <si>
    <t>Skim Enable</t>
  </si>
  <si>
    <t>skim_start</t>
  </si>
  <si>
    <t>Skim Manual Start</t>
  </si>
  <si>
    <t>Tank  Selection Command</t>
  </si>
  <si>
    <t>*Level High Alarm Setpoint</t>
  </si>
  <si>
    <t>*Level High High Alarm Setpoint</t>
  </si>
  <si>
    <t>*Level Low Alarm Setpoint</t>
  </si>
  <si>
    <t>*Level Low Low Alarm Setpoint</t>
  </si>
  <si>
    <t>skim_duration</t>
  </si>
  <si>
    <t>Skim Time</t>
  </si>
  <si>
    <t>skim_level</t>
  </si>
  <si>
    <t>skim_start_1</t>
  </si>
  <si>
    <t>Auto-Skim Start Time</t>
  </si>
  <si>
    <t>skim_start_2</t>
  </si>
  <si>
    <t>skim_start_3</t>
  </si>
  <si>
    <t>Tank Mode</t>
  </si>
  <si>
    <t>thermal_oxidizers</t>
  </si>
  <si>
    <t>Bypass Active Alarm</t>
  </si>
  <si>
    <t>intended for use with UVIR/gas detection transmitters only</t>
  </si>
  <si>
    <t>for use with switches</t>
  </si>
  <si>
    <t>day_0_average</t>
  </si>
  <si>
    <t>Day 0 Average</t>
  </si>
  <si>
    <t>day_0_max</t>
  </si>
  <si>
    <t>Day 0 Maximum</t>
  </si>
  <si>
    <t>day_0_min</t>
  </si>
  <si>
    <t>Day 0 Minimum</t>
  </si>
  <si>
    <t>Instrument alone is "Process Value".  PID is "Process Variable".</t>
  </si>
  <si>
    <t>enable_alarm</t>
  </si>
  <si>
    <t>Alarm Enable</t>
  </si>
  <si>
    <t>Alarm Off Delay</t>
  </si>
  <si>
    <t>calibration</t>
  </si>
  <si>
    <t>Calibration In Progress Alarm</t>
  </si>
  <si>
    <t>primarily for slide valves/slide stops</t>
  </si>
  <si>
    <t>close_fail</t>
  </si>
  <si>
    <t>Fail to Close Alarm</t>
  </si>
  <si>
    <t>used for hardwired ESD valves (no PLC control)</t>
  </si>
  <si>
    <t>used for switch mismatch alarms (or both switches de-energized) for discrete valves</t>
  </si>
  <si>
    <t>primarily intended for manual blowdown valves</t>
  </si>
  <si>
    <t>open_fail</t>
  </si>
  <si>
    <t>Fail to Open Alarm</t>
  </si>
  <si>
    <t>Position Deviation Alarm</t>
  </si>
  <si>
    <t>discharge</t>
  </si>
  <si>
    <t>Discharge Pressure Control Setpoint</t>
  </si>
  <si>
    <t>for use with reciprocating compressor recycle valves ONLY (since there is multiple setpoint registers all being used in the same PID)</t>
  </si>
  <si>
    <t>suction</t>
  </si>
  <si>
    <t>Suction Pressure Control Setpoint</t>
  </si>
  <si>
    <t>suction_override</t>
  </si>
  <si>
    <t>Suction Pressure Control Initiate Setpoint</t>
  </si>
  <si>
    <t>for use with reciprocating compressor recycle valves ONLY</t>
  </si>
  <si>
    <t>unloaded</t>
  </si>
  <si>
    <t>Unloaded Mode Pressure Setpoint</t>
  </si>
  <si>
    <t>For use with analog valves with a SOV; for discrete valves, use Output Command</t>
  </si>
  <si>
    <t>manifold_valve_fail</t>
  </si>
  <si>
    <t>Automated Manifold Valve Failue</t>
  </si>
  <si>
    <t>For Well Tester equipment</t>
  </si>
  <si>
    <t>abort_count</t>
  </si>
  <si>
    <t>Current Test Abort Count</t>
  </si>
  <si>
    <t>accepted_sample_count</t>
  </si>
  <si>
    <t>Current Test Accepted Samples Count</t>
  </si>
  <si>
    <t>Current Test Water Cut</t>
  </si>
  <si>
    <t>density_avg</t>
  </si>
  <si>
    <t>Current Test Average Density</t>
  </si>
  <si>
    <t>density_high_density_sample_count</t>
  </si>
  <si>
    <t>Current Test Density High Density Sample Count</t>
  </si>
  <si>
    <t>density_high_gain_sample_count</t>
  </si>
  <si>
    <t>Current Test Density High Drive Gain Sample Count</t>
  </si>
  <si>
    <t>density_low_density_sample_count</t>
  </si>
  <si>
    <t>Current Test Density Low Density Sample Count</t>
  </si>
  <si>
    <t>density_max</t>
  </si>
  <si>
    <t>Current Test Maximum Density</t>
  </si>
  <si>
    <t>density_min</t>
  </si>
  <si>
    <t>Current Test Minimum Density</t>
  </si>
  <si>
    <t>drive_gain_max</t>
  </si>
  <si>
    <t>Current Test Average Drive Gain</t>
  </si>
  <si>
    <t>gas_flow_max</t>
  </si>
  <si>
    <t>Current Test Maximum Gas Flow</t>
  </si>
  <si>
    <t>liquid_flow_max</t>
  </si>
  <si>
    <t>Current Test Maximum Liquid Flow</t>
  </si>
  <si>
    <t>liquid_mass</t>
  </si>
  <si>
    <t>Current Test Liquid Mass</t>
  </si>
  <si>
    <t>liquid_temperature_average</t>
  </si>
  <si>
    <t>Current Test Average Liquid Temperature</t>
  </si>
  <si>
    <t>manifold_position</t>
  </si>
  <si>
    <t>Current Test Manifold Position</t>
  </si>
  <si>
    <t>mass_high_gain_sample_count</t>
  </si>
  <si>
    <t>Current Test Mass High Drive Gain Sample Count</t>
  </si>
  <si>
    <t>purge_volume</t>
  </si>
  <si>
    <t>Current Test Purge Volume</t>
  </si>
  <si>
    <t>sample_count</t>
  </si>
  <si>
    <t>Current Test Total Sample Count</t>
  </si>
  <si>
    <t>start_day</t>
  </si>
  <si>
    <t>Current Test Start Day</t>
  </si>
  <si>
    <t>start_hour</t>
  </si>
  <si>
    <t>Current Test Start Hour</t>
  </si>
  <si>
    <t>start_minute</t>
  </si>
  <si>
    <t>Current Test Start Minute</t>
  </si>
  <si>
    <t>start_month</t>
  </si>
  <si>
    <t>Current Test Start Month</t>
  </si>
  <si>
    <t>start_second</t>
  </si>
  <si>
    <t>Current Test Start Seconds</t>
  </si>
  <si>
    <t>start_year</t>
  </si>
  <si>
    <t>Current Test Start Year</t>
  </si>
  <si>
    <t>temperature_max_density</t>
  </si>
  <si>
    <t>Current Test Temperature at Maximum Density</t>
  </si>
  <si>
    <t>temperature_min_density</t>
  </si>
  <si>
    <t>Current Test Temperature at Minimum Density</t>
  </si>
  <si>
    <t>violation_count</t>
  </si>
  <si>
    <t>Current Test Meter Violation Count</t>
  </si>
  <si>
    <t>volume_gas</t>
  </si>
  <si>
    <t>Current Test Gas Volume</t>
  </si>
  <si>
    <t>volume_gross</t>
  </si>
  <si>
    <t>Current Test Gross Liquid Volume</t>
  </si>
  <si>
    <t>volume_oil</t>
  </si>
  <si>
    <t>Current Test Oil Volume</t>
  </si>
  <si>
    <t>volume_water</t>
  </si>
  <si>
    <t>Current Test Water Volume</t>
  </si>
  <si>
    <t>well_name</t>
  </si>
  <si>
    <t>Current Test Well Name</t>
  </si>
  <si>
    <t>well_number</t>
  </si>
  <si>
    <t>Current Test Well Number</t>
  </si>
  <si>
    <t>abort_testing</t>
  </si>
  <si>
    <t>Abort Testing</t>
  </si>
  <si>
    <t>demand_test</t>
  </si>
  <si>
    <t>Demand Test Start</t>
  </si>
  <si>
    <t>disable_testing</t>
  </si>
  <si>
    <t>Disable Testing</t>
  </si>
  <si>
    <t>Vessel Mode</t>
  </si>
  <si>
    <t>enable_testing</t>
  </si>
  <si>
    <t>Enable Testing</t>
  </si>
  <si>
    <t>max_aborts</t>
  </si>
  <si>
    <t>Maximum Number of Allowed Aborts Per Test</t>
  </si>
  <si>
    <t>Purge Volume Setpoint</t>
  </si>
  <si>
    <t>abort_operator</t>
  </si>
  <si>
    <t>Current Test Aborted due to Operator Abort</t>
  </si>
  <si>
    <t>abort_shutdown</t>
  </si>
  <si>
    <t>Current Test Aborted due to Shutdown</t>
  </si>
  <si>
    <t>complete</t>
  </si>
  <si>
    <t>Test Complete</t>
  </si>
  <si>
    <t>Demand Test in Progress</t>
  </si>
  <si>
    <t>high_level</t>
  </si>
  <si>
    <t>Current Test Separator Level Alarm High</t>
  </si>
  <si>
    <t>invalid_data</t>
  </si>
  <si>
    <t>Current Test Invalid Data</t>
  </si>
  <si>
    <t>low_level</t>
  </si>
  <si>
    <t>Current Test Separator Level Alarm Low</t>
  </si>
  <si>
    <t>manifold_position_override</t>
  </si>
  <si>
    <t>Manifold Position Override</t>
  </si>
  <si>
    <t>Current Test Manifold Valve Fail</t>
  </si>
  <si>
    <t>Tester in Purge</t>
  </si>
  <si>
    <t>schedule_position</t>
  </si>
  <si>
    <t>Current Position in Schedule</t>
  </si>
  <si>
    <t>Tester Status</t>
  </si>
  <si>
    <t>test</t>
  </si>
  <si>
    <t>Tester in Test</t>
  </si>
  <si>
    <t>test_initiator</t>
  </si>
  <si>
    <t>Current Test Initiator</t>
  </si>
  <si>
    <t>current_test</t>
  </si>
  <si>
    <t>Current Test Time</t>
  </si>
  <si>
    <t>core/timers/tmr_sp</t>
  </si>
  <si>
    <t>tmr_accum_path</t>
  </si>
  <si>
    <t>Purge Time</t>
  </si>
  <si>
    <t>UDT Picklist</t>
  </si>
  <si>
    <t>AnalogInput</t>
  </si>
  <si>
    <t>GD_AI</t>
  </si>
  <si>
    <t>UDT_Analog_Input</t>
  </si>
  <si>
    <t>UDT_Analog_Input (with .Active)</t>
  </si>
  <si>
    <t>CRC_Analog_Input (w/ SCP.EU_)</t>
  </si>
  <si>
    <t>CRC_Analog_Input (w/ SCP.EU)</t>
  </si>
  <si>
    <t>CRC_Analog_Input (3/11/25)</t>
  </si>
  <si>
    <t>DigitalInput</t>
  </si>
  <si>
    <t>CRC_Digital_Input</t>
  </si>
  <si>
    <t>Pump</t>
  </si>
  <si>
    <t>CRC_Motor</t>
  </si>
  <si>
    <t>CRC_Motor (no block start)</t>
  </si>
  <si>
    <t>CRC_Totalizer</t>
  </si>
  <si>
    <t>PID</t>
  </si>
  <si>
    <t>PID (custom UDT)</t>
  </si>
  <si>
    <t>CRC_PID</t>
  </si>
  <si>
    <t>CRC_PID (no SP limits)</t>
  </si>
  <si>
    <t>CRC_OnOff_Control</t>
  </si>
  <si>
    <t>Member Tag</t>
  </si>
  <si>
    <t>.ProcessValue</t>
  </si>
  <si>
    <t>.EU.PV</t>
  </si>
  <si>
    <t>.Value</t>
  </si>
  <si>
    <t>.PV</t>
  </si>
  <si>
    <t>.DigitalInput</t>
  </si>
  <si>
    <t>.Input</t>
  </si>
  <si>
    <t>.CmdOut</t>
  </si>
  <si>
    <t>.Cmd.Output</t>
  </si>
  <si>
    <t>.Today</t>
  </si>
  <si>
    <t>.ControlValue</t>
  </si>
  <si>
    <t>.PID.OUT</t>
  </si>
  <si>
    <t>.TransmitterFailure</t>
  </si>
  <si>
    <t>.Alarm.Failed.Latched</t>
  </si>
  <si>
    <t>.TransmitterFail</t>
  </si>
  <si>
    <t>.TransmitterFail.Active</t>
  </si>
  <si>
    <t>.EU</t>
  </si>
  <si>
    <t>.Logic</t>
  </si>
  <si>
    <t>.Alarm.Active</t>
  </si>
  <si>
    <t>.Auto</t>
  </si>
  <si>
    <t>.Auto.Input</t>
  </si>
  <si>
    <t>.Yesterday</t>
  </si>
  <si>
    <t>.SP</t>
  </si>
  <si>
    <t>.SetpointEU</t>
  </si>
  <si>
    <t>.CV</t>
  </si>
  <si>
    <t>.OnSP.Value</t>
  </si>
  <si>
    <t>.MinEU</t>
  </si>
  <si>
    <t>.EU.Min</t>
  </si>
  <si>
    <t>.SCP.EUMin</t>
  </si>
  <si>
    <t>.Description</t>
  </si>
  <si>
    <t>.BypStatus</t>
  </si>
  <si>
    <t>.RunStatus</t>
  </si>
  <si>
    <t>.Run.Input</t>
  </si>
  <si>
    <t>.OUT</t>
  </si>
  <si>
    <t>.ManualSP</t>
  </si>
  <si>
    <t>.PID.PV</t>
  </si>
  <si>
    <t>.OnSP.Min</t>
  </si>
  <si>
    <t>Open Setpoint Minimum</t>
  </si>
  <si>
    <t>.MaxEU</t>
  </si>
  <si>
    <t>.EU.Max</t>
  </si>
  <si>
    <t>.SCP.EUMax</t>
  </si>
  <si>
    <t>.DeviceTag</t>
  </si>
  <si>
    <t>.Inhibit</t>
  </si>
  <si>
    <t>.StartFailLogic</t>
  </si>
  <si>
    <t>.StartFail.Active</t>
  </si>
  <si>
    <t>.KP</t>
  </si>
  <si>
    <t>.SetpointLowLimit</t>
  </si>
  <si>
    <t>.SP.Value</t>
  </si>
  <si>
    <t>.OnSP.Max</t>
  </si>
  <si>
    <t>Open Setpoint Maximum</t>
  </si>
  <si>
    <t>.HHLogic</t>
  </si>
  <si>
    <t>.Alarm.HH.Latched</t>
  </si>
  <si>
    <t>.HighHigh</t>
  </si>
  <si>
    <t>.HighHigh.Active</t>
  </si>
  <si>
    <t>.SCP.EU_Min</t>
  </si>
  <si>
    <t>.EU_Min</t>
  </si>
  <si>
    <t>.StopFailLogic</t>
  </si>
  <si>
    <t>.StartFail.Disable</t>
  </si>
  <si>
    <t>.KI</t>
  </si>
  <si>
    <t>.SetpointHighLimit</t>
  </si>
  <si>
    <t>.SP.Min</t>
  </si>
  <si>
    <t>.PID.SP.Min</t>
  </si>
  <si>
    <t>.OffSP.Value</t>
  </si>
  <si>
    <t>.HLogic</t>
  </si>
  <si>
    <t>.Alarm.H.Deb.DN</t>
  </si>
  <si>
    <t>.High</t>
  </si>
  <si>
    <t>.High.Active</t>
  </si>
  <si>
    <t>.SCP.EU_Max</t>
  </si>
  <si>
    <t>.EU_Max</t>
  </si>
  <si>
    <t>.Permissive</t>
  </si>
  <si>
    <t>.StopFail.Active</t>
  </si>
  <si>
    <t>.KD</t>
  </si>
  <si>
    <t>.SP.Max</t>
  </si>
  <si>
    <t>.PID.SP.Max</t>
  </si>
  <si>
    <t>.OffSP.Min</t>
  </si>
  <si>
    <t>Close Setpoint Minimum</t>
  </si>
  <si>
    <t>.LLogic</t>
  </si>
  <si>
    <t>.Alarm.L.Deb.DN</t>
  </si>
  <si>
    <t>.Low</t>
  </si>
  <si>
    <t>.Low.Active</t>
  </si>
  <si>
    <t>.StartPB</t>
  </si>
  <si>
    <t>.StopFail.Disable</t>
  </si>
  <si>
    <t>.MINO</t>
  </si>
  <si>
    <t>.PID.KP</t>
  </si>
  <si>
    <t>.Mode</t>
  </si>
  <si>
    <t>.OffSP.Max</t>
  </si>
  <si>
    <t>Close Setpoint Maximum</t>
  </si>
  <si>
    <t>.LLLogic</t>
  </si>
  <si>
    <t>.Alarm.LL.Latched</t>
  </si>
  <si>
    <t>.LowLow</t>
  </si>
  <si>
    <t>.LowLow.Active</t>
  </si>
  <si>
    <t>.XTFail.Active</t>
  </si>
  <si>
    <t>.StopPB</t>
  </si>
  <si>
    <t>.MotorStatus</t>
  </si>
  <si>
    <t>.MAXO</t>
  </si>
  <si>
    <t>.PID.KI</t>
  </si>
  <si>
    <t>.PID.MAXO</t>
  </si>
  <si>
    <t>.HHSetpoint</t>
  </si>
  <si>
    <t>.Setpoints.HH</t>
  </si>
  <si>
    <t>.HighHigh_SP</t>
  </si>
  <si>
    <t>.HHAlm.Active</t>
  </si>
  <si>
    <t>.RunHours</t>
  </si>
  <si>
    <t>.SWM</t>
  </si>
  <si>
    <t>.PID.KD</t>
  </si>
  <si>
    <t>.PID.MINO</t>
  </si>
  <si>
    <t>.ManCmd</t>
  </si>
  <si>
    <t>.HSetpoint</t>
  </si>
  <si>
    <t>.Setpoints.H</t>
  </si>
  <si>
    <t>.High_SP</t>
  </si>
  <si>
    <t>.HH_SP.Value</t>
  </si>
  <si>
    <t>.Priority</t>
  </si>
  <si>
    <t>Priority Position</t>
  </si>
  <si>
    <t>.SO</t>
  </si>
  <si>
    <t>.ZSO.Input</t>
  </si>
  <si>
    <t>.LSetpoint</t>
  </si>
  <si>
    <t>.Setpoints.L</t>
  </si>
  <si>
    <t>.Low_SP</t>
  </si>
  <si>
    <t>.HAlm.Active</t>
  </si>
  <si>
    <t>.OOS</t>
  </si>
  <si>
    <t>.MO</t>
  </si>
  <si>
    <t>.ZSC.Input</t>
  </si>
  <si>
    <t>Close Switch Status</t>
  </si>
  <si>
    <t>.LLSetpoint</t>
  </si>
  <si>
    <t>.Setpoints.LL</t>
  </si>
  <si>
    <t>.LowLow_SP</t>
  </si>
  <si>
    <t>.H_SP.Value</t>
  </si>
  <si>
    <t>.RunTime</t>
  </si>
  <si>
    <t>.DB</t>
  </si>
  <si>
    <t>.PID.MO</t>
  </si>
  <si>
    <t>.ZSO.Alarm.Active</t>
  </si>
  <si>
    <t>.HHBypStatus</t>
  </si>
  <si>
    <t>.Alarm.HH.Bypass</t>
  </si>
  <si>
    <t>.HighHigh.DelayTimer</t>
  </si>
  <si>
    <t>.LAlm.Active</t>
  </si>
  <si>
    <t>.CurrentHours</t>
  </si>
  <si>
    <t>Runtime Since Last Shutdown</t>
  </si>
  <si>
    <t>.StartsDay[0]</t>
  </si>
  <si>
    <t>.MINS</t>
  </si>
  <si>
    <t>.PID.DB</t>
  </si>
  <si>
    <t>.PID.SWM</t>
  </si>
  <si>
    <t>.ZSC.Alarm.Active</t>
  </si>
  <si>
    <t>.HBypStatus</t>
  </si>
  <si>
    <t>.Alarm.H.Bypass</t>
  </si>
  <si>
    <t>.High.DelayTimer</t>
  </si>
  <si>
    <t>.L_SP.Value</t>
  </si>
  <si>
    <t>.DailyHours[0]</t>
  </si>
  <si>
    <t>.StartsDay[1]</t>
  </si>
  <si>
    <t>.MAXS</t>
  </si>
  <si>
    <t>.LBypStatus</t>
  </si>
  <si>
    <t>.Alarm.L.Bypass</t>
  </si>
  <si>
    <t>.Low.DelayTimer</t>
  </si>
  <si>
    <t>.LLAlm.Active</t>
  </si>
  <si>
    <t>.DailyHours[1]</t>
  </si>
  <si>
    <t>.StartsHour.0</t>
  </si>
  <si>
    <t>.LLBypStatus</t>
  </si>
  <si>
    <t>.Alarm.LL.Bypass</t>
  </si>
  <si>
    <t>.LowLow.DelayTimer</t>
  </si>
  <si>
    <t>.LL_SP.Value</t>
  </si>
  <si>
    <t>.OfflineHours[0]</t>
  </si>
  <si>
    <t>.Alarm.HH.Deb</t>
  </si>
  <si>
    <t>.XTSat.Active</t>
  </si>
  <si>
    <t>.HHAlm.DT</t>
  </si>
  <si>
    <t>.OfflineHours[1]</t>
  </si>
  <si>
    <t>.Alarm.H.Deb</t>
  </si>
  <si>
    <t>.HAlm.DT</t>
  </si>
  <si>
    <t>.HHTimerAlarm</t>
  </si>
  <si>
    <t>.Alarm.L.Deb</t>
  </si>
  <si>
    <t>.LAlm.DT</t>
  </si>
  <si>
    <t>.HTimerAlert</t>
  </si>
  <si>
    <t>.Alarm.LL.Deb</t>
  </si>
  <si>
    <t>.LLAlm.DT</t>
  </si>
  <si>
    <t>.StartsHour</t>
  </si>
  <si>
    <t>.LTimerAlert</t>
  </si>
  <si>
    <t>.HHAlm.DB</t>
  </si>
  <si>
    <t>.StartsAvailable</t>
  </si>
  <si>
    <t>.LLTimerAlarm</t>
  </si>
  <si>
    <t>.HAlm.DB</t>
  </si>
  <si>
    <t>.BlockStart</t>
  </si>
  <si>
    <t>.HHTimerNormal</t>
  </si>
  <si>
    <t>.LAlm.DB</t>
  </si>
  <si>
    <t>.LockOutTime</t>
  </si>
  <si>
    <t>Time Remaining on Lockout Condition</t>
  </si>
  <si>
    <t>.HTimerNormal</t>
  </si>
  <si>
    <t>.LLAlm.DB</t>
  </si>
  <si>
    <t>.LTimerNormal</t>
  </si>
  <si>
    <t>.LLTimerNormal</t>
  </si>
  <si>
    <t>ORANGE TAGS  = tag reference resides in cfg and can be changed by updating definition in ux</t>
  </si>
  <si>
    <t>BLUE TAGS  = tags references reside in the views that are default for the cfg (requires new view to change a tag path reference)</t>
  </si>
  <si>
    <t>augers</t>
  </si>
  <si>
    <t>switches</t>
  </si>
  <si>
    <t>crc/config/augers/cfg_001</t>
  </si>
  <si>
    <t>crc/config/compressors/cfg_compressor_standard_permissive</t>
  </si>
  <si>
    <t>crc/config/compressors/cfg_matrix</t>
  </si>
  <si>
    <t>crc/config/fans/cfg_control_001</t>
  </si>
  <si>
    <t>crc/config/fans/cfg_control_standard_permissive</t>
  </si>
  <si>
    <t>crc/config/filters/cfg_hydromation_001</t>
  </si>
  <si>
    <t>crc/config/meters/cfg_meter_gas_dp</t>
  </si>
  <si>
    <t>crc/config/motors/cfg_blower_001</t>
  </si>
  <si>
    <t>crc/config/motors/cfg_blower_standard_permissive</t>
  </si>
  <si>
    <t>crc/config/pids/cfg_dual_pid</t>
  </si>
  <si>
    <t>crc/config/pumps/cfg_pump_standard_permissive</t>
  </si>
  <si>
    <t>crc/config/pumps/cfg_cf_matrix</t>
  </si>
  <si>
    <t>crc/config/tanks/cfg_tank_redundant</t>
  </si>
  <si>
    <t>crc/config/thermal_oxidizers/cfg_001</t>
  </si>
  <si>
    <t>crc/config/valves/cfg_control_valve_dual_pid</t>
  </si>
  <si>
    <t>crc/config/valves/cfg_discrete_simple_001</t>
  </si>
  <si>
    <t>crc/config/valves/cfg_ss_sv</t>
  </si>
  <si>
    <t>status/state</t>
  </si>
  <si>
    <t>analogs/differential_pressure</t>
  </si>
  <si>
    <t>analogs/rate</t>
  </si>
  <si>
    <t>status/running</t>
  </si>
  <si>
    <t>status/output</t>
  </si>
  <si>
    <t>analogs/pv</t>
  </si>
  <si>
    <t>analogs/indicator</t>
  </si>
  <si>
    <t>analogs/level</t>
  </si>
  <si>
    <t>analogs/output</t>
  </si>
  <si>
    <t>analogs/position</t>
  </si>
  <si>
    <t>analogs/interface_level</t>
  </si>
  <si>
    <t>status/auto</t>
  </si>
  <si>
    <t>status/lead_lag</t>
  </si>
  <si>
    <t>status/operating_mode</t>
  </si>
  <si>
    <t>analogs/day_0_volume</t>
  </si>
  <si>
    <t>analogs/cv</t>
  </si>
  <si>
    <t>alarms/high_high</t>
  </si>
  <si>
    <t>setpoints/high_high</t>
  </si>
  <si>
    <t>commands/enable</t>
  </si>
  <si>
    <t>status/mode</t>
  </si>
  <si>
    <t>status/open</t>
  </si>
  <si>
    <t>analogs/oil_level</t>
  </si>
  <si>
    <t>analogs/runtime</t>
  </si>
  <si>
    <t>analogs/backwash_runtime</t>
  </si>
  <si>
    <t>analogs/day_1_volume</t>
  </si>
  <si>
    <t>setpoints/sp</t>
  </si>
  <si>
    <t>alarms/high</t>
  </si>
  <si>
    <t>status/lshh</t>
  </si>
  <si>
    <t>analogs/level_2</t>
  </si>
  <si>
    <t>setpoints/high</t>
  </si>
  <si>
    <t>indicator/pv_max</t>
  </si>
  <si>
    <t>status/closed</t>
  </si>
  <si>
    <t>status/state_unload</t>
  </si>
  <si>
    <t>status/permissive</t>
  </si>
  <si>
    <t>analogs/speed</t>
  </si>
  <si>
    <t>analogs/pressure</t>
  </si>
  <si>
    <t>setpoints/cv_max</t>
  </si>
  <si>
    <t>alarms/low</t>
  </si>
  <si>
    <t>setpoints/low</t>
  </si>
  <si>
    <t>indicator/pv_min</t>
  </si>
  <si>
    <t>commands/auto</t>
  </si>
  <si>
    <t>analogs/pump_runtime</t>
  </si>
  <si>
    <t>rate/pv_max</t>
  </si>
  <si>
    <t>analogs/temperature</t>
  </si>
  <si>
    <t>setpoints/cv_min</t>
  </si>
  <si>
    <t>alarms/low_low</t>
  </si>
  <si>
    <t>status/lsll</t>
  </si>
  <si>
    <t>setpoints/low_low</t>
  </si>
  <si>
    <t>indicator/desired_max</t>
  </si>
  <si>
    <t>commands/start</t>
  </si>
  <si>
    <t>analogs/motor_runtime</t>
  </si>
  <si>
    <t>rate/pv_min</t>
  </si>
  <si>
    <t>setpoints/sp_max</t>
  </si>
  <si>
    <t>timers/high_high</t>
  </si>
  <si>
    <t>indicator/desired_min</t>
  </si>
  <si>
    <t>commands/open</t>
  </si>
  <si>
    <t>commands/stop</t>
  </si>
  <si>
    <t>rate/desired_max</t>
  </si>
  <si>
    <t>setpoints/sp_min</t>
  </si>
  <si>
    <t>timers/high_high_off</t>
  </si>
  <si>
    <t>commands/mode</t>
  </si>
  <si>
    <t>analogs/pv_max</t>
  </si>
  <si>
    <t>commands/close</t>
  </si>
  <si>
    <t>rate/desired_min</t>
  </si>
  <si>
    <t>setpoints/kp</t>
  </si>
  <si>
    <t>timers/high</t>
  </si>
  <si>
    <t>{transmitter_1}/setpoints/high_high</t>
  </si>
  <si>
    <t>analogs/pv_min</t>
  </si>
  <si>
    <t>commands/runtime_reset</t>
  </si>
  <si>
    <t>setpoints/ki</t>
  </si>
  <si>
    <t>analogs/speed_output</t>
  </si>
  <si>
    <t>timers/high_off</t>
  </si>
  <si>
    <t>{transmitter_1}/setpoints/high</t>
  </si>
  <si>
    <t>setpoints/kd</t>
  </si>
  <si>
    <t>commands/hoa</t>
  </si>
  <si>
    <t>timers/low</t>
  </si>
  <si>
    <t>{transmitter_1}/setpoints/low</t>
  </si>
  <si>
    <t>setpoints/db</t>
  </si>
  <si>
    <t>timers/low_off</t>
  </si>
  <si>
    <t>{transmitter_1}/setpoints/low_low</t>
  </si>
  <si>
    <t>analogs/drive_gain</t>
  </si>
  <si>
    <t>setpoints/normal</t>
  </si>
  <si>
    <t>commands/alarm_reset</t>
  </si>
  <si>
    <t>timers/low_low</t>
  </si>
  <si>
    <t>{transmitter_2}/setpoints/high_high</t>
  </si>
  <si>
    <t>setpoints/density_gain_max</t>
  </si>
  <si>
    <t>analogs/current</t>
  </si>
  <si>
    <t>timers/low_low_off</t>
  </si>
  <si>
    <t>setpoints/mass_gain_max</t>
  </si>
  <si>
    <t>setpoints/cv</t>
  </si>
  <si>
    <t>status/active_control</t>
  </si>
  <si>
    <t>alarms/run_fail</t>
  </si>
  <si>
    <t>{transmitter_2}/setpoints/low</t>
  </si>
  <si>
    <t>status/sov</t>
  </si>
  <si>
    <t>status/software_manual</t>
  </si>
  <si>
    <t>alarms/mpr_trip</t>
  </si>
  <si>
    <t>{transmitter_2}/setpoints/low_low</t>
  </si>
  <si>
    <t>analogs/density</t>
  </si>
  <si>
    <t>status/manual_mode</t>
  </si>
  <si>
    <t>alarms/vfd_fail</t>
  </si>
  <si>
    <t>{transmitter_1}/pv_max</t>
  </si>
  <si>
    <t>analogs/day_0_avg_density</t>
  </si>
  <si>
    <t>analogs/orifice_diameter</t>
  </si>
  <si>
    <t>{pid_1}/status/software_manual</t>
  </si>
  <si>
    <t>status/hoa</t>
  </si>
  <si>
    <t>{transmitter_1}/pv_min</t>
  </si>
  <si>
    <t>{transmitter_3}/setpoints/high_high</t>
  </si>
  <si>
    <t>analogs/day_0_max_density</t>
  </si>
  <si>
    <t>setpoints/temperature_reference</t>
  </si>
  <si>
    <t>{pid_1}/status/manual_mode</t>
  </si>
  <si>
    <t>analogs/frequency</t>
  </si>
  <si>
    <t>{transmitter_1}/desired_max</t>
  </si>
  <si>
    <t>setpoints/sp_requested</t>
  </si>
  <si>
    <t>analogs/day_0_min_density</t>
  </si>
  <si>
    <t>analogs/temperature_correction_factor</t>
  </si>
  <si>
    <t>commands/bypass_high_high</t>
  </si>
  <si>
    <t>{pid_2}/status/software_manual</t>
  </si>
  <si>
    <t>commands/lead_lag</t>
  </si>
  <si>
    <t>{transmitter_1}/desired_min</t>
  </si>
  <si>
    <t>{transmitter_3}/setpoints/low</t>
  </si>
  <si>
    <t>setpoints/all_oil</t>
  </si>
  <si>
    <t>commands/bypass_high</t>
  </si>
  <si>
    <t>{pid_2}/status/manual_mode</t>
  </si>
  <si>
    <t>{transmitter_3}/setpoints/low_low</t>
  </si>
  <si>
    <t>{transmitter_2}/pv_max</t>
  </si>
  <si>
    <t>alarms/stop_fail</t>
  </si>
  <si>
    <t>setpoints/all_water</t>
  </si>
  <si>
    <t>commands/bypass_low</t>
  </si>
  <si>
    <t>{pid_1}:pv</t>
  </si>
  <si>
    <t>{transmitter_2}/pv_min</t>
  </si>
  <si>
    <t>analogs/cut</t>
  </si>
  <si>
    <t>commands/bypass_low_low</t>
  </si>
  <si>
    <t>{pid_1}:cv</t>
  </si>
  <si>
    <t>{transmitter_2}/desired_max</t>
  </si>
  <si>
    <t>{pid_1}:sp or sp_requested</t>
  </si>
  <si>
    <t>{transmitter_2}/desired_min</t>
  </si>
  <si>
    <t>analogs/day_0_avg_rate</t>
  </si>
  <si>
    <t>{pid_1}:auto</t>
  </si>
  <si>
    <t>{pid_1}:fbk</t>
  </si>
  <si>
    <t>analogs/rate_oil</t>
  </si>
  <si>
    <t>{pid_1}:sov</t>
  </si>
  <si>
    <t>analogs/day_0_volume_oil</t>
  </si>
  <si>
    <t>{pid_1}:output</t>
  </si>
  <si>
    <t>analogs/day_0_avg_rate_oil</t>
  </si>
  <si>
    <t>{pid_2}:pv</t>
  </si>
  <si>
    <t>analogs/day_1_volume_oil</t>
  </si>
  <si>
    <t>{pid_2}:cv</t>
  </si>
  <si>
    <t>{transmitter_3}/pv_max</t>
  </si>
  <si>
    <t>analogs/rate_water</t>
  </si>
  <si>
    <t>{pid_2}:sp or sp_requested</t>
  </si>
  <si>
    <t>{transmitter_3}/pv_min</t>
  </si>
  <si>
    <t>analogs/day_0_volume_water</t>
  </si>
  <si>
    <t>{pid_2}:auto</t>
  </si>
  <si>
    <t>{transmitter_3}/desired_max</t>
  </si>
  <si>
    <t>analogs/day_0_avg_rate_water</t>
  </si>
  <si>
    <t>{pid_2}:fbk</t>
  </si>
  <si>
    <t>{transmitter_3}/desired_min</t>
  </si>
  <si>
    <t>analogs/day_1_volume_water</t>
  </si>
  <si>
    <t>{pid_2}:sov</t>
  </si>
  <si>
    <t>{pid_2}:output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</si>
</sst>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 textRotation="90"/>
    </xf>
    <xf numFmtId="0" fontId="0" fillId="3" borderId="0" xfId="0" applyFill="1" applyAlignment="1">
      <alignment horizontal="left" textRotation="90" wrapText="1"/>
    </xf>
    <xf numFmtId="0" fontId="0" fillId="3" borderId="0" xfId="0" applyFill="1" applyAlignment="1">
      <alignment textRotation="90"/>
    </xf>
    <xf numFmtId="0" fontId="1" fillId="2" borderId="0" xfId="0" applyFont="1" applyFill="1" applyAlignment="1">
      <alignment horizontal="left" textRotation="90"/>
    </xf>
    <xf numFmtId="0" fontId="0" fillId="2" borderId="0" xfId="0" applyFill="1" applyAlignment="1">
      <alignment horizontal="left" textRotation="90"/>
    </xf>
    <xf numFmtId="0" fontId="0" fillId="2" borderId="0" xfId="0" applyFill="1" applyAlignment="1">
      <alignment horizontal="left" textRotation="90" wrapText="1"/>
    </xf>
    <xf numFmtId="0" fontId="0" fillId="2" borderId="0" xfId="0" applyFill="1" applyAlignment="1">
      <alignment textRotation="90"/>
    </xf>
    <xf numFmtId="0" fontId="0" fillId="0" borderId="0" xfId="0" applyAlignment="1">
      <alignment textRotation="90"/>
    </xf>
    <xf numFmtId="0" fontId="0" fillId="0" borderId="0" xfId="0" applyAlignment="1">
      <alignment textRotation="90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8" xfId="0" applyBorder="1"/>
    <xf numFmtId="0" fontId="0" fillId="0" borderId="2" xfId="0" applyBorder="1"/>
    <xf numFmtId="0" fontId="0" fillId="0" borderId="13" xfId="0" applyBorder="1" applyAlignment="1">
      <alignment wrapText="1"/>
    </xf>
    <xf numFmtId="0" fontId="0" fillId="0" borderId="19" xfId="0" applyBorder="1"/>
    <xf numFmtId="0" fontId="3" fillId="0" borderId="13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4" borderId="0" xfId="0" applyFont="1" applyFill="1"/>
    <xf numFmtId="0" fontId="3" fillId="3" borderId="0" xfId="0" applyFont="1" applyFill="1"/>
    <xf numFmtId="0" fontId="4" fillId="0" borderId="0" xfId="0" applyFont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/>
    </xf>
    <xf numFmtId="0" fontId="0" fillId="6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8" borderId="0" xfId="0" applyFill="1"/>
    <xf numFmtId="0" fontId="0" fillId="7" borderId="0" xfId="0" applyFill="1"/>
    <xf numFmtId="0" fontId="0" fillId="0" borderId="13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7" borderId="27" xfId="0" applyFill="1" applyBorder="1" applyAlignment="1">
      <alignment horizontal="center"/>
    </xf>
    <xf numFmtId="0" fontId="0" fillId="0" borderId="27" xfId="0" applyBorder="1"/>
    <xf numFmtId="0" fontId="0" fillId="0" borderId="29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83"/>
  <sheetViews>
    <sheetView tabSelected="1" topLeftCell="L1" workbookViewId="0">
      <selection activeCell="M16" sqref="M16"/>
    </sheetView>
  </sheetViews>
  <sheetFormatPr defaultRowHeight="15" x14ac:dyDescent="0.25"/>
  <cols>
    <col min="1" max="1" width="8.5703125" hidden="1" customWidth="1"/>
    <col min="2" max="2" width="53.5703125" hidden="1" customWidth="1"/>
    <col min="3" max="3" width="9.140625" hidden="1" customWidth="1"/>
    <col min="4" max="4" width="17.140625" hidden="1" customWidth="1"/>
    <col min="5" max="5" width="8.5703125" hidden="1" customWidth="1"/>
    <col min="6" max="6" width="12.7109375" hidden="1" customWidth="1"/>
    <col min="7" max="7" width="32.140625" hidden="1" customWidth="1"/>
    <col min="8" max="8" width="19" hidden="1" customWidth="1"/>
    <col min="9" max="9" width="26.7109375" hidden="1" customWidth="1"/>
    <col min="10" max="10" width="30.5703125" hidden="1" customWidth="1"/>
    <col min="11" max="11" width="0" hidden="1" customWidth="1"/>
    <col min="12" max="12" width="15.85546875" customWidth="1"/>
    <col min="13" max="13" width="7.140625" customWidth="1"/>
    <col min="14" max="14" width="52.28515625" customWidth="1"/>
    <col min="15" max="15" width="40.140625" customWidth="1"/>
    <col min="16" max="16" width="7.140625" customWidth="1"/>
    <col min="17" max="17" width="24.85546875" customWidth="1"/>
    <col min="18" max="18" width="42.28515625" customWidth="1"/>
    <col min="19" max="19" width="18.85546875" customWidth="1"/>
    <col min="20" max="20" width="10.85546875" hidden="1" customWidth="1"/>
    <col min="21" max="21" width="17.42578125" hidden="1" customWidth="1"/>
    <col min="22" max="22" width="7.140625" hidden="1" customWidth="1"/>
    <col min="23" max="23" width="8.7109375" hidden="1" customWidth="1"/>
    <col min="24" max="24" width="7.28515625" hidden="1" customWidth="1"/>
    <col min="25" max="25" width="6.7109375" hidden="1" customWidth="1"/>
    <col min="26" max="26" width="0" hidden="1" customWidth="1"/>
    <col min="27" max="27" width="6.28515625" hidden="1" customWidth="1"/>
    <col min="28" max="28" width="6.42578125" hidden="1" customWidth="1"/>
    <col min="29" max="29" width="24.42578125" hidden="1" customWidth="1"/>
    <col min="30" max="30" width="28.28515625" hidden="1" customWidth="1"/>
    <col min="31" max="31" width="9" hidden="1" customWidth="1"/>
    <col min="32" max="32" width="7" hidden="1" customWidth="1"/>
    <col min="33" max="33" width="42.140625" hidden="1" customWidth="1"/>
  </cols>
  <sheetData>
    <row r="1" spans="1:33" ht="102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9" t="s">
        <v>27</v>
      </c>
      <c r="AC1" s="10" t="s">
        <v>28</v>
      </c>
      <c r="AD1" s="2" t="s">
        <v>29</v>
      </c>
      <c r="AE1" t="s">
        <v>30</v>
      </c>
      <c r="AF1" t="s">
        <v>31</v>
      </c>
      <c r="AG1" s="11" t="s">
        <v>32</v>
      </c>
    </row>
    <row r="2" spans="1:33" x14ac:dyDescent="0.25">
      <c r="A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R2" t="s">
        <v>46</v>
      </c>
      <c r="S2" t="s">
        <v>47</v>
      </c>
      <c r="U2" t="s">
        <v>48</v>
      </c>
      <c r="V2" t="s">
        <v>49</v>
      </c>
      <c r="W2" t="s">
        <v>50</v>
      </c>
      <c r="AD2" t="s">
        <v>51</v>
      </c>
    </row>
    <row r="3" spans="1:33" x14ac:dyDescent="0.25">
      <c r="A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52</v>
      </c>
      <c r="J3" t="s">
        <v>40</v>
      </c>
      <c r="K3" t="s">
        <v>41</v>
      </c>
      <c r="L3" t="s">
        <v>42</v>
      </c>
      <c r="M3" t="s">
        <v>53</v>
      </c>
      <c r="N3" t="s">
        <v>44</v>
      </c>
      <c r="O3" t="s">
        <v>54</v>
      </c>
      <c r="R3" t="s">
        <v>55</v>
      </c>
      <c r="S3" t="s">
        <v>47</v>
      </c>
      <c r="U3" t="s">
        <v>48</v>
      </c>
      <c r="V3" t="s">
        <v>49</v>
      </c>
      <c r="W3" t="s">
        <v>50</v>
      </c>
      <c r="X3" t="s">
        <v>56</v>
      </c>
      <c r="AD3" t="s">
        <v>57</v>
      </c>
    </row>
    <row r="4" spans="1:33" x14ac:dyDescent="0.25">
      <c r="A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58</v>
      </c>
      <c r="J4" t="s">
        <v>40</v>
      </c>
      <c r="K4" t="s">
        <v>41</v>
      </c>
      <c r="L4" t="s">
        <v>42</v>
      </c>
      <c r="M4" t="s">
        <v>59</v>
      </c>
      <c r="N4" t="s">
        <v>44</v>
      </c>
      <c r="O4" t="s">
        <v>60</v>
      </c>
      <c r="R4" t="s">
        <v>61</v>
      </c>
      <c r="S4" t="s">
        <v>47</v>
      </c>
      <c r="U4" t="s">
        <v>48</v>
      </c>
      <c r="V4" t="s">
        <v>49</v>
      </c>
      <c r="W4" t="s">
        <v>50</v>
      </c>
      <c r="AD4" t="s">
        <v>62</v>
      </c>
    </row>
    <row r="5" spans="1:33" x14ac:dyDescent="0.25">
      <c r="A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63</v>
      </c>
      <c r="J5" t="s">
        <v>40</v>
      </c>
      <c r="K5" t="s">
        <v>41</v>
      </c>
      <c r="L5" t="s">
        <v>42</v>
      </c>
      <c r="M5" t="s">
        <v>64</v>
      </c>
      <c r="N5" t="s">
        <v>44</v>
      </c>
      <c r="O5" t="s">
        <v>65</v>
      </c>
      <c r="R5" t="s">
        <v>66</v>
      </c>
      <c r="S5" t="s">
        <v>47</v>
      </c>
      <c r="U5" t="s">
        <v>48</v>
      </c>
      <c r="V5" t="s">
        <v>49</v>
      </c>
      <c r="W5" t="s">
        <v>50</v>
      </c>
      <c r="Y5">
        <v>0</v>
      </c>
      <c r="Z5">
        <v>1000</v>
      </c>
      <c r="AD5" t="s">
        <v>67</v>
      </c>
    </row>
    <row r="6" spans="1:33" x14ac:dyDescent="0.25">
      <c r="A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68</v>
      </c>
      <c r="J6" t="s">
        <v>69</v>
      </c>
      <c r="K6" t="s">
        <v>41</v>
      </c>
      <c r="L6" t="s">
        <v>42</v>
      </c>
      <c r="M6" t="s">
        <v>70</v>
      </c>
      <c r="N6" t="s">
        <v>44</v>
      </c>
      <c r="O6" t="s">
        <v>71</v>
      </c>
      <c r="R6" t="s">
        <v>72</v>
      </c>
      <c r="S6" t="s">
        <v>47</v>
      </c>
      <c r="U6" t="s">
        <v>48</v>
      </c>
      <c r="V6" t="s">
        <v>49</v>
      </c>
      <c r="W6" t="s">
        <v>50</v>
      </c>
      <c r="AD6" t="s">
        <v>73</v>
      </c>
    </row>
    <row r="7" spans="1:33" x14ac:dyDescent="0.25">
      <c r="A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74</v>
      </c>
      <c r="J7" t="s">
        <v>69</v>
      </c>
      <c r="K7" t="s">
        <v>41</v>
      </c>
      <c r="L7" t="s">
        <v>42</v>
      </c>
      <c r="M7" t="s">
        <v>70</v>
      </c>
      <c r="N7" t="s">
        <v>44</v>
      </c>
      <c r="O7" t="s">
        <v>75</v>
      </c>
      <c r="R7" t="s">
        <v>76</v>
      </c>
      <c r="S7" t="s">
        <v>47</v>
      </c>
      <c r="U7" t="s">
        <v>48</v>
      </c>
      <c r="V7" t="s">
        <v>49</v>
      </c>
      <c r="W7" t="s">
        <v>50</v>
      </c>
      <c r="AD7" t="s">
        <v>77</v>
      </c>
    </row>
    <row r="8" spans="1:33" x14ac:dyDescent="0.25">
      <c r="A8" t="s">
        <v>33</v>
      </c>
      <c r="D8" t="s">
        <v>34</v>
      </c>
      <c r="E8" t="s">
        <v>35</v>
      </c>
      <c r="F8" t="s">
        <v>78</v>
      </c>
      <c r="G8" t="s">
        <v>79</v>
      </c>
      <c r="H8" t="s">
        <v>38</v>
      </c>
      <c r="I8" t="s">
        <v>80</v>
      </c>
      <c r="J8" t="s">
        <v>69</v>
      </c>
      <c r="K8" t="s">
        <v>41</v>
      </c>
      <c r="L8" t="s">
        <v>81</v>
      </c>
      <c r="M8" t="s">
        <v>82</v>
      </c>
      <c r="N8" t="s">
        <v>83</v>
      </c>
      <c r="O8" t="s">
        <v>84</v>
      </c>
      <c r="R8" t="s">
        <v>85</v>
      </c>
      <c r="S8" t="s">
        <v>47</v>
      </c>
      <c r="U8" t="s">
        <v>48</v>
      </c>
      <c r="V8" t="s">
        <v>49</v>
      </c>
      <c r="W8" t="s">
        <v>50</v>
      </c>
      <c r="AD8" t="s">
        <v>86</v>
      </c>
    </row>
    <row r="9" spans="1:33" x14ac:dyDescent="0.25">
      <c r="A9" t="s">
        <v>33</v>
      </c>
      <c r="D9" t="s">
        <v>34</v>
      </c>
      <c r="E9" t="s">
        <v>35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  <c r="P9">
        <v>1E-3</v>
      </c>
      <c r="R9" t="s">
        <v>97</v>
      </c>
      <c r="S9" t="s">
        <v>47</v>
      </c>
      <c r="U9" t="s">
        <v>48</v>
      </c>
      <c r="V9" t="s">
        <v>49</v>
      </c>
      <c r="W9" t="s">
        <v>50</v>
      </c>
      <c r="AD9" t="s">
        <v>98</v>
      </c>
    </row>
    <row r="10" spans="1:33" x14ac:dyDescent="0.25">
      <c r="A10" t="s">
        <v>33</v>
      </c>
      <c r="D10" t="s">
        <v>34</v>
      </c>
      <c r="E10" t="s">
        <v>35</v>
      </c>
      <c r="F10" t="s">
        <v>87</v>
      </c>
      <c r="G10" t="s">
        <v>99</v>
      </c>
      <c r="H10" t="s">
        <v>89</v>
      </c>
      <c r="I10" t="s">
        <v>100</v>
      </c>
      <c r="J10" t="s">
        <v>91</v>
      </c>
      <c r="K10" t="s">
        <v>92</v>
      </c>
      <c r="L10" t="s">
        <v>101</v>
      </c>
      <c r="M10" t="s">
        <v>94</v>
      </c>
      <c r="N10" t="s">
        <v>102</v>
      </c>
      <c r="O10" t="s">
        <v>96</v>
      </c>
      <c r="P10">
        <v>1E-3</v>
      </c>
      <c r="R10" t="s">
        <v>103</v>
      </c>
      <c r="S10" t="s">
        <v>47</v>
      </c>
      <c r="U10" t="s">
        <v>48</v>
      </c>
      <c r="V10" t="s">
        <v>49</v>
      </c>
      <c r="W10" t="s">
        <v>50</v>
      </c>
      <c r="AD10" t="s">
        <v>104</v>
      </c>
    </row>
    <row r="11" spans="1:33" x14ac:dyDescent="0.25">
      <c r="A11" t="s">
        <v>33</v>
      </c>
      <c r="D11" t="s">
        <v>34</v>
      </c>
      <c r="E11" t="s">
        <v>35</v>
      </c>
      <c r="F11" t="s">
        <v>87</v>
      </c>
      <c r="G11" t="s">
        <v>105</v>
      </c>
      <c r="H11" t="s">
        <v>38</v>
      </c>
      <c r="I11" t="s">
        <v>106</v>
      </c>
      <c r="J11" t="s">
        <v>40</v>
      </c>
      <c r="K11" t="s">
        <v>41</v>
      </c>
      <c r="L11" t="s">
        <v>107</v>
      </c>
      <c r="M11" t="s">
        <v>82</v>
      </c>
      <c r="N11" t="s">
        <v>108</v>
      </c>
      <c r="O11" t="s">
        <v>109</v>
      </c>
      <c r="R11" t="s">
        <v>110</v>
      </c>
      <c r="S11" t="s">
        <v>47</v>
      </c>
      <c r="V11" t="s">
        <v>49</v>
      </c>
      <c r="W11" t="s">
        <v>50</v>
      </c>
      <c r="AD11" t="s">
        <v>111</v>
      </c>
    </row>
    <row r="12" spans="1:33" x14ac:dyDescent="0.25">
      <c r="A12" t="s">
        <v>33</v>
      </c>
      <c r="D12" t="s">
        <v>34</v>
      </c>
      <c r="E12" t="s">
        <v>35</v>
      </c>
      <c r="F12" t="s">
        <v>87</v>
      </c>
      <c r="G12" t="s">
        <v>112</v>
      </c>
      <c r="H12" t="s">
        <v>38</v>
      </c>
      <c r="I12" t="s">
        <v>106</v>
      </c>
      <c r="J12" t="s">
        <v>40</v>
      </c>
      <c r="K12" t="s">
        <v>41</v>
      </c>
      <c r="L12" t="s">
        <v>113</v>
      </c>
      <c r="M12" t="s">
        <v>82</v>
      </c>
      <c r="N12" t="s">
        <v>114</v>
      </c>
      <c r="O12" t="s">
        <v>109</v>
      </c>
      <c r="R12" t="s">
        <v>115</v>
      </c>
      <c r="S12" t="s">
        <v>47</v>
      </c>
      <c r="V12" t="s">
        <v>49</v>
      </c>
      <c r="W12" t="s">
        <v>50</v>
      </c>
      <c r="AD12" t="s">
        <v>116</v>
      </c>
    </row>
    <row r="13" spans="1:33" x14ac:dyDescent="0.25">
      <c r="A13" t="s">
        <v>33</v>
      </c>
      <c r="D13" t="s">
        <v>34</v>
      </c>
      <c r="E13" t="s">
        <v>35</v>
      </c>
      <c r="F13" t="s">
        <v>87</v>
      </c>
      <c r="G13" t="s">
        <v>117</v>
      </c>
      <c r="H13" t="s">
        <v>38</v>
      </c>
      <c r="I13" t="s">
        <v>106</v>
      </c>
      <c r="J13" t="s">
        <v>40</v>
      </c>
      <c r="K13" t="s">
        <v>41</v>
      </c>
      <c r="L13" t="s">
        <v>118</v>
      </c>
      <c r="M13" t="s">
        <v>82</v>
      </c>
      <c r="N13" t="s">
        <v>119</v>
      </c>
      <c r="O13" t="s">
        <v>109</v>
      </c>
      <c r="R13" t="s">
        <v>120</v>
      </c>
      <c r="S13" t="s">
        <v>47</v>
      </c>
      <c r="V13" t="s">
        <v>49</v>
      </c>
      <c r="W13" t="s">
        <v>50</v>
      </c>
      <c r="AD13" t="s">
        <v>121</v>
      </c>
    </row>
    <row r="14" spans="1:33" x14ac:dyDescent="0.25">
      <c r="A14" t="s">
        <v>33</v>
      </c>
      <c r="D14" t="s">
        <v>34</v>
      </c>
      <c r="E14" t="s">
        <v>35</v>
      </c>
      <c r="F14" t="s">
        <v>36</v>
      </c>
      <c r="G14" t="s">
        <v>122</v>
      </c>
      <c r="H14" t="s">
        <v>38</v>
      </c>
      <c r="I14" t="s">
        <v>39</v>
      </c>
      <c r="J14" t="s">
        <v>40</v>
      </c>
      <c r="K14" t="s">
        <v>41</v>
      </c>
      <c r="L14" t="s">
        <v>123</v>
      </c>
      <c r="M14" t="s">
        <v>43</v>
      </c>
      <c r="N14" t="s">
        <v>124</v>
      </c>
      <c r="O14" t="s">
        <v>45</v>
      </c>
      <c r="R14" t="s">
        <v>125</v>
      </c>
      <c r="S14" t="s">
        <v>47</v>
      </c>
      <c r="V14" t="s">
        <v>49</v>
      </c>
      <c r="W14" t="s">
        <v>50</v>
      </c>
      <c r="AD14" t="s">
        <v>126</v>
      </c>
    </row>
    <row r="15" spans="1:33" x14ac:dyDescent="0.25">
      <c r="A15" t="s">
        <v>33</v>
      </c>
      <c r="D15" t="s">
        <v>34</v>
      </c>
      <c r="E15" t="s">
        <v>35</v>
      </c>
      <c r="F15" t="s">
        <v>36</v>
      </c>
      <c r="G15" t="s">
        <v>122</v>
      </c>
      <c r="H15" t="s">
        <v>38</v>
      </c>
      <c r="I15" t="s">
        <v>52</v>
      </c>
      <c r="J15" t="s">
        <v>40</v>
      </c>
      <c r="K15" t="s">
        <v>41</v>
      </c>
      <c r="L15" t="s">
        <v>123</v>
      </c>
      <c r="M15" t="s">
        <v>53</v>
      </c>
      <c r="N15" t="s">
        <v>124</v>
      </c>
      <c r="O15" t="s">
        <v>54</v>
      </c>
      <c r="R15" t="s">
        <v>127</v>
      </c>
      <c r="S15" t="s">
        <v>47</v>
      </c>
      <c r="V15" t="s">
        <v>49</v>
      </c>
      <c r="W15" t="s">
        <v>50</v>
      </c>
      <c r="X15" t="s">
        <v>56</v>
      </c>
      <c r="AD15" t="s">
        <v>128</v>
      </c>
    </row>
    <row r="16" spans="1:33" x14ac:dyDescent="0.25">
      <c r="A16" t="s">
        <v>33</v>
      </c>
      <c r="D16" t="s">
        <v>34</v>
      </c>
      <c r="E16" t="s">
        <v>35</v>
      </c>
      <c r="F16" t="s">
        <v>36</v>
      </c>
      <c r="G16" t="s">
        <v>122</v>
      </c>
      <c r="H16" t="s">
        <v>38</v>
      </c>
      <c r="I16" t="s">
        <v>58</v>
      </c>
      <c r="J16" t="s">
        <v>40</v>
      </c>
      <c r="K16" t="s">
        <v>41</v>
      </c>
      <c r="L16" t="s">
        <v>123</v>
      </c>
      <c r="M16" t="s">
        <v>59</v>
      </c>
      <c r="N16" t="s">
        <v>124</v>
      </c>
      <c r="O16" t="s">
        <v>60</v>
      </c>
      <c r="R16" t="s">
        <v>129</v>
      </c>
      <c r="S16" t="s">
        <v>47</v>
      </c>
      <c r="V16" t="s">
        <v>49</v>
      </c>
      <c r="W16" t="s">
        <v>50</v>
      </c>
      <c r="AD16" t="s">
        <v>130</v>
      </c>
    </row>
    <row r="17" spans="1:30" x14ac:dyDescent="0.25">
      <c r="A17" t="s">
        <v>33</v>
      </c>
      <c r="D17" t="s">
        <v>34</v>
      </c>
      <c r="E17" t="s">
        <v>35</v>
      </c>
      <c r="F17" t="s">
        <v>36</v>
      </c>
      <c r="G17" t="s">
        <v>122</v>
      </c>
      <c r="H17" t="s">
        <v>38</v>
      </c>
      <c r="I17" t="s">
        <v>63</v>
      </c>
      <c r="J17" t="s">
        <v>40</v>
      </c>
      <c r="K17" t="s">
        <v>41</v>
      </c>
      <c r="L17" t="s">
        <v>123</v>
      </c>
      <c r="M17" t="s">
        <v>64</v>
      </c>
      <c r="N17" t="s">
        <v>124</v>
      </c>
      <c r="O17" t="s">
        <v>65</v>
      </c>
      <c r="R17" t="s">
        <v>131</v>
      </c>
      <c r="S17" t="s">
        <v>47</v>
      </c>
      <c r="V17" t="s">
        <v>49</v>
      </c>
      <c r="W17" t="s">
        <v>50</v>
      </c>
      <c r="Z17">
        <v>15000</v>
      </c>
      <c r="AD17" t="s">
        <v>132</v>
      </c>
    </row>
    <row r="18" spans="1:30" x14ac:dyDescent="0.25">
      <c r="A18" t="s">
        <v>33</v>
      </c>
      <c r="D18" t="s">
        <v>34</v>
      </c>
      <c r="E18" t="s">
        <v>35</v>
      </c>
      <c r="F18" t="s">
        <v>36</v>
      </c>
      <c r="G18" t="s">
        <v>122</v>
      </c>
      <c r="H18" t="s">
        <v>38</v>
      </c>
      <c r="I18" t="s">
        <v>68</v>
      </c>
      <c r="J18" t="s">
        <v>69</v>
      </c>
      <c r="K18" t="s">
        <v>41</v>
      </c>
      <c r="L18" t="s">
        <v>123</v>
      </c>
      <c r="M18" t="s">
        <v>70</v>
      </c>
      <c r="N18" t="s">
        <v>124</v>
      </c>
      <c r="O18" t="s">
        <v>71</v>
      </c>
      <c r="R18" t="s">
        <v>133</v>
      </c>
      <c r="S18" t="s">
        <v>47</v>
      </c>
      <c r="V18" t="s">
        <v>49</v>
      </c>
      <c r="W18" t="s">
        <v>50</v>
      </c>
      <c r="AD18" t="s">
        <v>134</v>
      </c>
    </row>
    <row r="19" spans="1:30" x14ac:dyDescent="0.25">
      <c r="A19" t="s">
        <v>33</v>
      </c>
      <c r="D19" t="s">
        <v>34</v>
      </c>
      <c r="E19" t="s">
        <v>35</v>
      </c>
      <c r="F19" t="s">
        <v>36</v>
      </c>
      <c r="G19" t="s">
        <v>122</v>
      </c>
      <c r="H19" t="s">
        <v>38</v>
      </c>
      <c r="I19" t="s">
        <v>74</v>
      </c>
      <c r="J19" t="s">
        <v>69</v>
      </c>
      <c r="K19" t="s">
        <v>41</v>
      </c>
      <c r="L19" t="s">
        <v>123</v>
      </c>
      <c r="M19" t="s">
        <v>70</v>
      </c>
      <c r="N19" t="s">
        <v>124</v>
      </c>
      <c r="O19" t="s">
        <v>75</v>
      </c>
      <c r="R19" t="s">
        <v>135</v>
      </c>
      <c r="S19" t="s">
        <v>47</v>
      </c>
      <c r="V19" t="s">
        <v>49</v>
      </c>
      <c r="W19" t="s">
        <v>50</v>
      </c>
      <c r="AD19" t="s">
        <v>136</v>
      </c>
    </row>
    <row r="20" spans="1:30" x14ac:dyDescent="0.25">
      <c r="A20" t="s">
        <v>33</v>
      </c>
      <c r="D20" t="s">
        <v>34</v>
      </c>
      <c r="E20" t="s">
        <v>35</v>
      </c>
      <c r="F20" t="s">
        <v>87</v>
      </c>
      <c r="G20" t="s">
        <v>137</v>
      </c>
      <c r="H20" t="s">
        <v>38</v>
      </c>
      <c r="I20" t="s">
        <v>106</v>
      </c>
      <c r="J20" t="s">
        <v>40</v>
      </c>
      <c r="K20" t="s">
        <v>41</v>
      </c>
      <c r="L20" t="s">
        <v>138</v>
      </c>
      <c r="M20" t="s">
        <v>139</v>
      </c>
      <c r="N20" t="s">
        <v>140</v>
      </c>
      <c r="O20" t="s">
        <v>109</v>
      </c>
      <c r="R20" t="s">
        <v>141</v>
      </c>
      <c r="S20" t="s">
        <v>47</v>
      </c>
      <c r="V20" t="s">
        <v>49</v>
      </c>
      <c r="W20" t="s">
        <v>50</v>
      </c>
      <c r="X20" t="s">
        <v>56</v>
      </c>
      <c r="AD20" t="s">
        <v>142</v>
      </c>
    </row>
    <row r="21" spans="1:30" x14ac:dyDescent="0.25">
      <c r="A21" t="s">
        <v>33</v>
      </c>
      <c r="D21" t="s">
        <v>34</v>
      </c>
      <c r="E21" t="s">
        <v>35</v>
      </c>
      <c r="F21" t="s">
        <v>87</v>
      </c>
      <c r="G21" t="s">
        <v>137</v>
      </c>
      <c r="H21" t="s">
        <v>143</v>
      </c>
      <c r="I21" t="s">
        <v>144</v>
      </c>
      <c r="J21" t="s">
        <v>145</v>
      </c>
      <c r="K21" t="s">
        <v>146</v>
      </c>
      <c r="L21" t="s">
        <v>138</v>
      </c>
      <c r="M21" t="s">
        <v>139</v>
      </c>
      <c r="N21" t="s">
        <v>140</v>
      </c>
      <c r="O21" t="s">
        <v>147</v>
      </c>
      <c r="R21" t="s">
        <v>148</v>
      </c>
      <c r="S21" t="s">
        <v>47</v>
      </c>
      <c r="V21" t="s">
        <v>49</v>
      </c>
      <c r="W21" t="s">
        <v>50</v>
      </c>
      <c r="X21" t="s">
        <v>56</v>
      </c>
      <c r="AD21" t="s">
        <v>149</v>
      </c>
    </row>
    <row r="22" spans="1:30" x14ac:dyDescent="0.25">
      <c r="A22" t="s">
        <v>33</v>
      </c>
      <c r="D22" t="s">
        <v>34</v>
      </c>
      <c r="E22" t="s">
        <v>35</v>
      </c>
      <c r="F22" t="s">
        <v>87</v>
      </c>
      <c r="G22" t="s">
        <v>137</v>
      </c>
      <c r="H22" t="s">
        <v>89</v>
      </c>
      <c r="I22" t="s">
        <v>144</v>
      </c>
      <c r="J22" t="s">
        <v>91</v>
      </c>
      <c r="K22" t="s">
        <v>92</v>
      </c>
      <c r="L22" t="s">
        <v>138</v>
      </c>
      <c r="M22" t="s">
        <v>94</v>
      </c>
      <c r="N22" t="s">
        <v>140</v>
      </c>
      <c r="O22" t="s">
        <v>150</v>
      </c>
      <c r="P22">
        <v>1E-3</v>
      </c>
      <c r="R22" t="s">
        <v>151</v>
      </c>
      <c r="S22" t="s">
        <v>47</v>
      </c>
      <c r="V22" t="s">
        <v>49</v>
      </c>
      <c r="W22" t="s">
        <v>50</v>
      </c>
      <c r="AD22" t="s">
        <v>152</v>
      </c>
    </row>
    <row r="23" spans="1:30" x14ac:dyDescent="0.25">
      <c r="A23" t="s">
        <v>33</v>
      </c>
      <c r="D23" t="s">
        <v>34</v>
      </c>
      <c r="E23" t="s">
        <v>35</v>
      </c>
      <c r="F23" t="s">
        <v>87</v>
      </c>
      <c r="G23" t="s">
        <v>137</v>
      </c>
      <c r="H23" t="s">
        <v>153</v>
      </c>
      <c r="I23" t="s">
        <v>144</v>
      </c>
      <c r="J23" t="s">
        <v>154</v>
      </c>
      <c r="K23" t="s">
        <v>155</v>
      </c>
      <c r="L23" t="s">
        <v>138</v>
      </c>
      <c r="N23" t="s">
        <v>140</v>
      </c>
      <c r="O23" t="s">
        <v>156</v>
      </c>
      <c r="R23" t="s">
        <v>157</v>
      </c>
      <c r="S23" t="s">
        <v>47</v>
      </c>
      <c r="V23" t="s">
        <v>49</v>
      </c>
      <c r="W23" t="s">
        <v>50</v>
      </c>
      <c r="AD23" t="s">
        <v>158</v>
      </c>
    </row>
    <row r="24" spans="1:30" x14ac:dyDescent="0.25">
      <c r="A24" t="s">
        <v>33</v>
      </c>
      <c r="D24" t="s">
        <v>34</v>
      </c>
      <c r="E24" t="s">
        <v>35</v>
      </c>
      <c r="F24" t="s">
        <v>78</v>
      </c>
      <c r="G24" t="s">
        <v>159</v>
      </c>
      <c r="H24" t="s">
        <v>153</v>
      </c>
      <c r="I24" t="s">
        <v>160</v>
      </c>
      <c r="J24" t="s">
        <v>154</v>
      </c>
      <c r="K24" t="s">
        <v>155</v>
      </c>
      <c r="L24" t="s">
        <v>161</v>
      </c>
      <c r="N24" t="s">
        <v>162</v>
      </c>
      <c r="O24" t="s">
        <v>163</v>
      </c>
      <c r="R24" t="s">
        <v>164</v>
      </c>
      <c r="S24" t="s">
        <v>47</v>
      </c>
      <c r="V24" t="s">
        <v>49</v>
      </c>
      <c r="W24" t="s">
        <v>50</v>
      </c>
      <c r="AD24" t="s">
        <v>165</v>
      </c>
    </row>
    <row r="25" spans="1:30" x14ac:dyDescent="0.25">
      <c r="A25" t="s">
        <v>33</v>
      </c>
      <c r="D25" t="s">
        <v>34</v>
      </c>
      <c r="E25" t="s">
        <v>35</v>
      </c>
      <c r="F25" t="s">
        <v>78</v>
      </c>
      <c r="G25" t="s">
        <v>159</v>
      </c>
      <c r="H25" t="s">
        <v>166</v>
      </c>
      <c r="I25" t="s">
        <v>160</v>
      </c>
      <c r="J25" t="s">
        <v>167</v>
      </c>
      <c r="K25" t="s">
        <v>41</v>
      </c>
      <c r="L25" t="s">
        <v>161</v>
      </c>
      <c r="N25" t="s">
        <v>162</v>
      </c>
      <c r="O25" t="s">
        <v>168</v>
      </c>
      <c r="Q25" t="s">
        <v>169</v>
      </c>
      <c r="R25" t="s">
        <v>170</v>
      </c>
      <c r="S25" t="s">
        <v>47</v>
      </c>
      <c r="V25" t="s">
        <v>49</v>
      </c>
      <c r="W25" t="s">
        <v>50</v>
      </c>
      <c r="AD25" t="s">
        <v>171</v>
      </c>
    </row>
    <row r="26" spans="1:30" x14ac:dyDescent="0.25">
      <c r="A26" t="s">
        <v>33</v>
      </c>
      <c r="D26" t="s">
        <v>34</v>
      </c>
      <c r="E26" t="s">
        <v>35</v>
      </c>
      <c r="F26" t="s">
        <v>78</v>
      </c>
      <c r="G26" t="s">
        <v>79</v>
      </c>
      <c r="H26" t="s">
        <v>166</v>
      </c>
      <c r="I26" t="s">
        <v>160</v>
      </c>
      <c r="J26" t="s">
        <v>167</v>
      </c>
      <c r="K26" t="s">
        <v>41</v>
      </c>
      <c r="L26" t="s">
        <v>81</v>
      </c>
      <c r="N26" t="s">
        <v>83</v>
      </c>
      <c r="O26" t="s">
        <v>168</v>
      </c>
      <c r="Q26" t="s">
        <v>169</v>
      </c>
      <c r="R26" t="s">
        <v>172</v>
      </c>
      <c r="S26" t="s">
        <v>47</v>
      </c>
      <c r="V26" t="s">
        <v>49</v>
      </c>
      <c r="W26" t="s">
        <v>50</v>
      </c>
      <c r="AD26" t="s">
        <v>173</v>
      </c>
    </row>
    <row r="27" spans="1:30" x14ac:dyDescent="0.25">
      <c r="A27" t="s">
        <v>33</v>
      </c>
      <c r="D27" t="s">
        <v>34</v>
      </c>
      <c r="E27" t="s">
        <v>35</v>
      </c>
      <c r="F27" t="s">
        <v>87</v>
      </c>
      <c r="G27" t="s">
        <v>174</v>
      </c>
      <c r="H27" t="s">
        <v>38</v>
      </c>
      <c r="I27" t="s">
        <v>106</v>
      </c>
      <c r="J27" t="s">
        <v>40</v>
      </c>
      <c r="K27" t="s">
        <v>41</v>
      </c>
      <c r="L27" t="s">
        <v>175</v>
      </c>
      <c r="M27" t="s">
        <v>176</v>
      </c>
      <c r="N27" t="s">
        <v>177</v>
      </c>
      <c r="O27" t="s">
        <v>109</v>
      </c>
      <c r="R27" t="s">
        <v>178</v>
      </c>
      <c r="S27" t="s">
        <v>47</v>
      </c>
      <c r="V27" t="s">
        <v>49</v>
      </c>
      <c r="W27" t="s">
        <v>50</v>
      </c>
      <c r="AD27" t="s">
        <v>179</v>
      </c>
    </row>
    <row r="28" spans="1:30" x14ac:dyDescent="0.25">
      <c r="A28" t="s">
        <v>33</v>
      </c>
      <c r="D28" t="s">
        <v>34</v>
      </c>
      <c r="E28" t="s">
        <v>35</v>
      </c>
      <c r="F28" t="s">
        <v>87</v>
      </c>
      <c r="G28" t="s">
        <v>174</v>
      </c>
      <c r="H28" t="s">
        <v>143</v>
      </c>
      <c r="I28" t="s">
        <v>180</v>
      </c>
      <c r="J28" t="s">
        <v>145</v>
      </c>
      <c r="K28" t="s">
        <v>146</v>
      </c>
      <c r="L28" t="s">
        <v>175</v>
      </c>
      <c r="M28" t="s">
        <v>176</v>
      </c>
      <c r="N28" t="s">
        <v>177</v>
      </c>
      <c r="O28" t="s">
        <v>181</v>
      </c>
      <c r="R28" t="s">
        <v>182</v>
      </c>
      <c r="S28" t="s">
        <v>47</v>
      </c>
      <c r="V28" t="s">
        <v>49</v>
      </c>
      <c r="W28" t="s">
        <v>50</v>
      </c>
      <c r="AD28" t="s">
        <v>183</v>
      </c>
    </row>
    <row r="29" spans="1:30" x14ac:dyDescent="0.25">
      <c r="A29" t="s">
        <v>33</v>
      </c>
      <c r="D29" t="s">
        <v>34</v>
      </c>
      <c r="E29" t="s">
        <v>35</v>
      </c>
      <c r="F29" t="s">
        <v>87</v>
      </c>
      <c r="G29" t="s">
        <v>174</v>
      </c>
      <c r="H29" t="s">
        <v>89</v>
      </c>
      <c r="I29" t="s">
        <v>180</v>
      </c>
      <c r="J29" t="s">
        <v>91</v>
      </c>
      <c r="K29" t="s">
        <v>92</v>
      </c>
      <c r="L29" t="s">
        <v>175</v>
      </c>
      <c r="M29" t="s">
        <v>94</v>
      </c>
      <c r="N29" t="s">
        <v>177</v>
      </c>
      <c r="O29" t="s">
        <v>184</v>
      </c>
      <c r="P29">
        <v>1E-3</v>
      </c>
      <c r="R29" t="s">
        <v>185</v>
      </c>
      <c r="S29" t="s">
        <v>47</v>
      </c>
      <c r="V29" t="s">
        <v>49</v>
      </c>
      <c r="W29" t="s">
        <v>50</v>
      </c>
      <c r="AD29" t="s">
        <v>186</v>
      </c>
    </row>
    <row r="30" spans="1:30" x14ac:dyDescent="0.25">
      <c r="A30" t="s">
        <v>33</v>
      </c>
      <c r="D30" t="s">
        <v>34</v>
      </c>
      <c r="E30" t="s">
        <v>35</v>
      </c>
      <c r="F30" t="s">
        <v>87</v>
      </c>
      <c r="G30" t="s">
        <v>174</v>
      </c>
      <c r="H30" t="s">
        <v>153</v>
      </c>
      <c r="I30" t="s">
        <v>180</v>
      </c>
      <c r="J30" t="s">
        <v>154</v>
      </c>
      <c r="K30" t="s">
        <v>155</v>
      </c>
      <c r="L30" t="s">
        <v>175</v>
      </c>
      <c r="N30" t="s">
        <v>177</v>
      </c>
      <c r="O30" t="s">
        <v>187</v>
      </c>
      <c r="R30" t="s">
        <v>188</v>
      </c>
      <c r="S30" t="s">
        <v>47</v>
      </c>
      <c r="V30" t="s">
        <v>49</v>
      </c>
      <c r="W30" t="s">
        <v>50</v>
      </c>
      <c r="AD30" t="s">
        <v>189</v>
      </c>
    </row>
    <row r="31" spans="1:30" x14ac:dyDescent="0.25">
      <c r="A31" t="s">
        <v>33</v>
      </c>
      <c r="D31" t="s">
        <v>34</v>
      </c>
      <c r="E31" t="s">
        <v>35</v>
      </c>
      <c r="F31" t="s">
        <v>87</v>
      </c>
      <c r="G31" t="s">
        <v>174</v>
      </c>
      <c r="H31" t="s">
        <v>143</v>
      </c>
      <c r="I31" t="s">
        <v>144</v>
      </c>
      <c r="J31" t="s">
        <v>145</v>
      </c>
      <c r="K31" t="s">
        <v>146</v>
      </c>
      <c r="L31" t="s">
        <v>175</v>
      </c>
      <c r="M31" t="s">
        <v>176</v>
      </c>
      <c r="N31" t="s">
        <v>177</v>
      </c>
      <c r="O31" t="s">
        <v>147</v>
      </c>
      <c r="R31" t="s">
        <v>190</v>
      </c>
      <c r="S31" t="s">
        <v>47</v>
      </c>
      <c r="V31" t="s">
        <v>49</v>
      </c>
      <c r="W31" t="s">
        <v>50</v>
      </c>
      <c r="AD31" t="s">
        <v>191</v>
      </c>
    </row>
    <row r="32" spans="1:30" x14ac:dyDescent="0.25">
      <c r="A32" t="s">
        <v>33</v>
      </c>
      <c r="D32" t="s">
        <v>34</v>
      </c>
      <c r="E32" t="s">
        <v>35</v>
      </c>
      <c r="F32" t="s">
        <v>87</v>
      </c>
      <c r="G32" t="s">
        <v>174</v>
      </c>
      <c r="H32" t="s">
        <v>89</v>
      </c>
      <c r="I32" t="s">
        <v>144</v>
      </c>
      <c r="J32" t="s">
        <v>91</v>
      </c>
      <c r="K32" t="s">
        <v>92</v>
      </c>
      <c r="L32" t="s">
        <v>175</v>
      </c>
      <c r="M32" t="s">
        <v>94</v>
      </c>
      <c r="N32" t="s">
        <v>177</v>
      </c>
      <c r="O32" t="s">
        <v>150</v>
      </c>
      <c r="P32">
        <v>1E-3</v>
      </c>
      <c r="R32" t="s">
        <v>192</v>
      </c>
      <c r="S32" t="s">
        <v>47</v>
      </c>
      <c r="V32" t="s">
        <v>49</v>
      </c>
      <c r="W32" t="s">
        <v>50</v>
      </c>
      <c r="AD32" t="s">
        <v>193</v>
      </c>
    </row>
    <row r="33" spans="1:30" x14ac:dyDescent="0.25">
      <c r="A33" t="s">
        <v>33</v>
      </c>
      <c r="D33" t="s">
        <v>34</v>
      </c>
      <c r="E33" t="s">
        <v>35</v>
      </c>
      <c r="F33" t="s">
        <v>87</v>
      </c>
      <c r="G33" t="s">
        <v>174</v>
      </c>
      <c r="H33" t="s">
        <v>153</v>
      </c>
      <c r="I33" t="s">
        <v>144</v>
      </c>
      <c r="J33" t="s">
        <v>154</v>
      </c>
      <c r="K33" t="s">
        <v>155</v>
      </c>
      <c r="L33" t="s">
        <v>175</v>
      </c>
      <c r="N33" t="s">
        <v>177</v>
      </c>
      <c r="O33" t="s">
        <v>156</v>
      </c>
      <c r="R33" t="s">
        <v>194</v>
      </c>
      <c r="S33" t="s">
        <v>47</v>
      </c>
      <c r="V33" t="s">
        <v>49</v>
      </c>
      <c r="W33" t="s">
        <v>50</v>
      </c>
      <c r="AD33" t="s">
        <v>195</v>
      </c>
    </row>
    <row r="34" spans="1:30" x14ac:dyDescent="0.25">
      <c r="A34" t="s">
        <v>33</v>
      </c>
      <c r="D34" t="s">
        <v>34</v>
      </c>
      <c r="E34" t="s">
        <v>35</v>
      </c>
      <c r="F34" t="s">
        <v>87</v>
      </c>
      <c r="G34" t="s">
        <v>196</v>
      </c>
      <c r="H34" t="s">
        <v>38</v>
      </c>
      <c r="I34" t="s">
        <v>106</v>
      </c>
      <c r="J34" t="s">
        <v>40</v>
      </c>
      <c r="K34" t="s">
        <v>41</v>
      </c>
      <c r="L34" t="s">
        <v>197</v>
      </c>
      <c r="M34" t="s">
        <v>176</v>
      </c>
      <c r="N34" t="s">
        <v>198</v>
      </c>
      <c r="O34" t="s">
        <v>109</v>
      </c>
      <c r="R34" t="s">
        <v>199</v>
      </c>
      <c r="S34" t="s">
        <v>47</v>
      </c>
      <c r="V34" t="s">
        <v>49</v>
      </c>
      <c r="W34" t="s">
        <v>50</v>
      </c>
      <c r="AD34" t="s">
        <v>200</v>
      </c>
    </row>
    <row r="35" spans="1:30" x14ac:dyDescent="0.25">
      <c r="A35" t="s">
        <v>33</v>
      </c>
      <c r="D35" t="s">
        <v>34</v>
      </c>
      <c r="E35" t="s">
        <v>35</v>
      </c>
      <c r="F35" t="s">
        <v>87</v>
      </c>
      <c r="G35" t="s">
        <v>196</v>
      </c>
      <c r="H35" t="s">
        <v>143</v>
      </c>
      <c r="I35" t="s">
        <v>180</v>
      </c>
      <c r="J35" t="s">
        <v>145</v>
      </c>
      <c r="K35" t="s">
        <v>146</v>
      </c>
      <c r="L35" t="s">
        <v>197</v>
      </c>
      <c r="M35" t="s">
        <v>176</v>
      </c>
      <c r="N35" t="s">
        <v>198</v>
      </c>
      <c r="O35" t="s">
        <v>181</v>
      </c>
      <c r="R35" t="s">
        <v>201</v>
      </c>
      <c r="S35" t="s">
        <v>47</v>
      </c>
      <c r="V35" t="s">
        <v>49</v>
      </c>
      <c r="W35" t="s">
        <v>50</v>
      </c>
      <c r="AD35" t="s">
        <v>202</v>
      </c>
    </row>
    <row r="36" spans="1:30" x14ac:dyDescent="0.25">
      <c r="A36" t="s">
        <v>33</v>
      </c>
      <c r="D36" t="s">
        <v>34</v>
      </c>
      <c r="E36" t="s">
        <v>35</v>
      </c>
      <c r="F36" t="s">
        <v>87</v>
      </c>
      <c r="G36" t="s">
        <v>196</v>
      </c>
      <c r="H36" t="s">
        <v>89</v>
      </c>
      <c r="I36" t="s">
        <v>180</v>
      </c>
      <c r="J36" t="s">
        <v>91</v>
      </c>
      <c r="K36" t="s">
        <v>92</v>
      </c>
      <c r="L36" t="s">
        <v>197</v>
      </c>
      <c r="M36" t="s">
        <v>94</v>
      </c>
      <c r="N36" t="s">
        <v>198</v>
      </c>
      <c r="O36" t="s">
        <v>184</v>
      </c>
      <c r="P36">
        <v>1E-3</v>
      </c>
      <c r="R36" t="s">
        <v>203</v>
      </c>
      <c r="S36" t="s">
        <v>47</v>
      </c>
      <c r="V36" t="s">
        <v>49</v>
      </c>
      <c r="W36" t="s">
        <v>50</v>
      </c>
      <c r="AD36" t="s">
        <v>204</v>
      </c>
    </row>
    <row r="37" spans="1:30" x14ac:dyDescent="0.25">
      <c r="A37" t="s">
        <v>33</v>
      </c>
      <c r="D37" t="s">
        <v>34</v>
      </c>
      <c r="E37" t="s">
        <v>35</v>
      </c>
      <c r="F37" t="s">
        <v>87</v>
      </c>
      <c r="G37" t="s">
        <v>196</v>
      </c>
      <c r="H37" t="s">
        <v>153</v>
      </c>
      <c r="I37" t="s">
        <v>180</v>
      </c>
      <c r="J37" t="s">
        <v>154</v>
      </c>
      <c r="K37" t="s">
        <v>155</v>
      </c>
      <c r="L37" t="s">
        <v>197</v>
      </c>
      <c r="N37" t="s">
        <v>198</v>
      </c>
      <c r="O37" t="s">
        <v>187</v>
      </c>
      <c r="R37" t="s">
        <v>205</v>
      </c>
      <c r="S37" t="s">
        <v>47</v>
      </c>
      <c r="V37" t="s">
        <v>49</v>
      </c>
      <c r="W37" t="s">
        <v>50</v>
      </c>
      <c r="AD37" t="s">
        <v>206</v>
      </c>
    </row>
    <row r="38" spans="1:30" x14ac:dyDescent="0.25">
      <c r="A38" t="s">
        <v>33</v>
      </c>
      <c r="D38" t="s">
        <v>34</v>
      </c>
      <c r="E38" t="s">
        <v>35</v>
      </c>
      <c r="F38" t="s">
        <v>87</v>
      </c>
      <c r="G38" t="s">
        <v>196</v>
      </c>
      <c r="H38" t="s">
        <v>143</v>
      </c>
      <c r="I38" t="s">
        <v>144</v>
      </c>
      <c r="J38" t="s">
        <v>145</v>
      </c>
      <c r="K38" t="s">
        <v>146</v>
      </c>
      <c r="L38" t="s">
        <v>197</v>
      </c>
      <c r="M38" t="s">
        <v>176</v>
      </c>
      <c r="N38" t="s">
        <v>198</v>
      </c>
      <c r="O38" t="s">
        <v>147</v>
      </c>
      <c r="R38" t="s">
        <v>207</v>
      </c>
      <c r="S38" t="s">
        <v>47</v>
      </c>
      <c r="V38" t="s">
        <v>49</v>
      </c>
      <c r="W38" t="s">
        <v>50</v>
      </c>
      <c r="AD38" t="s">
        <v>208</v>
      </c>
    </row>
    <row r="39" spans="1:30" x14ac:dyDescent="0.25">
      <c r="A39" t="s">
        <v>33</v>
      </c>
      <c r="D39" t="s">
        <v>34</v>
      </c>
      <c r="E39" t="s">
        <v>35</v>
      </c>
      <c r="F39" t="s">
        <v>87</v>
      </c>
      <c r="G39" t="s">
        <v>196</v>
      </c>
      <c r="H39" t="s">
        <v>89</v>
      </c>
      <c r="I39" t="s">
        <v>144</v>
      </c>
      <c r="J39" t="s">
        <v>91</v>
      </c>
      <c r="K39" t="s">
        <v>92</v>
      </c>
      <c r="L39" t="s">
        <v>197</v>
      </c>
      <c r="M39" t="s">
        <v>94</v>
      </c>
      <c r="N39" t="s">
        <v>198</v>
      </c>
      <c r="O39" t="s">
        <v>150</v>
      </c>
      <c r="P39">
        <v>1E-3</v>
      </c>
      <c r="R39" t="s">
        <v>209</v>
      </c>
      <c r="S39" t="s">
        <v>47</v>
      </c>
      <c r="V39" t="s">
        <v>49</v>
      </c>
      <c r="W39" t="s">
        <v>50</v>
      </c>
      <c r="AD39" t="s">
        <v>210</v>
      </c>
    </row>
    <row r="40" spans="1:30" x14ac:dyDescent="0.25">
      <c r="A40" t="s">
        <v>33</v>
      </c>
      <c r="D40" t="s">
        <v>34</v>
      </c>
      <c r="E40" t="s">
        <v>35</v>
      </c>
      <c r="F40" t="s">
        <v>87</v>
      </c>
      <c r="G40" t="s">
        <v>196</v>
      </c>
      <c r="H40" t="s">
        <v>153</v>
      </c>
      <c r="I40" t="s">
        <v>144</v>
      </c>
      <c r="J40" t="s">
        <v>154</v>
      </c>
      <c r="K40" t="s">
        <v>155</v>
      </c>
      <c r="L40" t="s">
        <v>197</v>
      </c>
      <c r="N40" t="s">
        <v>198</v>
      </c>
      <c r="O40" t="s">
        <v>156</v>
      </c>
      <c r="R40" t="s">
        <v>211</v>
      </c>
      <c r="S40" t="s">
        <v>47</v>
      </c>
      <c r="V40" t="s">
        <v>49</v>
      </c>
      <c r="W40" t="s">
        <v>50</v>
      </c>
      <c r="AD40" t="s">
        <v>212</v>
      </c>
    </row>
    <row r="41" spans="1:30" x14ac:dyDescent="0.25">
      <c r="A41" t="s">
        <v>33</v>
      </c>
      <c r="D41" t="s">
        <v>34</v>
      </c>
      <c r="E41" t="s">
        <v>35</v>
      </c>
      <c r="F41" t="s">
        <v>87</v>
      </c>
      <c r="G41" t="s">
        <v>88</v>
      </c>
      <c r="H41" t="s">
        <v>153</v>
      </c>
      <c r="I41" t="s">
        <v>90</v>
      </c>
      <c r="J41" t="s">
        <v>154</v>
      </c>
      <c r="K41" t="s">
        <v>155</v>
      </c>
      <c r="L41" t="s">
        <v>93</v>
      </c>
      <c r="N41" t="s">
        <v>95</v>
      </c>
      <c r="O41" t="s">
        <v>213</v>
      </c>
      <c r="R41" t="s">
        <v>214</v>
      </c>
      <c r="S41" t="s">
        <v>47</v>
      </c>
      <c r="V41" t="s">
        <v>49</v>
      </c>
      <c r="W41" t="s">
        <v>50</v>
      </c>
      <c r="AD41" t="s">
        <v>215</v>
      </c>
    </row>
    <row r="42" spans="1:30" x14ac:dyDescent="0.25">
      <c r="A42" t="s">
        <v>33</v>
      </c>
      <c r="D42" t="s">
        <v>34</v>
      </c>
      <c r="E42" t="s">
        <v>35</v>
      </c>
      <c r="F42" t="s">
        <v>87</v>
      </c>
      <c r="G42" t="s">
        <v>88</v>
      </c>
      <c r="H42" t="s">
        <v>166</v>
      </c>
      <c r="I42" t="s">
        <v>216</v>
      </c>
      <c r="J42" t="s">
        <v>167</v>
      </c>
      <c r="K42" t="s">
        <v>41</v>
      </c>
      <c r="L42" t="s">
        <v>93</v>
      </c>
      <c r="N42" t="s">
        <v>95</v>
      </c>
      <c r="O42" t="s">
        <v>217</v>
      </c>
      <c r="Q42" t="s">
        <v>218</v>
      </c>
      <c r="R42" t="s">
        <v>219</v>
      </c>
      <c r="S42" t="s">
        <v>47</v>
      </c>
      <c r="V42" t="s">
        <v>49</v>
      </c>
      <c r="W42" t="s">
        <v>50</v>
      </c>
      <c r="AD42" t="s">
        <v>220</v>
      </c>
    </row>
    <row r="43" spans="1:30" x14ac:dyDescent="0.25">
      <c r="A43" t="s">
        <v>33</v>
      </c>
      <c r="D43" t="s">
        <v>34</v>
      </c>
      <c r="E43" t="s">
        <v>35</v>
      </c>
      <c r="F43" t="s">
        <v>87</v>
      </c>
      <c r="G43" t="s">
        <v>221</v>
      </c>
      <c r="H43" t="s">
        <v>153</v>
      </c>
      <c r="I43" t="s">
        <v>90</v>
      </c>
      <c r="J43" t="s">
        <v>154</v>
      </c>
      <c r="K43" t="s">
        <v>155</v>
      </c>
      <c r="L43" t="s">
        <v>222</v>
      </c>
      <c r="N43" t="s">
        <v>223</v>
      </c>
      <c r="O43" t="s">
        <v>213</v>
      </c>
      <c r="R43" t="s">
        <v>224</v>
      </c>
      <c r="S43" t="s">
        <v>47</v>
      </c>
      <c r="V43" t="s">
        <v>49</v>
      </c>
      <c r="W43" t="s">
        <v>50</v>
      </c>
      <c r="AD43" t="s">
        <v>225</v>
      </c>
    </row>
    <row r="44" spans="1:30" x14ac:dyDescent="0.25">
      <c r="A44" t="s">
        <v>33</v>
      </c>
      <c r="D44" t="s">
        <v>34</v>
      </c>
      <c r="E44" t="s">
        <v>35</v>
      </c>
      <c r="F44" t="s">
        <v>87</v>
      </c>
      <c r="G44" t="s">
        <v>221</v>
      </c>
      <c r="H44" t="s">
        <v>166</v>
      </c>
      <c r="I44" t="s">
        <v>216</v>
      </c>
      <c r="J44" t="s">
        <v>167</v>
      </c>
      <c r="K44" t="s">
        <v>41</v>
      </c>
      <c r="L44" t="s">
        <v>222</v>
      </c>
      <c r="N44" t="s">
        <v>223</v>
      </c>
      <c r="O44" t="s">
        <v>217</v>
      </c>
      <c r="Q44" t="s">
        <v>218</v>
      </c>
      <c r="R44" t="s">
        <v>226</v>
      </c>
      <c r="S44" t="s">
        <v>47</v>
      </c>
      <c r="V44" t="s">
        <v>49</v>
      </c>
      <c r="W44" t="s">
        <v>50</v>
      </c>
      <c r="AD44" t="s">
        <v>227</v>
      </c>
    </row>
    <row r="45" spans="1:30" x14ac:dyDescent="0.25">
      <c r="A45" t="s">
        <v>33</v>
      </c>
      <c r="D45" t="s">
        <v>34</v>
      </c>
      <c r="E45" t="s">
        <v>35</v>
      </c>
      <c r="F45" t="s">
        <v>87</v>
      </c>
      <c r="G45" t="s">
        <v>221</v>
      </c>
      <c r="H45" t="s">
        <v>89</v>
      </c>
      <c r="I45" t="s">
        <v>90</v>
      </c>
      <c r="J45" t="s">
        <v>91</v>
      </c>
      <c r="K45" t="s">
        <v>92</v>
      </c>
      <c r="L45" t="s">
        <v>222</v>
      </c>
      <c r="M45" t="s">
        <v>94</v>
      </c>
      <c r="N45" t="s">
        <v>223</v>
      </c>
      <c r="O45" t="s">
        <v>96</v>
      </c>
      <c r="P45">
        <v>1E-3</v>
      </c>
      <c r="R45" t="s">
        <v>228</v>
      </c>
      <c r="S45" t="s">
        <v>47</v>
      </c>
      <c r="V45" t="s">
        <v>49</v>
      </c>
      <c r="W45" t="s">
        <v>50</v>
      </c>
      <c r="AD45" t="s">
        <v>229</v>
      </c>
    </row>
    <row r="46" spans="1:30" x14ac:dyDescent="0.25">
      <c r="A46" t="s">
        <v>33</v>
      </c>
      <c r="D46" t="s">
        <v>34</v>
      </c>
      <c r="E46" t="s">
        <v>35</v>
      </c>
      <c r="F46" t="s">
        <v>87</v>
      </c>
      <c r="G46" t="s">
        <v>99</v>
      </c>
      <c r="H46" t="s">
        <v>153</v>
      </c>
      <c r="I46" t="s">
        <v>100</v>
      </c>
      <c r="J46" t="s">
        <v>154</v>
      </c>
      <c r="K46" t="s">
        <v>155</v>
      </c>
      <c r="L46" t="s">
        <v>101</v>
      </c>
      <c r="N46" t="s">
        <v>102</v>
      </c>
      <c r="O46" t="s">
        <v>213</v>
      </c>
      <c r="R46" t="s">
        <v>230</v>
      </c>
      <c r="S46" t="s">
        <v>47</v>
      </c>
      <c r="V46" t="s">
        <v>49</v>
      </c>
      <c r="W46" t="s">
        <v>50</v>
      </c>
      <c r="AD46" t="s">
        <v>231</v>
      </c>
    </row>
    <row r="47" spans="1:30" x14ac:dyDescent="0.25">
      <c r="A47" t="s">
        <v>33</v>
      </c>
      <c r="D47" t="s">
        <v>34</v>
      </c>
      <c r="E47" t="s">
        <v>35</v>
      </c>
      <c r="F47" t="s">
        <v>87</v>
      </c>
      <c r="G47" t="s">
        <v>99</v>
      </c>
      <c r="H47" t="s">
        <v>166</v>
      </c>
      <c r="I47" t="s">
        <v>216</v>
      </c>
      <c r="J47" t="s">
        <v>167</v>
      </c>
      <c r="K47" t="s">
        <v>41</v>
      </c>
      <c r="L47" t="s">
        <v>101</v>
      </c>
      <c r="N47" t="s">
        <v>102</v>
      </c>
      <c r="O47" t="s">
        <v>217</v>
      </c>
      <c r="Q47" t="s">
        <v>218</v>
      </c>
      <c r="R47" t="s">
        <v>232</v>
      </c>
      <c r="S47" t="s">
        <v>47</v>
      </c>
      <c r="V47" t="s">
        <v>49</v>
      </c>
      <c r="W47" t="s">
        <v>50</v>
      </c>
      <c r="AD47" t="s">
        <v>233</v>
      </c>
    </row>
    <row r="48" spans="1:30" x14ac:dyDescent="0.25">
      <c r="A48" t="s">
        <v>33</v>
      </c>
      <c r="D48" t="s">
        <v>34</v>
      </c>
      <c r="E48" t="s">
        <v>35</v>
      </c>
      <c r="F48" t="s">
        <v>78</v>
      </c>
      <c r="G48" t="s">
        <v>234</v>
      </c>
      <c r="H48" t="s">
        <v>153</v>
      </c>
      <c r="I48" t="s">
        <v>235</v>
      </c>
      <c r="J48" t="s">
        <v>154</v>
      </c>
      <c r="K48" t="s">
        <v>155</v>
      </c>
      <c r="L48" t="s">
        <v>236</v>
      </c>
      <c r="N48" t="s">
        <v>237</v>
      </c>
      <c r="O48" t="s">
        <v>238</v>
      </c>
      <c r="R48" t="s">
        <v>239</v>
      </c>
      <c r="S48" t="s">
        <v>47</v>
      </c>
      <c r="V48" t="s">
        <v>49</v>
      </c>
      <c r="W48" t="s">
        <v>50</v>
      </c>
      <c r="AD48" t="s">
        <v>240</v>
      </c>
    </row>
    <row r="49" spans="1:30" x14ac:dyDescent="0.25">
      <c r="A49" t="s">
        <v>33</v>
      </c>
      <c r="D49" t="s">
        <v>34</v>
      </c>
      <c r="E49" t="s">
        <v>35</v>
      </c>
      <c r="F49" t="s">
        <v>78</v>
      </c>
      <c r="G49" t="s">
        <v>234</v>
      </c>
      <c r="H49" t="s">
        <v>166</v>
      </c>
      <c r="I49" t="s">
        <v>160</v>
      </c>
      <c r="J49" t="s">
        <v>167</v>
      </c>
      <c r="K49" t="s">
        <v>41</v>
      </c>
      <c r="L49" t="s">
        <v>236</v>
      </c>
      <c r="N49" t="s">
        <v>237</v>
      </c>
      <c r="O49" t="s">
        <v>168</v>
      </c>
      <c r="Q49" t="s">
        <v>169</v>
      </c>
      <c r="R49" t="s">
        <v>241</v>
      </c>
      <c r="S49" t="s">
        <v>47</v>
      </c>
      <c r="V49" t="s">
        <v>49</v>
      </c>
      <c r="W49" t="s">
        <v>50</v>
      </c>
      <c r="AD49" t="s">
        <v>242</v>
      </c>
    </row>
    <row r="50" spans="1:30" x14ac:dyDescent="0.25">
      <c r="A50" t="s">
        <v>33</v>
      </c>
      <c r="D50" t="s">
        <v>34</v>
      </c>
      <c r="E50" t="s">
        <v>35</v>
      </c>
      <c r="F50" t="s">
        <v>78</v>
      </c>
      <c r="G50" t="s">
        <v>234</v>
      </c>
      <c r="H50" t="s">
        <v>166</v>
      </c>
      <c r="I50" t="s">
        <v>243</v>
      </c>
      <c r="J50" t="s">
        <v>167</v>
      </c>
      <c r="K50" t="s">
        <v>41</v>
      </c>
      <c r="L50" t="s">
        <v>236</v>
      </c>
      <c r="N50" t="s">
        <v>237</v>
      </c>
      <c r="O50" t="s">
        <v>244</v>
      </c>
      <c r="Q50" t="s">
        <v>245</v>
      </c>
      <c r="R50" t="s">
        <v>246</v>
      </c>
      <c r="S50" t="s">
        <v>47</v>
      </c>
      <c r="V50" t="s">
        <v>49</v>
      </c>
      <c r="W50" t="s">
        <v>50</v>
      </c>
      <c r="AD50" t="s">
        <v>247</v>
      </c>
    </row>
    <row r="51" spans="1:30" x14ac:dyDescent="0.25">
      <c r="A51" t="s">
        <v>33</v>
      </c>
      <c r="D51" t="s">
        <v>34</v>
      </c>
      <c r="E51" t="s">
        <v>35</v>
      </c>
      <c r="F51" t="s">
        <v>248</v>
      </c>
      <c r="G51" t="s">
        <v>249</v>
      </c>
      <c r="H51" t="s">
        <v>38</v>
      </c>
      <c r="I51" t="s">
        <v>250</v>
      </c>
      <c r="J51" t="s">
        <v>40</v>
      </c>
      <c r="K51" t="s">
        <v>41</v>
      </c>
      <c r="L51" t="s">
        <v>251</v>
      </c>
      <c r="M51" t="s">
        <v>252</v>
      </c>
      <c r="N51" t="s">
        <v>253</v>
      </c>
      <c r="O51" t="s">
        <v>254</v>
      </c>
      <c r="R51" t="s">
        <v>255</v>
      </c>
      <c r="S51" t="s">
        <v>47</v>
      </c>
      <c r="V51" t="s">
        <v>49</v>
      </c>
      <c r="W51" t="s">
        <v>50</v>
      </c>
      <c r="AD51" t="s">
        <v>256</v>
      </c>
    </row>
    <row r="52" spans="1:30" x14ac:dyDescent="0.25">
      <c r="A52" t="s">
        <v>33</v>
      </c>
      <c r="D52" t="s">
        <v>34</v>
      </c>
      <c r="E52" t="s">
        <v>35</v>
      </c>
      <c r="F52" t="s">
        <v>248</v>
      </c>
      <c r="G52" t="s">
        <v>249</v>
      </c>
      <c r="H52" t="s">
        <v>38</v>
      </c>
      <c r="I52" t="s">
        <v>257</v>
      </c>
      <c r="J52" t="s">
        <v>40</v>
      </c>
      <c r="K52" t="s">
        <v>41</v>
      </c>
      <c r="L52" t="s">
        <v>251</v>
      </c>
      <c r="M52" t="s">
        <v>82</v>
      </c>
      <c r="N52" t="s">
        <v>253</v>
      </c>
      <c r="O52" t="s">
        <v>258</v>
      </c>
      <c r="R52" t="s">
        <v>259</v>
      </c>
      <c r="S52" t="s">
        <v>47</v>
      </c>
      <c r="V52" t="s">
        <v>49</v>
      </c>
      <c r="W52" t="s">
        <v>50</v>
      </c>
      <c r="AD52" t="s">
        <v>260</v>
      </c>
    </row>
    <row r="53" spans="1:30" x14ac:dyDescent="0.25">
      <c r="A53" t="s">
        <v>33</v>
      </c>
      <c r="D53" t="s">
        <v>34</v>
      </c>
      <c r="E53" t="s">
        <v>35</v>
      </c>
      <c r="F53" t="s">
        <v>248</v>
      </c>
      <c r="G53" t="s">
        <v>249</v>
      </c>
      <c r="H53" t="s">
        <v>143</v>
      </c>
      <c r="I53" t="s">
        <v>261</v>
      </c>
      <c r="J53" t="s">
        <v>145</v>
      </c>
      <c r="K53" t="s">
        <v>262</v>
      </c>
      <c r="L53" t="s">
        <v>251</v>
      </c>
      <c r="M53" t="s">
        <v>252</v>
      </c>
      <c r="N53" t="s">
        <v>253</v>
      </c>
      <c r="O53" t="s">
        <v>263</v>
      </c>
      <c r="R53" t="s">
        <v>264</v>
      </c>
      <c r="S53" t="s">
        <v>47</v>
      </c>
      <c r="V53" t="s">
        <v>49</v>
      </c>
      <c r="W53" t="s">
        <v>50</v>
      </c>
      <c r="AD53" t="s">
        <v>265</v>
      </c>
    </row>
    <row r="54" spans="1:30" x14ac:dyDescent="0.25">
      <c r="A54" t="s">
        <v>33</v>
      </c>
      <c r="D54" t="s">
        <v>34</v>
      </c>
      <c r="E54" t="s">
        <v>35</v>
      </c>
      <c r="F54" t="s">
        <v>248</v>
      </c>
      <c r="G54" t="s">
        <v>249</v>
      </c>
      <c r="H54" t="s">
        <v>143</v>
      </c>
      <c r="I54" t="s">
        <v>261</v>
      </c>
      <c r="J54" t="s">
        <v>145</v>
      </c>
      <c r="K54" t="s">
        <v>146</v>
      </c>
      <c r="L54" t="s">
        <v>251</v>
      </c>
      <c r="M54" t="s">
        <v>252</v>
      </c>
      <c r="N54" t="s">
        <v>253</v>
      </c>
      <c r="O54" t="s">
        <v>263</v>
      </c>
      <c r="R54" t="s">
        <v>266</v>
      </c>
      <c r="S54" t="s">
        <v>47</v>
      </c>
      <c r="V54" t="s">
        <v>49</v>
      </c>
      <c r="W54" t="s">
        <v>50</v>
      </c>
      <c r="AD54" t="s">
        <v>265</v>
      </c>
    </row>
    <row r="55" spans="1:30" x14ac:dyDescent="0.25">
      <c r="A55" t="s">
        <v>33</v>
      </c>
      <c r="D55" t="s">
        <v>34</v>
      </c>
      <c r="E55" t="s">
        <v>35</v>
      </c>
      <c r="F55" t="s">
        <v>248</v>
      </c>
      <c r="G55" t="s">
        <v>249</v>
      </c>
      <c r="H55" t="s">
        <v>143</v>
      </c>
      <c r="I55" t="s">
        <v>267</v>
      </c>
      <c r="J55" t="s">
        <v>145</v>
      </c>
      <c r="K55" t="s">
        <v>146</v>
      </c>
      <c r="L55" t="s">
        <v>251</v>
      </c>
      <c r="N55" t="s">
        <v>253</v>
      </c>
      <c r="O55" t="s">
        <v>268</v>
      </c>
      <c r="R55" t="s">
        <v>269</v>
      </c>
      <c r="S55" t="s">
        <v>47</v>
      </c>
      <c r="V55" t="s">
        <v>49</v>
      </c>
      <c r="W55" t="s">
        <v>50</v>
      </c>
      <c r="X55" t="s">
        <v>270</v>
      </c>
      <c r="AD55" t="s">
        <v>271</v>
      </c>
    </row>
    <row r="56" spans="1:30" x14ac:dyDescent="0.25">
      <c r="A56" t="s">
        <v>33</v>
      </c>
      <c r="D56" t="s">
        <v>34</v>
      </c>
      <c r="E56" t="s">
        <v>35</v>
      </c>
      <c r="F56" t="s">
        <v>248</v>
      </c>
      <c r="G56" t="s">
        <v>249</v>
      </c>
      <c r="H56" t="s">
        <v>143</v>
      </c>
      <c r="I56" t="s">
        <v>272</v>
      </c>
      <c r="J56" t="s">
        <v>145</v>
      </c>
      <c r="K56" t="s">
        <v>146</v>
      </c>
      <c r="L56" t="s">
        <v>251</v>
      </c>
      <c r="N56" t="s">
        <v>253</v>
      </c>
      <c r="O56" t="s">
        <v>273</v>
      </c>
      <c r="R56" t="s">
        <v>274</v>
      </c>
      <c r="S56" t="s">
        <v>47</v>
      </c>
      <c r="V56" t="s">
        <v>49</v>
      </c>
      <c r="W56" t="s">
        <v>50</v>
      </c>
      <c r="X56" t="s">
        <v>270</v>
      </c>
      <c r="AD56" t="s">
        <v>275</v>
      </c>
    </row>
    <row r="57" spans="1:30" x14ac:dyDescent="0.25">
      <c r="A57" t="s">
        <v>33</v>
      </c>
      <c r="D57" t="s">
        <v>34</v>
      </c>
      <c r="E57" t="s">
        <v>35</v>
      </c>
      <c r="F57" t="s">
        <v>248</v>
      </c>
      <c r="G57" t="s">
        <v>249</v>
      </c>
      <c r="H57" t="s">
        <v>143</v>
      </c>
      <c r="I57" t="s">
        <v>276</v>
      </c>
      <c r="J57" t="s">
        <v>145</v>
      </c>
      <c r="K57" t="s">
        <v>146</v>
      </c>
      <c r="L57" t="s">
        <v>251</v>
      </c>
      <c r="N57" t="s">
        <v>253</v>
      </c>
      <c r="O57" t="s">
        <v>277</v>
      </c>
      <c r="R57" t="s">
        <v>278</v>
      </c>
      <c r="S57" t="s">
        <v>47</v>
      </c>
      <c r="V57" t="s">
        <v>49</v>
      </c>
      <c r="W57" t="s">
        <v>50</v>
      </c>
      <c r="X57" t="s">
        <v>270</v>
      </c>
      <c r="AD57" t="s">
        <v>279</v>
      </c>
    </row>
    <row r="58" spans="1:30" x14ac:dyDescent="0.25">
      <c r="A58" t="s">
        <v>33</v>
      </c>
      <c r="D58" t="s">
        <v>34</v>
      </c>
      <c r="E58" t="s">
        <v>35</v>
      </c>
      <c r="F58" t="s">
        <v>248</v>
      </c>
      <c r="G58" t="s">
        <v>249</v>
      </c>
      <c r="H58" t="s">
        <v>280</v>
      </c>
      <c r="I58" t="s">
        <v>281</v>
      </c>
      <c r="J58" t="s">
        <v>282</v>
      </c>
      <c r="K58" t="s">
        <v>283</v>
      </c>
      <c r="L58" t="s">
        <v>251</v>
      </c>
      <c r="N58" t="s">
        <v>253</v>
      </c>
      <c r="O58" t="s">
        <v>284</v>
      </c>
      <c r="Q58" t="s">
        <v>285</v>
      </c>
      <c r="R58" t="s">
        <v>286</v>
      </c>
      <c r="S58" t="s">
        <v>47</v>
      </c>
      <c r="V58" t="s">
        <v>49</v>
      </c>
      <c r="W58" t="s">
        <v>50</v>
      </c>
      <c r="AD58" t="s">
        <v>287</v>
      </c>
    </row>
    <row r="59" spans="1:30" x14ac:dyDescent="0.25">
      <c r="A59" t="s">
        <v>33</v>
      </c>
      <c r="D59" t="s">
        <v>34</v>
      </c>
      <c r="E59" t="s">
        <v>35</v>
      </c>
      <c r="F59" t="s">
        <v>248</v>
      </c>
      <c r="G59" t="s">
        <v>249</v>
      </c>
      <c r="H59" t="s">
        <v>166</v>
      </c>
      <c r="I59" t="s">
        <v>288</v>
      </c>
      <c r="J59" t="s">
        <v>167</v>
      </c>
      <c r="K59" t="s">
        <v>41</v>
      </c>
      <c r="L59" t="s">
        <v>251</v>
      </c>
      <c r="N59" t="s">
        <v>253</v>
      </c>
      <c r="O59" t="s">
        <v>289</v>
      </c>
      <c r="Q59" t="s">
        <v>285</v>
      </c>
      <c r="R59" t="s">
        <v>290</v>
      </c>
      <c r="S59" t="s">
        <v>47</v>
      </c>
      <c r="V59" t="s">
        <v>49</v>
      </c>
      <c r="W59" t="s">
        <v>50</v>
      </c>
      <c r="AD59" t="s">
        <v>291</v>
      </c>
    </row>
    <row r="60" spans="1:30" x14ac:dyDescent="0.25">
      <c r="A60" t="s">
        <v>33</v>
      </c>
      <c r="D60" t="s">
        <v>34</v>
      </c>
      <c r="E60" t="s">
        <v>35</v>
      </c>
      <c r="F60" t="s">
        <v>248</v>
      </c>
      <c r="G60" t="s">
        <v>249</v>
      </c>
      <c r="H60" t="s">
        <v>143</v>
      </c>
      <c r="I60" t="s">
        <v>257</v>
      </c>
      <c r="J60" t="s">
        <v>145</v>
      </c>
      <c r="K60" t="s">
        <v>146</v>
      </c>
      <c r="L60" t="s">
        <v>251</v>
      </c>
      <c r="M60" t="s">
        <v>82</v>
      </c>
      <c r="N60" t="s">
        <v>253</v>
      </c>
      <c r="O60" t="s">
        <v>292</v>
      </c>
      <c r="R60" t="s">
        <v>293</v>
      </c>
      <c r="S60" t="s">
        <v>47</v>
      </c>
      <c r="V60" t="s">
        <v>49</v>
      </c>
      <c r="W60" t="s">
        <v>50</v>
      </c>
      <c r="AD60" t="s">
        <v>294</v>
      </c>
    </row>
    <row r="61" spans="1:30" x14ac:dyDescent="0.25">
      <c r="A61" t="s">
        <v>33</v>
      </c>
      <c r="D61" t="s">
        <v>34</v>
      </c>
      <c r="E61" t="s">
        <v>35</v>
      </c>
      <c r="F61" t="s">
        <v>248</v>
      </c>
      <c r="G61" t="s">
        <v>249</v>
      </c>
      <c r="H61" t="s">
        <v>143</v>
      </c>
      <c r="I61" t="s">
        <v>295</v>
      </c>
      <c r="J61" t="s">
        <v>145</v>
      </c>
      <c r="K61" t="s">
        <v>146</v>
      </c>
      <c r="L61" t="s">
        <v>251</v>
      </c>
      <c r="M61" t="s">
        <v>82</v>
      </c>
      <c r="N61" t="s">
        <v>253</v>
      </c>
      <c r="O61" t="s">
        <v>296</v>
      </c>
      <c r="R61" t="s">
        <v>297</v>
      </c>
      <c r="S61" t="s">
        <v>47</v>
      </c>
      <c r="V61" t="s">
        <v>49</v>
      </c>
      <c r="W61" t="s">
        <v>50</v>
      </c>
      <c r="AD61" t="s">
        <v>298</v>
      </c>
    </row>
    <row r="62" spans="1:30" x14ac:dyDescent="0.25">
      <c r="A62" t="s">
        <v>33</v>
      </c>
      <c r="D62" t="s">
        <v>34</v>
      </c>
      <c r="E62" t="s">
        <v>35</v>
      </c>
      <c r="F62" t="s">
        <v>248</v>
      </c>
      <c r="G62" t="s">
        <v>249</v>
      </c>
      <c r="H62" t="s">
        <v>143</v>
      </c>
      <c r="I62" t="s">
        <v>299</v>
      </c>
      <c r="J62" t="s">
        <v>145</v>
      </c>
      <c r="K62" t="s">
        <v>146</v>
      </c>
      <c r="L62" t="s">
        <v>251</v>
      </c>
      <c r="M62" t="s">
        <v>82</v>
      </c>
      <c r="N62" t="s">
        <v>253</v>
      </c>
      <c r="O62" t="s">
        <v>300</v>
      </c>
      <c r="R62" t="s">
        <v>301</v>
      </c>
      <c r="S62" t="s">
        <v>47</v>
      </c>
      <c r="V62" t="s">
        <v>49</v>
      </c>
      <c r="W62" t="s">
        <v>50</v>
      </c>
      <c r="AD62" t="s">
        <v>302</v>
      </c>
    </row>
    <row r="63" spans="1:30" x14ac:dyDescent="0.25">
      <c r="A63" t="s">
        <v>33</v>
      </c>
      <c r="D63" t="s">
        <v>34</v>
      </c>
      <c r="E63" t="s">
        <v>35</v>
      </c>
      <c r="F63" t="s">
        <v>78</v>
      </c>
      <c r="G63" t="s">
        <v>303</v>
      </c>
      <c r="H63" t="s">
        <v>166</v>
      </c>
      <c r="I63" t="s">
        <v>160</v>
      </c>
      <c r="J63" t="s">
        <v>167</v>
      </c>
      <c r="K63" t="s">
        <v>41</v>
      </c>
      <c r="L63" t="s">
        <v>304</v>
      </c>
      <c r="N63" t="s">
        <v>305</v>
      </c>
      <c r="O63" t="s">
        <v>168</v>
      </c>
      <c r="Q63" t="s">
        <v>169</v>
      </c>
      <c r="R63" t="s">
        <v>306</v>
      </c>
      <c r="S63" t="s">
        <v>47</v>
      </c>
      <c r="V63" t="s">
        <v>49</v>
      </c>
      <c r="W63" t="s">
        <v>50</v>
      </c>
      <c r="AD63" t="s">
        <v>307</v>
      </c>
    </row>
    <row r="64" spans="1:30" x14ac:dyDescent="0.25">
      <c r="A64" t="s">
        <v>33</v>
      </c>
      <c r="D64" t="s">
        <v>34</v>
      </c>
      <c r="E64" t="s">
        <v>35</v>
      </c>
      <c r="F64" t="s">
        <v>78</v>
      </c>
      <c r="G64" t="s">
        <v>303</v>
      </c>
      <c r="H64" t="s">
        <v>38</v>
      </c>
      <c r="I64" t="s">
        <v>80</v>
      </c>
      <c r="J64" t="s">
        <v>69</v>
      </c>
      <c r="K64" t="s">
        <v>41</v>
      </c>
      <c r="L64" t="s">
        <v>304</v>
      </c>
      <c r="M64" t="s">
        <v>82</v>
      </c>
      <c r="N64" t="s">
        <v>305</v>
      </c>
      <c r="O64" t="s">
        <v>84</v>
      </c>
      <c r="R64" t="s">
        <v>308</v>
      </c>
      <c r="S64" t="s">
        <v>47</v>
      </c>
      <c r="V64" t="s">
        <v>49</v>
      </c>
      <c r="W64" t="s">
        <v>50</v>
      </c>
      <c r="AD64" t="s">
        <v>309</v>
      </c>
    </row>
    <row r="65" spans="1:30" x14ac:dyDescent="0.25">
      <c r="A65" t="s">
        <v>33</v>
      </c>
      <c r="D65" t="s">
        <v>34</v>
      </c>
      <c r="E65" t="s">
        <v>35</v>
      </c>
      <c r="F65" t="s">
        <v>78</v>
      </c>
      <c r="G65" t="s">
        <v>303</v>
      </c>
      <c r="H65" t="s">
        <v>166</v>
      </c>
      <c r="I65" t="s">
        <v>310</v>
      </c>
      <c r="J65" t="s">
        <v>167</v>
      </c>
      <c r="K65" t="s">
        <v>41</v>
      </c>
      <c r="L65" t="s">
        <v>304</v>
      </c>
      <c r="N65" t="s">
        <v>305</v>
      </c>
      <c r="O65" t="s">
        <v>311</v>
      </c>
      <c r="Q65" t="s">
        <v>312</v>
      </c>
      <c r="R65" t="s">
        <v>313</v>
      </c>
      <c r="S65" t="s">
        <v>47</v>
      </c>
      <c r="V65" t="s">
        <v>49</v>
      </c>
      <c r="W65" t="s">
        <v>50</v>
      </c>
      <c r="AD65" t="s">
        <v>314</v>
      </c>
    </row>
    <row r="66" spans="1:30" x14ac:dyDescent="0.25">
      <c r="A66" t="s">
        <v>33</v>
      </c>
      <c r="D66" t="s">
        <v>34</v>
      </c>
      <c r="E66" t="s">
        <v>35</v>
      </c>
      <c r="F66" t="s">
        <v>78</v>
      </c>
      <c r="G66" t="s">
        <v>315</v>
      </c>
      <c r="H66" t="s">
        <v>38</v>
      </c>
      <c r="I66" t="s">
        <v>250</v>
      </c>
      <c r="J66" t="s">
        <v>40</v>
      </c>
      <c r="K66" t="s">
        <v>41</v>
      </c>
      <c r="L66" t="s">
        <v>316</v>
      </c>
      <c r="M66" t="s">
        <v>252</v>
      </c>
      <c r="N66" t="s">
        <v>317</v>
      </c>
      <c r="O66" t="s">
        <v>254</v>
      </c>
      <c r="R66" t="s">
        <v>318</v>
      </c>
      <c r="S66" t="s">
        <v>47</v>
      </c>
      <c r="V66" t="s">
        <v>49</v>
      </c>
      <c r="W66" t="s">
        <v>50</v>
      </c>
      <c r="AD66" t="s">
        <v>319</v>
      </c>
    </row>
    <row r="67" spans="1:30" x14ac:dyDescent="0.25">
      <c r="A67" t="s">
        <v>33</v>
      </c>
      <c r="D67" t="s">
        <v>34</v>
      </c>
      <c r="E67" t="s">
        <v>35</v>
      </c>
      <c r="F67" t="s">
        <v>78</v>
      </c>
      <c r="G67" t="s">
        <v>315</v>
      </c>
      <c r="H67" t="s">
        <v>38</v>
      </c>
      <c r="I67" t="s">
        <v>257</v>
      </c>
      <c r="J67" t="s">
        <v>40</v>
      </c>
      <c r="K67" t="s">
        <v>41</v>
      </c>
      <c r="L67" t="s">
        <v>316</v>
      </c>
      <c r="M67" t="s">
        <v>82</v>
      </c>
      <c r="N67" t="s">
        <v>317</v>
      </c>
      <c r="O67" t="s">
        <v>258</v>
      </c>
      <c r="R67" t="s">
        <v>320</v>
      </c>
      <c r="S67" t="s">
        <v>47</v>
      </c>
      <c r="V67" t="s">
        <v>49</v>
      </c>
      <c r="W67" t="s">
        <v>50</v>
      </c>
      <c r="AD67" t="s">
        <v>321</v>
      </c>
    </row>
    <row r="68" spans="1:30" x14ac:dyDescent="0.25">
      <c r="A68" t="s">
        <v>33</v>
      </c>
      <c r="D68" t="s">
        <v>34</v>
      </c>
      <c r="E68" t="s">
        <v>35</v>
      </c>
      <c r="F68" t="s">
        <v>78</v>
      </c>
      <c r="G68" t="s">
        <v>315</v>
      </c>
      <c r="H68" t="s">
        <v>143</v>
      </c>
      <c r="I68" t="s">
        <v>261</v>
      </c>
      <c r="J68" t="s">
        <v>145</v>
      </c>
      <c r="K68" t="s">
        <v>262</v>
      </c>
      <c r="L68" t="s">
        <v>316</v>
      </c>
      <c r="M68" t="s">
        <v>252</v>
      </c>
      <c r="N68" t="s">
        <v>317</v>
      </c>
      <c r="O68" t="s">
        <v>263</v>
      </c>
      <c r="R68" t="s">
        <v>322</v>
      </c>
      <c r="S68" t="s">
        <v>47</v>
      </c>
      <c r="V68" t="s">
        <v>49</v>
      </c>
      <c r="W68" t="s">
        <v>50</v>
      </c>
      <c r="AD68" t="s">
        <v>323</v>
      </c>
    </row>
    <row r="69" spans="1:30" x14ac:dyDescent="0.25">
      <c r="A69" t="s">
        <v>33</v>
      </c>
      <c r="D69" t="s">
        <v>34</v>
      </c>
      <c r="E69" t="s">
        <v>35</v>
      </c>
      <c r="F69" t="s">
        <v>78</v>
      </c>
      <c r="G69" t="s">
        <v>315</v>
      </c>
      <c r="H69" t="s">
        <v>143</v>
      </c>
      <c r="I69" t="s">
        <v>261</v>
      </c>
      <c r="J69" t="s">
        <v>145</v>
      </c>
      <c r="K69" t="s">
        <v>146</v>
      </c>
      <c r="L69" t="s">
        <v>316</v>
      </c>
      <c r="M69" t="s">
        <v>252</v>
      </c>
      <c r="N69" t="s">
        <v>317</v>
      </c>
      <c r="O69" t="s">
        <v>263</v>
      </c>
      <c r="R69" t="s">
        <v>324</v>
      </c>
      <c r="S69" t="s">
        <v>47</v>
      </c>
      <c r="V69" t="s">
        <v>49</v>
      </c>
      <c r="W69" t="s">
        <v>50</v>
      </c>
      <c r="AD69" t="s">
        <v>323</v>
      </c>
    </row>
    <row r="70" spans="1:30" x14ac:dyDescent="0.25">
      <c r="A70" t="s">
        <v>33</v>
      </c>
      <c r="D70" t="s">
        <v>34</v>
      </c>
      <c r="E70" t="s">
        <v>35</v>
      </c>
      <c r="F70" t="s">
        <v>78</v>
      </c>
      <c r="G70" t="s">
        <v>315</v>
      </c>
      <c r="H70" t="s">
        <v>143</v>
      </c>
      <c r="I70" t="s">
        <v>267</v>
      </c>
      <c r="J70" t="s">
        <v>145</v>
      </c>
      <c r="K70" t="s">
        <v>146</v>
      </c>
      <c r="L70" t="s">
        <v>316</v>
      </c>
      <c r="N70" t="s">
        <v>317</v>
      </c>
      <c r="O70" t="s">
        <v>268</v>
      </c>
      <c r="R70" t="s">
        <v>325</v>
      </c>
      <c r="S70" t="s">
        <v>47</v>
      </c>
      <c r="V70" t="s">
        <v>49</v>
      </c>
      <c r="W70" t="s">
        <v>50</v>
      </c>
      <c r="X70" t="s">
        <v>270</v>
      </c>
      <c r="AD70" t="s">
        <v>326</v>
      </c>
    </row>
    <row r="71" spans="1:30" x14ac:dyDescent="0.25">
      <c r="A71" t="s">
        <v>33</v>
      </c>
      <c r="D71" t="s">
        <v>34</v>
      </c>
      <c r="E71" t="s">
        <v>35</v>
      </c>
      <c r="F71" t="s">
        <v>78</v>
      </c>
      <c r="G71" t="s">
        <v>315</v>
      </c>
      <c r="H71" t="s">
        <v>143</v>
      </c>
      <c r="I71" t="s">
        <v>272</v>
      </c>
      <c r="J71" t="s">
        <v>145</v>
      </c>
      <c r="K71" t="s">
        <v>146</v>
      </c>
      <c r="L71" t="s">
        <v>316</v>
      </c>
      <c r="N71" t="s">
        <v>317</v>
      </c>
      <c r="O71" t="s">
        <v>273</v>
      </c>
      <c r="R71" t="s">
        <v>327</v>
      </c>
      <c r="S71" t="s">
        <v>47</v>
      </c>
      <c r="V71" t="s">
        <v>49</v>
      </c>
      <c r="W71" t="s">
        <v>50</v>
      </c>
      <c r="X71" t="s">
        <v>270</v>
      </c>
      <c r="AD71" t="s">
        <v>328</v>
      </c>
    </row>
    <row r="72" spans="1:30" x14ac:dyDescent="0.25">
      <c r="A72" t="s">
        <v>33</v>
      </c>
      <c r="D72" t="s">
        <v>34</v>
      </c>
      <c r="E72" t="s">
        <v>35</v>
      </c>
      <c r="F72" t="s">
        <v>78</v>
      </c>
      <c r="G72" t="s">
        <v>315</v>
      </c>
      <c r="H72" t="s">
        <v>143</v>
      </c>
      <c r="I72" t="s">
        <v>276</v>
      </c>
      <c r="J72" t="s">
        <v>145</v>
      </c>
      <c r="K72" t="s">
        <v>146</v>
      </c>
      <c r="L72" t="s">
        <v>316</v>
      </c>
      <c r="N72" t="s">
        <v>317</v>
      </c>
      <c r="O72" t="s">
        <v>277</v>
      </c>
      <c r="R72" t="s">
        <v>329</v>
      </c>
      <c r="S72" t="s">
        <v>47</v>
      </c>
      <c r="V72" t="s">
        <v>49</v>
      </c>
      <c r="W72" t="s">
        <v>50</v>
      </c>
      <c r="X72" t="s">
        <v>270</v>
      </c>
      <c r="AD72" t="s">
        <v>330</v>
      </c>
    </row>
    <row r="73" spans="1:30" x14ac:dyDescent="0.25">
      <c r="A73" t="s">
        <v>33</v>
      </c>
      <c r="D73" t="s">
        <v>34</v>
      </c>
      <c r="E73" t="s">
        <v>35</v>
      </c>
      <c r="F73" t="s">
        <v>78</v>
      </c>
      <c r="G73" t="s">
        <v>315</v>
      </c>
      <c r="H73" t="s">
        <v>280</v>
      </c>
      <c r="I73" t="s">
        <v>281</v>
      </c>
      <c r="J73" t="s">
        <v>282</v>
      </c>
      <c r="K73" t="s">
        <v>283</v>
      </c>
      <c r="L73" t="s">
        <v>316</v>
      </c>
      <c r="N73" t="s">
        <v>317</v>
      </c>
      <c r="O73" t="s">
        <v>284</v>
      </c>
      <c r="Q73" t="s">
        <v>285</v>
      </c>
      <c r="R73" t="s">
        <v>331</v>
      </c>
      <c r="S73" t="s">
        <v>47</v>
      </c>
      <c r="V73" t="s">
        <v>49</v>
      </c>
      <c r="W73" t="s">
        <v>50</v>
      </c>
      <c r="AD73" t="s">
        <v>332</v>
      </c>
    </row>
    <row r="74" spans="1:30" x14ac:dyDescent="0.25">
      <c r="A74" t="s">
        <v>33</v>
      </c>
      <c r="D74" t="s">
        <v>34</v>
      </c>
      <c r="E74" t="s">
        <v>35</v>
      </c>
      <c r="F74" t="s">
        <v>78</v>
      </c>
      <c r="G74" t="s">
        <v>315</v>
      </c>
      <c r="H74" t="s">
        <v>166</v>
      </c>
      <c r="I74" t="s">
        <v>288</v>
      </c>
      <c r="J74" t="s">
        <v>167</v>
      </c>
      <c r="K74" t="s">
        <v>41</v>
      </c>
      <c r="L74" t="s">
        <v>316</v>
      </c>
      <c r="N74" t="s">
        <v>317</v>
      </c>
      <c r="O74" t="s">
        <v>289</v>
      </c>
      <c r="Q74" t="s">
        <v>285</v>
      </c>
      <c r="R74" t="s">
        <v>333</v>
      </c>
      <c r="S74" t="s">
        <v>47</v>
      </c>
      <c r="V74" t="s">
        <v>49</v>
      </c>
      <c r="W74" t="s">
        <v>50</v>
      </c>
      <c r="AD74" t="s">
        <v>334</v>
      </c>
    </row>
    <row r="75" spans="1:30" x14ac:dyDescent="0.25">
      <c r="A75" t="s">
        <v>33</v>
      </c>
      <c r="D75" t="s">
        <v>34</v>
      </c>
      <c r="E75" t="s">
        <v>35</v>
      </c>
      <c r="F75" t="s">
        <v>78</v>
      </c>
      <c r="G75" t="s">
        <v>315</v>
      </c>
      <c r="H75" t="s">
        <v>143</v>
      </c>
      <c r="I75" t="s">
        <v>257</v>
      </c>
      <c r="J75" t="s">
        <v>145</v>
      </c>
      <c r="K75" t="s">
        <v>146</v>
      </c>
      <c r="L75" t="s">
        <v>316</v>
      </c>
      <c r="M75" t="s">
        <v>82</v>
      </c>
      <c r="N75" t="s">
        <v>317</v>
      </c>
      <c r="O75" t="s">
        <v>292</v>
      </c>
      <c r="R75" t="s">
        <v>335</v>
      </c>
      <c r="S75" t="s">
        <v>47</v>
      </c>
      <c r="V75" t="s">
        <v>49</v>
      </c>
      <c r="W75" t="s">
        <v>50</v>
      </c>
      <c r="AD75" t="s">
        <v>336</v>
      </c>
    </row>
    <row r="76" spans="1:30" x14ac:dyDescent="0.25">
      <c r="A76" t="s">
        <v>33</v>
      </c>
      <c r="D76" t="s">
        <v>34</v>
      </c>
      <c r="E76" t="s">
        <v>35</v>
      </c>
      <c r="F76" t="s">
        <v>78</v>
      </c>
      <c r="G76" t="s">
        <v>315</v>
      </c>
      <c r="H76" t="s">
        <v>143</v>
      </c>
      <c r="I76" t="s">
        <v>295</v>
      </c>
      <c r="J76" t="s">
        <v>145</v>
      </c>
      <c r="K76" t="s">
        <v>146</v>
      </c>
      <c r="L76" t="s">
        <v>316</v>
      </c>
      <c r="M76" t="s">
        <v>82</v>
      </c>
      <c r="N76" t="s">
        <v>317</v>
      </c>
      <c r="O76" t="s">
        <v>296</v>
      </c>
      <c r="R76" t="s">
        <v>337</v>
      </c>
      <c r="S76" t="s">
        <v>47</v>
      </c>
      <c r="V76" t="s">
        <v>49</v>
      </c>
      <c r="W76" t="s">
        <v>50</v>
      </c>
      <c r="AD76" t="s">
        <v>338</v>
      </c>
    </row>
    <row r="77" spans="1:30" x14ac:dyDescent="0.25">
      <c r="A77" t="s">
        <v>33</v>
      </c>
      <c r="D77" t="s">
        <v>34</v>
      </c>
      <c r="E77" t="s">
        <v>35</v>
      </c>
      <c r="F77" t="s">
        <v>78</v>
      </c>
      <c r="G77" t="s">
        <v>315</v>
      </c>
      <c r="H77" t="s">
        <v>143</v>
      </c>
      <c r="I77" t="s">
        <v>299</v>
      </c>
      <c r="J77" t="s">
        <v>145</v>
      </c>
      <c r="K77" t="s">
        <v>146</v>
      </c>
      <c r="L77" t="s">
        <v>316</v>
      </c>
      <c r="M77" t="s">
        <v>82</v>
      </c>
      <c r="N77" t="s">
        <v>317</v>
      </c>
      <c r="O77" t="s">
        <v>300</v>
      </c>
      <c r="R77" t="s">
        <v>339</v>
      </c>
      <c r="S77" t="s">
        <v>47</v>
      </c>
      <c r="V77" t="s">
        <v>49</v>
      </c>
      <c r="W77" t="s">
        <v>50</v>
      </c>
      <c r="AD77" t="s">
        <v>340</v>
      </c>
    </row>
    <row r="78" spans="1:30" x14ac:dyDescent="0.25">
      <c r="A78" t="s">
        <v>33</v>
      </c>
      <c r="D78" t="s">
        <v>34</v>
      </c>
      <c r="E78" t="s">
        <v>35</v>
      </c>
      <c r="F78" t="s">
        <v>78</v>
      </c>
      <c r="G78" t="s">
        <v>315</v>
      </c>
      <c r="H78" t="s">
        <v>166</v>
      </c>
      <c r="I78" t="s">
        <v>160</v>
      </c>
      <c r="J78" t="s">
        <v>167</v>
      </c>
      <c r="K78" t="s">
        <v>41</v>
      </c>
      <c r="L78" t="s">
        <v>316</v>
      </c>
      <c r="N78" t="s">
        <v>317</v>
      </c>
      <c r="O78" t="s">
        <v>168</v>
      </c>
      <c r="Q78" t="s">
        <v>169</v>
      </c>
      <c r="R78" t="s">
        <v>341</v>
      </c>
      <c r="S78" t="s">
        <v>47</v>
      </c>
      <c r="V78" t="s">
        <v>49</v>
      </c>
      <c r="W78" t="s">
        <v>50</v>
      </c>
      <c r="AD78" t="s">
        <v>342</v>
      </c>
    </row>
    <row r="79" spans="1:30" x14ac:dyDescent="0.25">
      <c r="A79" t="s">
        <v>33</v>
      </c>
      <c r="D79" t="s">
        <v>34</v>
      </c>
      <c r="E79" t="s">
        <v>35</v>
      </c>
      <c r="F79" t="s">
        <v>248</v>
      </c>
      <c r="G79" t="s">
        <v>343</v>
      </c>
      <c r="H79" t="s">
        <v>38</v>
      </c>
      <c r="I79" t="s">
        <v>250</v>
      </c>
      <c r="J79" t="s">
        <v>40</v>
      </c>
      <c r="K79" t="s">
        <v>41</v>
      </c>
      <c r="L79" t="s">
        <v>344</v>
      </c>
      <c r="M79" t="s">
        <v>252</v>
      </c>
      <c r="N79" t="s">
        <v>345</v>
      </c>
      <c r="O79" t="s">
        <v>254</v>
      </c>
      <c r="R79" t="s">
        <v>346</v>
      </c>
      <c r="S79" t="s">
        <v>47</v>
      </c>
      <c r="V79" t="s">
        <v>49</v>
      </c>
      <c r="W79" t="s">
        <v>50</v>
      </c>
      <c r="AD79" t="s">
        <v>347</v>
      </c>
    </row>
    <row r="80" spans="1:30" x14ac:dyDescent="0.25">
      <c r="A80" t="s">
        <v>33</v>
      </c>
      <c r="D80" t="s">
        <v>34</v>
      </c>
      <c r="E80" t="s">
        <v>35</v>
      </c>
      <c r="F80" t="s">
        <v>248</v>
      </c>
      <c r="G80" t="s">
        <v>343</v>
      </c>
      <c r="H80" t="s">
        <v>38</v>
      </c>
      <c r="I80" t="s">
        <v>257</v>
      </c>
      <c r="J80" t="s">
        <v>40</v>
      </c>
      <c r="K80" t="s">
        <v>41</v>
      </c>
      <c r="L80" t="s">
        <v>344</v>
      </c>
      <c r="M80" t="s">
        <v>82</v>
      </c>
      <c r="N80" t="s">
        <v>345</v>
      </c>
      <c r="O80" t="s">
        <v>258</v>
      </c>
      <c r="R80" t="s">
        <v>348</v>
      </c>
      <c r="S80" t="s">
        <v>47</v>
      </c>
      <c r="V80" t="s">
        <v>49</v>
      </c>
      <c r="W80" t="s">
        <v>50</v>
      </c>
      <c r="AD80" t="s">
        <v>349</v>
      </c>
    </row>
    <row r="81" spans="1:30" x14ac:dyDescent="0.25">
      <c r="A81" t="s">
        <v>33</v>
      </c>
      <c r="D81" t="s">
        <v>34</v>
      </c>
      <c r="E81" t="s">
        <v>35</v>
      </c>
      <c r="F81" t="s">
        <v>248</v>
      </c>
      <c r="G81" t="s">
        <v>343</v>
      </c>
      <c r="H81" t="s">
        <v>143</v>
      </c>
      <c r="I81" t="s">
        <v>261</v>
      </c>
      <c r="J81" t="s">
        <v>145</v>
      </c>
      <c r="K81" t="s">
        <v>262</v>
      </c>
      <c r="L81" t="s">
        <v>344</v>
      </c>
      <c r="M81" t="s">
        <v>252</v>
      </c>
      <c r="N81" t="s">
        <v>345</v>
      </c>
      <c r="O81" t="s">
        <v>263</v>
      </c>
      <c r="R81" t="s">
        <v>350</v>
      </c>
      <c r="S81" t="s">
        <v>47</v>
      </c>
      <c r="V81" t="s">
        <v>49</v>
      </c>
      <c r="W81" t="s">
        <v>50</v>
      </c>
      <c r="AD81" t="s">
        <v>351</v>
      </c>
    </row>
    <row r="82" spans="1:30" x14ac:dyDescent="0.25">
      <c r="A82" t="s">
        <v>33</v>
      </c>
      <c r="D82" t="s">
        <v>34</v>
      </c>
      <c r="E82" t="s">
        <v>35</v>
      </c>
      <c r="F82" t="s">
        <v>248</v>
      </c>
      <c r="G82" t="s">
        <v>343</v>
      </c>
      <c r="H82" t="s">
        <v>143</v>
      </c>
      <c r="I82" t="s">
        <v>261</v>
      </c>
      <c r="J82" t="s">
        <v>145</v>
      </c>
      <c r="K82" t="s">
        <v>146</v>
      </c>
      <c r="L82" t="s">
        <v>344</v>
      </c>
      <c r="M82" t="s">
        <v>252</v>
      </c>
      <c r="N82" t="s">
        <v>345</v>
      </c>
      <c r="O82" t="s">
        <v>263</v>
      </c>
      <c r="R82" t="s">
        <v>352</v>
      </c>
      <c r="S82" t="s">
        <v>47</v>
      </c>
      <c r="V82" t="s">
        <v>49</v>
      </c>
      <c r="W82" t="s">
        <v>50</v>
      </c>
      <c r="AD82" t="s">
        <v>351</v>
      </c>
    </row>
    <row r="83" spans="1:30" x14ac:dyDescent="0.25">
      <c r="A83" t="s">
        <v>33</v>
      </c>
      <c r="D83" t="s">
        <v>34</v>
      </c>
      <c r="E83" t="s">
        <v>35</v>
      </c>
      <c r="F83" t="s">
        <v>248</v>
      </c>
      <c r="G83" t="s">
        <v>343</v>
      </c>
      <c r="H83" t="s">
        <v>143</v>
      </c>
      <c r="I83" t="s">
        <v>267</v>
      </c>
      <c r="J83" t="s">
        <v>145</v>
      </c>
      <c r="K83" t="s">
        <v>146</v>
      </c>
      <c r="L83" t="s">
        <v>344</v>
      </c>
      <c r="N83" t="s">
        <v>345</v>
      </c>
      <c r="O83" t="s">
        <v>268</v>
      </c>
      <c r="R83" t="s">
        <v>353</v>
      </c>
      <c r="S83" t="s">
        <v>47</v>
      </c>
      <c r="V83" t="s">
        <v>49</v>
      </c>
      <c r="W83" t="s">
        <v>50</v>
      </c>
      <c r="X83" t="s">
        <v>270</v>
      </c>
      <c r="AD83" t="s">
        <v>354</v>
      </c>
    </row>
    <row r="84" spans="1:30" x14ac:dyDescent="0.25">
      <c r="A84" t="s">
        <v>33</v>
      </c>
      <c r="D84" t="s">
        <v>34</v>
      </c>
      <c r="E84" t="s">
        <v>35</v>
      </c>
      <c r="F84" t="s">
        <v>248</v>
      </c>
      <c r="G84" t="s">
        <v>343</v>
      </c>
      <c r="H84" t="s">
        <v>143</v>
      </c>
      <c r="I84" t="s">
        <v>272</v>
      </c>
      <c r="J84" t="s">
        <v>145</v>
      </c>
      <c r="K84" t="s">
        <v>146</v>
      </c>
      <c r="L84" t="s">
        <v>344</v>
      </c>
      <c r="N84" t="s">
        <v>345</v>
      </c>
      <c r="O84" t="s">
        <v>273</v>
      </c>
      <c r="R84" t="s">
        <v>355</v>
      </c>
      <c r="S84" t="s">
        <v>47</v>
      </c>
      <c r="V84" t="s">
        <v>49</v>
      </c>
      <c r="W84" t="s">
        <v>50</v>
      </c>
      <c r="X84" t="s">
        <v>270</v>
      </c>
      <c r="AD84" t="s">
        <v>356</v>
      </c>
    </row>
    <row r="85" spans="1:30" x14ac:dyDescent="0.25">
      <c r="A85" t="s">
        <v>33</v>
      </c>
      <c r="D85" t="s">
        <v>34</v>
      </c>
      <c r="E85" t="s">
        <v>35</v>
      </c>
      <c r="F85" t="s">
        <v>248</v>
      </c>
      <c r="G85" t="s">
        <v>343</v>
      </c>
      <c r="H85" t="s">
        <v>143</v>
      </c>
      <c r="I85" t="s">
        <v>276</v>
      </c>
      <c r="J85" t="s">
        <v>145</v>
      </c>
      <c r="K85" t="s">
        <v>146</v>
      </c>
      <c r="L85" t="s">
        <v>344</v>
      </c>
      <c r="N85" t="s">
        <v>345</v>
      </c>
      <c r="O85" t="s">
        <v>277</v>
      </c>
      <c r="R85" t="s">
        <v>357</v>
      </c>
      <c r="S85" t="s">
        <v>47</v>
      </c>
      <c r="V85" t="s">
        <v>49</v>
      </c>
      <c r="W85" t="s">
        <v>50</v>
      </c>
      <c r="X85" t="s">
        <v>270</v>
      </c>
      <c r="AD85" t="s">
        <v>358</v>
      </c>
    </row>
    <row r="86" spans="1:30" x14ac:dyDescent="0.25">
      <c r="A86" t="s">
        <v>33</v>
      </c>
      <c r="D86" t="s">
        <v>34</v>
      </c>
      <c r="E86" t="s">
        <v>35</v>
      </c>
      <c r="F86" t="s">
        <v>248</v>
      </c>
      <c r="G86" t="s">
        <v>343</v>
      </c>
      <c r="H86" t="s">
        <v>280</v>
      </c>
      <c r="I86" t="s">
        <v>281</v>
      </c>
      <c r="J86" t="s">
        <v>282</v>
      </c>
      <c r="K86" t="s">
        <v>283</v>
      </c>
      <c r="L86" t="s">
        <v>344</v>
      </c>
      <c r="N86" t="s">
        <v>345</v>
      </c>
      <c r="O86" t="s">
        <v>284</v>
      </c>
      <c r="Q86" t="s">
        <v>285</v>
      </c>
      <c r="R86" t="s">
        <v>359</v>
      </c>
      <c r="S86" t="s">
        <v>47</v>
      </c>
      <c r="V86" t="s">
        <v>49</v>
      </c>
      <c r="W86" t="s">
        <v>50</v>
      </c>
      <c r="AD86" t="s">
        <v>360</v>
      </c>
    </row>
    <row r="87" spans="1:30" x14ac:dyDescent="0.25">
      <c r="A87" t="s">
        <v>33</v>
      </c>
      <c r="D87" t="s">
        <v>34</v>
      </c>
      <c r="E87" t="s">
        <v>35</v>
      </c>
      <c r="F87" t="s">
        <v>248</v>
      </c>
      <c r="G87" t="s">
        <v>343</v>
      </c>
      <c r="H87" t="s">
        <v>166</v>
      </c>
      <c r="I87" t="s">
        <v>288</v>
      </c>
      <c r="J87" t="s">
        <v>167</v>
      </c>
      <c r="K87" t="s">
        <v>41</v>
      </c>
      <c r="L87" t="s">
        <v>344</v>
      </c>
      <c r="N87" t="s">
        <v>345</v>
      </c>
      <c r="O87" t="s">
        <v>289</v>
      </c>
      <c r="Q87" t="s">
        <v>285</v>
      </c>
      <c r="R87" t="s">
        <v>361</v>
      </c>
      <c r="S87" t="s">
        <v>47</v>
      </c>
      <c r="V87" t="s">
        <v>49</v>
      </c>
      <c r="W87" t="s">
        <v>50</v>
      </c>
      <c r="AD87" t="s">
        <v>362</v>
      </c>
    </row>
    <row r="88" spans="1:30" x14ac:dyDescent="0.25">
      <c r="A88" t="s">
        <v>33</v>
      </c>
      <c r="D88" t="s">
        <v>34</v>
      </c>
      <c r="E88" t="s">
        <v>35</v>
      </c>
      <c r="F88" t="s">
        <v>248</v>
      </c>
      <c r="G88" t="s">
        <v>343</v>
      </c>
      <c r="H88" t="s">
        <v>143</v>
      </c>
      <c r="I88" t="s">
        <v>257</v>
      </c>
      <c r="J88" t="s">
        <v>145</v>
      </c>
      <c r="K88" t="s">
        <v>146</v>
      </c>
      <c r="L88" t="s">
        <v>344</v>
      </c>
      <c r="M88" t="s">
        <v>82</v>
      </c>
      <c r="N88" t="s">
        <v>345</v>
      </c>
      <c r="O88" t="s">
        <v>292</v>
      </c>
      <c r="R88" t="s">
        <v>363</v>
      </c>
      <c r="S88" t="s">
        <v>47</v>
      </c>
      <c r="V88" t="s">
        <v>49</v>
      </c>
      <c r="W88" t="s">
        <v>50</v>
      </c>
      <c r="AD88" t="s">
        <v>364</v>
      </c>
    </row>
    <row r="89" spans="1:30" x14ac:dyDescent="0.25">
      <c r="A89" t="s">
        <v>33</v>
      </c>
      <c r="D89" t="s">
        <v>34</v>
      </c>
      <c r="E89" t="s">
        <v>35</v>
      </c>
      <c r="F89" t="s">
        <v>248</v>
      </c>
      <c r="G89" t="s">
        <v>343</v>
      </c>
      <c r="H89" t="s">
        <v>143</v>
      </c>
      <c r="I89" t="s">
        <v>295</v>
      </c>
      <c r="J89" t="s">
        <v>145</v>
      </c>
      <c r="K89" t="s">
        <v>146</v>
      </c>
      <c r="L89" t="s">
        <v>344</v>
      </c>
      <c r="M89" t="s">
        <v>82</v>
      </c>
      <c r="N89" t="s">
        <v>345</v>
      </c>
      <c r="O89" t="s">
        <v>296</v>
      </c>
      <c r="R89" t="s">
        <v>365</v>
      </c>
      <c r="S89" t="s">
        <v>47</v>
      </c>
      <c r="V89" t="s">
        <v>49</v>
      </c>
      <c r="W89" t="s">
        <v>50</v>
      </c>
      <c r="AD89" t="s">
        <v>366</v>
      </c>
    </row>
    <row r="90" spans="1:30" x14ac:dyDescent="0.25">
      <c r="A90" t="s">
        <v>33</v>
      </c>
      <c r="D90" t="s">
        <v>34</v>
      </c>
      <c r="E90" t="s">
        <v>35</v>
      </c>
      <c r="F90" t="s">
        <v>248</v>
      </c>
      <c r="G90" t="s">
        <v>343</v>
      </c>
      <c r="H90" t="s">
        <v>143</v>
      </c>
      <c r="I90" t="s">
        <v>299</v>
      </c>
      <c r="J90" t="s">
        <v>145</v>
      </c>
      <c r="K90" t="s">
        <v>146</v>
      </c>
      <c r="L90" t="s">
        <v>344</v>
      </c>
      <c r="M90" t="s">
        <v>82</v>
      </c>
      <c r="N90" t="s">
        <v>345</v>
      </c>
      <c r="O90" t="s">
        <v>300</v>
      </c>
      <c r="R90" t="s">
        <v>367</v>
      </c>
      <c r="S90" t="s">
        <v>47</v>
      </c>
      <c r="V90" t="s">
        <v>49</v>
      </c>
      <c r="W90" t="s">
        <v>50</v>
      </c>
      <c r="AD90" t="s">
        <v>368</v>
      </c>
    </row>
    <row r="91" spans="1:30" x14ac:dyDescent="0.25">
      <c r="A91" t="s">
        <v>33</v>
      </c>
      <c r="D91" t="s">
        <v>34</v>
      </c>
      <c r="E91" t="s">
        <v>35</v>
      </c>
      <c r="F91" t="s">
        <v>87</v>
      </c>
      <c r="G91" t="s">
        <v>369</v>
      </c>
      <c r="H91" t="s">
        <v>38</v>
      </c>
      <c r="I91" t="s">
        <v>106</v>
      </c>
      <c r="J91" t="s">
        <v>40</v>
      </c>
      <c r="K91" t="s">
        <v>41</v>
      </c>
      <c r="L91" t="s">
        <v>370</v>
      </c>
      <c r="M91" t="s">
        <v>252</v>
      </c>
      <c r="N91" t="s">
        <v>371</v>
      </c>
      <c r="O91" t="s">
        <v>109</v>
      </c>
      <c r="R91" t="s">
        <v>372</v>
      </c>
      <c r="S91" t="s">
        <v>47</v>
      </c>
      <c r="V91" t="s">
        <v>49</v>
      </c>
      <c r="W91" t="s">
        <v>50</v>
      </c>
      <c r="AD91" t="s">
        <v>373</v>
      </c>
    </row>
    <row r="92" spans="1:30" x14ac:dyDescent="0.25">
      <c r="A92" t="s">
        <v>33</v>
      </c>
      <c r="D92" t="s">
        <v>34</v>
      </c>
      <c r="E92" t="s">
        <v>35</v>
      </c>
      <c r="F92" t="s">
        <v>87</v>
      </c>
      <c r="G92" t="s">
        <v>369</v>
      </c>
      <c r="H92" t="s">
        <v>143</v>
      </c>
      <c r="I92" t="s">
        <v>144</v>
      </c>
      <c r="J92" t="s">
        <v>145</v>
      </c>
      <c r="K92" t="s">
        <v>146</v>
      </c>
      <c r="L92" t="s">
        <v>370</v>
      </c>
      <c r="M92" t="s">
        <v>252</v>
      </c>
      <c r="N92" t="s">
        <v>371</v>
      </c>
      <c r="O92" t="s">
        <v>147</v>
      </c>
      <c r="R92" t="s">
        <v>374</v>
      </c>
      <c r="S92" t="s">
        <v>47</v>
      </c>
      <c r="V92" t="s">
        <v>49</v>
      </c>
      <c r="W92" t="s">
        <v>50</v>
      </c>
      <c r="AD92" t="s">
        <v>375</v>
      </c>
    </row>
    <row r="93" spans="1:30" x14ac:dyDescent="0.25">
      <c r="A93" t="s">
        <v>33</v>
      </c>
      <c r="D93" t="s">
        <v>34</v>
      </c>
      <c r="E93" t="s">
        <v>35</v>
      </c>
      <c r="F93" t="s">
        <v>87</v>
      </c>
      <c r="G93" t="s">
        <v>369</v>
      </c>
      <c r="H93" t="s">
        <v>89</v>
      </c>
      <c r="I93" t="s">
        <v>144</v>
      </c>
      <c r="J93" t="s">
        <v>91</v>
      </c>
      <c r="K93" t="s">
        <v>92</v>
      </c>
      <c r="L93" t="s">
        <v>370</v>
      </c>
      <c r="M93" t="s">
        <v>94</v>
      </c>
      <c r="N93" t="s">
        <v>371</v>
      </c>
      <c r="O93" t="s">
        <v>150</v>
      </c>
      <c r="P93">
        <v>1E-3</v>
      </c>
      <c r="R93" t="s">
        <v>376</v>
      </c>
      <c r="S93" t="s">
        <v>47</v>
      </c>
      <c r="V93" t="s">
        <v>49</v>
      </c>
      <c r="W93" t="s">
        <v>50</v>
      </c>
      <c r="AD93" t="s">
        <v>377</v>
      </c>
    </row>
    <row r="94" spans="1:30" x14ac:dyDescent="0.25">
      <c r="A94" t="s">
        <v>33</v>
      </c>
      <c r="D94" t="s">
        <v>34</v>
      </c>
      <c r="E94" t="s">
        <v>35</v>
      </c>
      <c r="F94" t="s">
        <v>87</v>
      </c>
      <c r="G94" t="s">
        <v>369</v>
      </c>
      <c r="H94" t="s">
        <v>153</v>
      </c>
      <c r="I94" t="s">
        <v>144</v>
      </c>
      <c r="J94" t="s">
        <v>154</v>
      </c>
      <c r="K94" t="s">
        <v>155</v>
      </c>
      <c r="L94" t="s">
        <v>370</v>
      </c>
      <c r="N94" t="s">
        <v>371</v>
      </c>
      <c r="O94" t="s">
        <v>156</v>
      </c>
      <c r="R94" t="s">
        <v>378</v>
      </c>
      <c r="S94" t="s">
        <v>47</v>
      </c>
      <c r="V94" t="s">
        <v>49</v>
      </c>
      <c r="W94" t="s">
        <v>50</v>
      </c>
      <c r="AD94" t="s">
        <v>379</v>
      </c>
    </row>
    <row r="95" spans="1:30" x14ac:dyDescent="0.25">
      <c r="A95" t="s">
        <v>33</v>
      </c>
      <c r="D95" t="s">
        <v>34</v>
      </c>
      <c r="E95" t="s">
        <v>35</v>
      </c>
      <c r="F95" t="s">
        <v>87</v>
      </c>
      <c r="G95" t="s">
        <v>369</v>
      </c>
      <c r="H95" t="s">
        <v>143</v>
      </c>
      <c r="I95" t="s">
        <v>90</v>
      </c>
      <c r="J95" t="s">
        <v>145</v>
      </c>
      <c r="K95" t="s">
        <v>146</v>
      </c>
      <c r="L95" t="s">
        <v>370</v>
      </c>
      <c r="M95" t="s">
        <v>252</v>
      </c>
      <c r="N95" t="s">
        <v>371</v>
      </c>
      <c r="O95" t="s">
        <v>380</v>
      </c>
      <c r="R95" t="s">
        <v>381</v>
      </c>
      <c r="S95" t="s">
        <v>47</v>
      </c>
      <c r="V95" t="s">
        <v>49</v>
      </c>
      <c r="W95" t="s">
        <v>50</v>
      </c>
      <c r="AD95" t="s">
        <v>382</v>
      </c>
    </row>
    <row r="96" spans="1:30" x14ac:dyDescent="0.25">
      <c r="A96" t="s">
        <v>33</v>
      </c>
      <c r="D96" t="s">
        <v>34</v>
      </c>
      <c r="E96" t="s">
        <v>35</v>
      </c>
      <c r="F96" t="s">
        <v>87</v>
      </c>
      <c r="G96" t="s">
        <v>369</v>
      </c>
      <c r="H96" t="s">
        <v>89</v>
      </c>
      <c r="I96" t="s">
        <v>90</v>
      </c>
      <c r="J96" t="s">
        <v>91</v>
      </c>
      <c r="K96" t="s">
        <v>92</v>
      </c>
      <c r="L96" t="s">
        <v>370</v>
      </c>
      <c r="M96" t="s">
        <v>94</v>
      </c>
      <c r="N96" t="s">
        <v>371</v>
      </c>
      <c r="O96" t="s">
        <v>383</v>
      </c>
      <c r="P96">
        <v>1E-3</v>
      </c>
      <c r="R96" t="s">
        <v>384</v>
      </c>
      <c r="S96" t="s">
        <v>47</v>
      </c>
      <c r="V96" t="s">
        <v>49</v>
      </c>
      <c r="W96" t="s">
        <v>50</v>
      </c>
      <c r="AD96" t="s">
        <v>385</v>
      </c>
    </row>
    <row r="97" spans="1:30" x14ac:dyDescent="0.25">
      <c r="A97" t="s">
        <v>33</v>
      </c>
      <c r="D97" t="s">
        <v>34</v>
      </c>
      <c r="E97" t="s">
        <v>35</v>
      </c>
      <c r="F97" t="s">
        <v>87</v>
      </c>
      <c r="G97" t="s">
        <v>369</v>
      </c>
      <c r="H97" t="s">
        <v>153</v>
      </c>
      <c r="I97" t="s">
        <v>90</v>
      </c>
      <c r="J97" t="s">
        <v>154</v>
      </c>
      <c r="K97" t="s">
        <v>155</v>
      </c>
      <c r="L97" t="s">
        <v>370</v>
      </c>
      <c r="N97" t="s">
        <v>371</v>
      </c>
      <c r="O97" t="s">
        <v>386</v>
      </c>
      <c r="R97" t="s">
        <v>387</v>
      </c>
      <c r="S97" t="s">
        <v>47</v>
      </c>
      <c r="V97" t="s">
        <v>49</v>
      </c>
      <c r="W97" t="s">
        <v>50</v>
      </c>
      <c r="AD97" t="s">
        <v>388</v>
      </c>
    </row>
    <row r="98" spans="1:30" x14ac:dyDescent="0.25">
      <c r="A98" t="s">
        <v>33</v>
      </c>
      <c r="D98" t="s">
        <v>34</v>
      </c>
      <c r="E98" t="s">
        <v>35</v>
      </c>
      <c r="F98" t="s">
        <v>87</v>
      </c>
      <c r="G98" t="s">
        <v>389</v>
      </c>
      <c r="H98" t="s">
        <v>38</v>
      </c>
      <c r="I98" t="s">
        <v>106</v>
      </c>
      <c r="J98" t="s">
        <v>40</v>
      </c>
      <c r="K98" t="s">
        <v>41</v>
      </c>
      <c r="L98" t="s">
        <v>390</v>
      </c>
      <c r="M98" t="s">
        <v>252</v>
      </c>
      <c r="N98" t="s">
        <v>391</v>
      </c>
      <c r="O98" t="s">
        <v>109</v>
      </c>
      <c r="R98" t="s">
        <v>392</v>
      </c>
      <c r="S98" t="s">
        <v>47</v>
      </c>
      <c r="V98" t="s">
        <v>49</v>
      </c>
      <c r="W98" t="s">
        <v>50</v>
      </c>
      <c r="AD98" t="s">
        <v>393</v>
      </c>
    </row>
    <row r="99" spans="1:30" x14ac:dyDescent="0.25">
      <c r="A99" t="s">
        <v>33</v>
      </c>
      <c r="D99" t="s">
        <v>34</v>
      </c>
      <c r="E99" t="s">
        <v>35</v>
      </c>
      <c r="F99" t="s">
        <v>87</v>
      </c>
      <c r="G99" t="s">
        <v>389</v>
      </c>
      <c r="H99" t="s">
        <v>143</v>
      </c>
      <c r="I99" t="s">
        <v>144</v>
      </c>
      <c r="J99" t="s">
        <v>145</v>
      </c>
      <c r="K99" t="s">
        <v>146</v>
      </c>
      <c r="L99" t="s">
        <v>390</v>
      </c>
      <c r="M99" t="s">
        <v>252</v>
      </c>
      <c r="N99" t="s">
        <v>391</v>
      </c>
      <c r="O99" t="s">
        <v>147</v>
      </c>
      <c r="R99" t="s">
        <v>394</v>
      </c>
      <c r="S99" t="s">
        <v>47</v>
      </c>
      <c r="V99" t="s">
        <v>49</v>
      </c>
      <c r="W99" t="s">
        <v>50</v>
      </c>
      <c r="AD99" t="s">
        <v>395</v>
      </c>
    </row>
    <row r="100" spans="1:30" x14ac:dyDescent="0.25">
      <c r="A100" t="s">
        <v>33</v>
      </c>
      <c r="D100" t="s">
        <v>34</v>
      </c>
      <c r="E100" t="s">
        <v>35</v>
      </c>
      <c r="F100" t="s">
        <v>87</v>
      </c>
      <c r="G100" t="s">
        <v>389</v>
      </c>
      <c r="H100" t="s">
        <v>89</v>
      </c>
      <c r="I100" t="s">
        <v>144</v>
      </c>
      <c r="J100" t="s">
        <v>91</v>
      </c>
      <c r="K100" t="s">
        <v>92</v>
      </c>
      <c r="L100" t="s">
        <v>390</v>
      </c>
      <c r="M100" t="s">
        <v>94</v>
      </c>
      <c r="N100" t="s">
        <v>391</v>
      </c>
      <c r="O100" t="s">
        <v>150</v>
      </c>
      <c r="P100">
        <v>1E-3</v>
      </c>
      <c r="R100" t="s">
        <v>396</v>
      </c>
      <c r="S100" t="s">
        <v>47</v>
      </c>
      <c r="V100" t="s">
        <v>49</v>
      </c>
      <c r="W100" t="s">
        <v>50</v>
      </c>
      <c r="AD100" t="s">
        <v>397</v>
      </c>
    </row>
    <row r="101" spans="1:30" x14ac:dyDescent="0.25">
      <c r="A101" t="s">
        <v>33</v>
      </c>
      <c r="D101" t="s">
        <v>34</v>
      </c>
      <c r="E101" t="s">
        <v>35</v>
      </c>
      <c r="F101" t="s">
        <v>87</v>
      </c>
      <c r="G101" t="s">
        <v>389</v>
      </c>
      <c r="H101" t="s">
        <v>153</v>
      </c>
      <c r="I101" t="s">
        <v>144</v>
      </c>
      <c r="J101" t="s">
        <v>154</v>
      </c>
      <c r="K101" t="s">
        <v>155</v>
      </c>
      <c r="L101" t="s">
        <v>390</v>
      </c>
      <c r="N101" t="s">
        <v>391</v>
      </c>
      <c r="O101" t="s">
        <v>156</v>
      </c>
      <c r="R101" t="s">
        <v>398</v>
      </c>
      <c r="S101" t="s">
        <v>47</v>
      </c>
      <c r="V101" t="s">
        <v>49</v>
      </c>
      <c r="W101" t="s">
        <v>50</v>
      </c>
      <c r="AD101" t="s">
        <v>399</v>
      </c>
    </row>
    <row r="102" spans="1:30" x14ac:dyDescent="0.25">
      <c r="A102" t="s">
        <v>33</v>
      </c>
      <c r="D102" t="s">
        <v>34</v>
      </c>
      <c r="E102" t="s">
        <v>35</v>
      </c>
      <c r="F102" t="s">
        <v>87</v>
      </c>
      <c r="G102" t="s">
        <v>400</v>
      </c>
      <c r="H102" t="s">
        <v>38</v>
      </c>
      <c r="I102" t="s">
        <v>106</v>
      </c>
      <c r="J102" t="s">
        <v>40</v>
      </c>
      <c r="K102" t="s">
        <v>41</v>
      </c>
      <c r="L102" t="s">
        <v>401</v>
      </c>
      <c r="M102" t="s">
        <v>252</v>
      </c>
      <c r="N102" t="s">
        <v>402</v>
      </c>
      <c r="O102" t="s">
        <v>109</v>
      </c>
      <c r="R102" t="s">
        <v>403</v>
      </c>
      <c r="S102" t="s">
        <v>47</v>
      </c>
      <c r="V102" t="s">
        <v>49</v>
      </c>
      <c r="W102" t="s">
        <v>50</v>
      </c>
      <c r="AD102" t="s">
        <v>404</v>
      </c>
    </row>
    <row r="103" spans="1:30" x14ac:dyDescent="0.25">
      <c r="A103" t="s">
        <v>33</v>
      </c>
      <c r="D103" t="s">
        <v>34</v>
      </c>
      <c r="E103" t="s">
        <v>35</v>
      </c>
      <c r="F103" t="s">
        <v>87</v>
      </c>
      <c r="G103" t="s">
        <v>400</v>
      </c>
      <c r="H103" t="s">
        <v>143</v>
      </c>
      <c r="I103" t="s">
        <v>144</v>
      </c>
      <c r="J103" t="s">
        <v>145</v>
      </c>
      <c r="K103" t="s">
        <v>146</v>
      </c>
      <c r="L103" t="s">
        <v>401</v>
      </c>
      <c r="M103" t="s">
        <v>252</v>
      </c>
      <c r="N103" t="s">
        <v>402</v>
      </c>
      <c r="O103" t="s">
        <v>147</v>
      </c>
      <c r="R103" t="s">
        <v>405</v>
      </c>
      <c r="S103" t="s">
        <v>47</v>
      </c>
      <c r="V103" t="s">
        <v>49</v>
      </c>
      <c r="W103" t="s">
        <v>50</v>
      </c>
      <c r="AD103" t="s">
        <v>406</v>
      </c>
    </row>
    <row r="104" spans="1:30" x14ac:dyDescent="0.25">
      <c r="A104" t="s">
        <v>33</v>
      </c>
      <c r="D104" t="s">
        <v>34</v>
      </c>
      <c r="E104" t="s">
        <v>35</v>
      </c>
      <c r="F104" t="s">
        <v>87</v>
      </c>
      <c r="G104" t="s">
        <v>400</v>
      </c>
      <c r="H104" t="s">
        <v>89</v>
      </c>
      <c r="I104" t="s">
        <v>144</v>
      </c>
      <c r="J104" t="s">
        <v>91</v>
      </c>
      <c r="K104" t="s">
        <v>92</v>
      </c>
      <c r="L104" t="s">
        <v>401</v>
      </c>
      <c r="M104" t="s">
        <v>94</v>
      </c>
      <c r="N104" t="s">
        <v>402</v>
      </c>
      <c r="O104" t="s">
        <v>150</v>
      </c>
      <c r="P104">
        <v>1E-3</v>
      </c>
      <c r="R104" t="s">
        <v>407</v>
      </c>
      <c r="S104" t="s">
        <v>47</v>
      </c>
      <c r="V104" t="s">
        <v>49</v>
      </c>
      <c r="W104" t="s">
        <v>50</v>
      </c>
      <c r="AD104" t="s">
        <v>408</v>
      </c>
    </row>
    <row r="105" spans="1:30" x14ac:dyDescent="0.25">
      <c r="A105" t="s">
        <v>33</v>
      </c>
      <c r="D105" t="s">
        <v>34</v>
      </c>
      <c r="E105" t="s">
        <v>35</v>
      </c>
      <c r="F105" t="s">
        <v>87</v>
      </c>
      <c r="G105" t="s">
        <v>400</v>
      </c>
      <c r="H105" t="s">
        <v>153</v>
      </c>
      <c r="I105" t="s">
        <v>144</v>
      </c>
      <c r="J105" t="s">
        <v>154</v>
      </c>
      <c r="K105" t="s">
        <v>155</v>
      </c>
      <c r="L105" t="s">
        <v>401</v>
      </c>
      <c r="N105" t="s">
        <v>402</v>
      </c>
      <c r="O105" t="s">
        <v>156</v>
      </c>
      <c r="R105" t="s">
        <v>409</v>
      </c>
      <c r="S105" t="s">
        <v>47</v>
      </c>
      <c r="V105" t="s">
        <v>49</v>
      </c>
      <c r="W105" t="s">
        <v>50</v>
      </c>
      <c r="AD105" t="s">
        <v>410</v>
      </c>
    </row>
    <row r="106" spans="1:30" x14ac:dyDescent="0.25">
      <c r="A106" t="s">
        <v>33</v>
      </c>
      <c r="D106" t="s">
        <v>34</v>
      </c>
      <c r="E106" t="s">
        <v>35</v>
      </c>
      <c r="F106" t="s">
        <v>87</v>
      </c>
      <c r="G106" t="s">
        <v>411</v>
      </c>
      <c r="H106" t="s">
        <v>38</v>
      </c>
      <c r="I106" t="s">
        <v>106</v>
      </c>
      <c r="J106" t="s">
        <v>40</v>
      </c>
      <c r="K106" t="s">
        <v>41</v>
      </c>
      <c r="L106" t="s">
        <v>412</v>
      </c>
      <c r="M106" t="s">
        <v>252</v>
      </c>
      <c r="N106" t="s">
        <v>413</v>
      </c>
      <c r="O106" t="s">
        <v>109</v>
      </c>
      <c r="R106" t="s">
        <v>414</v>
      </c>
      <c r="S106" t="s">
        <v>47</v>
      </c>
      <c r="V106" t="s">
        <v>49</v>
      </c>
      <c r="W106" t="s">
        <v>50</v>
      </c>
      <c r="AD106" t="s">
        <v>415</v>
      </c>
    </row>
    <row r="107" spans="1:30" x14ac:dyDescent="0.25">
      <c r="A107" t="s">
        <v>33</v>
      </c>
      <c r="D107" t="s">
        <v>34</v>
      </c>
      <c r="E107" t="s">
        <v>35</v>
      </c>
      <c r="F107" t="s">
        <v>87</v>
      </c>
      <c r="G107" t="s">
        <v>411</v>
      </c>
      <c r="H107" t="s">
        <v>143</v>
      </c>
      <c r="I107" t="s">
        <v>144</v>
      </c>
      <c r="J107" t="s">
        <v>145</v>
      </c>
      <c r="K107" t="s">
        <v>146</v>
      </c>
      <c r="L107" t="s">
        <v>412</v>
      </c>
      <c r="M107" t="s">
        <v>252</v>
      </c>
      <c r="N107" t="s">
        <v>413</v>
      </c>
      <c r="O107" t="s">
        <v>147</v>
      </c>
      <c r="R107" t="s">
        <v>416</v>
      </c>
      <c r="S107" t="s">
        <v>47</v>
      </c>
      <c r="V107" t="s">
        <v>49</v>
      </c>
      <c r="W107" t="s">
        <v>50</v>
      </c>
      <c r="AD107" t="s">
        <v>417</v>
      </c>
    </row>
    <row r="108" spans="1:30" x14ac:dyDescent="0.25">
      <c r="A108" t="s">
        <v>33</v>
      </c>
      <c r="D108" t="s">
        <v>34</v>
      </c>
      <c r="E108" t="s">
        <v>35</v>
      </c>
      <c r="F108" t="s">
        <v>87</v>
      </c>
      <c r="G108" t="s">
        <v>411</v>
      </c>
      <c r="H108" t="s">
        <v>89</v>
      </c>
      <c r="I108" t="s">
        <v>144</v>
      </c>
      <c r="J108" t="s">
        <v>91</v>
      </c>
      <c r="K108" t="s">
        <v>92</v>
      </c>
      <c r="L108" t="s">
        <v>412</v>
      </c>
      <c r="M108" t="s">
        <v>94</v>
      </c>
      <c r="N108" t="s">
        <v>413</v>
      </c>
      <c r="O108" t="s">
        <v>150</v>
      </c>
      <c r="P108">
        <v>1E-3</v>
      </c>
      <c r="R108" t="s">
        <v>418</v>
      </c>
      <c r="S108" t="s">
        <v>47</v>
      </c>
      <c r="V108" t="s">
        <v>49</v>
      </c>
      <c r="W108" t="s">
        <v>50</v>
      </c>
      <c r="AD108" t="s">
        <v>419</v>
      </c>
    </row>
    <row r="109" spans="1:30" x14ac:dyDescent="0.25">
      <c r="A109" t="s">
        <v>33</v>
      </c>
      <c r="D109" t="s">
        <v>34</v>
      </c>
      <c r="E109" t="s">
        <v>35</v>
      </c>
      <c r="F109" t="s">
        <v>87</v>
      </c>
      <c r="G109" t="s">
        <v>411</v>
      </c>
      <c r="H109" t="s">
        <v>153</v>
      </c>
      <c r="I109" t="s">
        <v>144</v>
      </c>
      <c r="J109" t="s">
        <v>154</v>
      </c>
      <c r="K109" t="s">
        <v>155</v>
      </c>
      <c r="L109" t="s">
        <v>412</v>
      </c>
      <c r="N109" t="s">
        <v>413</v>
      </c>
      <c r="O109" t="s">
        <v>156</v>
      </c>
      <c r="R109" t="s">
        <v>420</v>
      </c>
      <c r="S109" t="s">
        <v>47</v>
      </c>
      <c r="V109" t="s">
        <v>49</v>
      </c>
      <c r="W109" t="s">
        <v>50</v>
      </c>
      <c r="AD109" t="s">
        <v>421</v>
      </c>
    </row>
    <row r="110" spans="1:30" x14ac:dyDescent="0.25">
      <c r="A110" t="s">
        <v>33</v>
      </c>
      <c r="D110" t="s">
        <v>34</v>
      </c>
      <c r="E110" t="s">
        <v>35</v>
      </c>
      <c r="F110" t="s">
        <v>87</v>
      </c>
      <c r="G110" t="s">
        <v>411</v>
      </c>
      <c r="H110" t="s">
        <v>143</v>
      </c>
      <c r="I110" t="s">
        <v>90</v>
      </c>
      <c r="J110" t="s">
        <v>145</v>
      </c>
      <c r="K110" t="s">
        <v>146</v>
      </c>
      <c r="L110" t="s">
        <v>412</v>
      </c>
      <c r="M110" t="s">
        <v>252</v>
      </c>
      <c r="N110" t="s">
        <v>413</v>
      </c>
      <c r="O110" t="s">
        <v>380</v>
      </c>
      <c r="R110" t="s">
        <v>422</v>
      </c>
      <c r="S110" t="s">
        <v>47</v>
      </c>
      <c r="V110" t="s">
        <v>49</v>
      </c>
      <c r="W110" t="s">
        <v>50</v>
      </c>
      <c r="AD110" t="s">
        <v>423</v>
      </c>
    </row>
    <row r="111" spans="1:30" x14ac:dyDescent="0.25">
      <c r="A111" t="s">
        <v>33</v>
      </c>
      <c r="D111" t="s">
        <v>34</v>
      </c>
      <c r="E111" t="s">
        <v>35</v>
      </c>
      <c r="F111" t="s">
        <v>87</v>
      </c>
      <c r="G111" t="s">
        <v>411</v>
      </c>
      <c r="H111" t="s">
        <v>89</v>
      </c>
      <c r="I111" t="s">
        <v>90</v>
      </c>
      <c r="J111" t="s">
        <v>91</v>
      </c>
      <c r="K111" t="s">
        <v>92</v>
      </c>
      <c r="L111" t="s">
        <v>412</v>
      </c>
      <c r="M111" t="s">
        <v>94</v>
      </c>
      <c r="N111" t="s">
        <v>413</v>
      </c>
      <c r="O111" t="s">
        <v>383</v>
      </c>
      <c r="P111">
        <v>1E-3</v>
      </c>
      <c r="R111" t="s">
        <v>424</v>
      </c>
      <c r="S111" t="s">
        <v>47</v>
      </c>
      <c r="V111" t="s">
        <v>49</v>
      </c>
      <c r="W111" t="s">
        <v>50</v>
      </c>
      <c r="AD111" t="s">
        <v>425</v>
      </c>
    </row>
    <row r="112" spans="1:30" x14ac:dyDescent="0.25">
      <c r="A112" t="s">
        <v>33</v>
      </c>
      <c r="D112" t="s">
        <v>34</v>
      </c>
      <c r="E112" t="s">
        <v>35</v>
      </c>
      <c r="F112" t="s">
        <v>87</v>
      </c>
      <c r="G112" t="s">
        <v>411</v>
      </c>
      <c r="H112" t="s">
        <v>153</v>
      </c>
      <c r="I112" t="s">
        <v>90</v>
      </c>
      <c r="J112" t="s">
        <v>154</v>
      </c>
      <c r="K112" t="s">
        <v>155</v>
      </c>
      <c r="L112" t="s">
        <v>412</v>
      </c>
      <c r="N112" t="s">
        <v>413</v>
      </c>
      <c r="O112" t="s">
        <v>386</v>
      </c>
      <c r="R112" t="s">
        <v>426</v>
      </c>
      <c r="S112" t="s">
        <v>47</v>
      </c>
      <c r="V112" t="s">
        <v>49</v>
      </c>
      <c r="W112" t="s">
        <v>50</v>
      </c>
      <c r="AD112" t="s">
        <v>427</v>
      </c>
    </row>
    <row r="113" spans="1:30" x14ac:dyDescent="0.25">
      <c r="A113" t="s">
        <v>33</v>
      </c>
      <c r="D113" t="s">
        <v>34</v>
      </c>
      <c r="E113" t="s">
        <v>35</v>
      </c>
      <c r="F113" t="s">
        <v>87</v>
      </c>
      <c r="G113" t="s">
        <v>428</v>
      </c>
      <c r="H113" t="s">
        <v>38</v>
      </c>
      <c r="I113" t="s">
        <v>106</v>
      </c>
      <c r="J113" t="s">
        <v>40</v>
      </c>
      <c r="K113" t="s">
        <v>41</v>
      </c>
      <c r="L113" t="s">
        <v>429</v>
      </c>
      <c r="M113" t="s">
        <v>252</v>
      </c>
      <c r="N113" t="s">
        <v>430</v>
      </c>
      <c r="O113" t="s">
        <v>109</v>
      </c>
      <c r="R113" t="s">
        <v>431</v>
      </c>
      <c r="S113" t="s">
        <v>47</v>
      </c>
      <c r="V113" t="s">
        <v>49</v>
      </c>
      <c r="W113" t="s">
        <v>50</v>
      </c>
      <c r="AD113" t="s">
        <v>432</v>
      </c>
    </row>
    <row r="114" spans="1:30" x14ac:dyDescent="0.25">
      <c r="A114" t="s">
        <v>33</v>
      </c>
      <c r="D114" t="s">
        <v>34</v>
      </c>
      <c r="E114" t="s">
        <v>35</v>
      </c>
      <c r="F114" t="s">
        <v>87</v>
      </c>
      <c r="G114" t="s">
        <v>428</v>
      </c>
      <c r="H114" t="s">
        <v>143</v>
      </c>
      <c r="I114" t="s">
        <v>144</v>
      </c>
      <c r="J114" t="s">
        <v>145</v>
      </c>
      <c r="K114" t="s">
        <v>146</v>
      </c>
      <c r="L114" t="s">
        <v>429</v>
      </c>
      <c r="M114" t="s">
        <v>252</v>
      </c>
      <c r="N114" t="s">
        <v>430</v>
      </c>
      <c r="O114" t="s">
        <v>147</v>
      </c>
      <c r="R114" t="s">
        <v>433</v>
      </c>
      <c r="S114" t="s">
        <v>47</v>
      </c>
      <c r="V114" t="s">
        <v>49</v>
      </c>
      <c r="W114" t="s">
        <v>50</v>
      </c>
      <c r="AD114" t="s">
        <v>434</v>
      </c>
    </row>
    <row r="115" spans="1:30" x14ac:dyDescent="0.25">
      <c r="A115" t="s">
        <v>33</v>
      </c>
      <c r="D115" t="s">
        <v>34</v>
      </c>
      <c r="E115" t="s">
        <v>35</v>
      </c>
      <c r="F115" t="s">
        <v>87</v>
      </c>
      <c r="G115" t="s">
        <v>428</v>
      </c>
      <c r="H115" t="s">
        <v>89</v>
      </c>
      <c r="I115" t="s">
        <v>144</v>
      </c>
      <c r="J115" t="s">
        <v>91</v>
      </c>
      <c r="K115" t="s">
        <v>92</v>
      </c>
      <c r="L115" t="s">
        <v>429</v>
      </c>
      <c r="M115" t="s">
        <v>94</v>
      </c>
      <c r="N115" t="s">
        <v>430</v>
      </c>
      <c r="O115" t="s">
        <v>150</v>
      </c>
      <c r="P115">
        <v>1E-3</v>
      </c>
      <c r="R115" t="s">
        <v>435</v>
      </c>
      <c r="S115" t="s">
        <v>47</v>
      </c>
      <c r="V115" t="s">
        <v>49</v>
      </c>
      <c r="W115" t="s">
        <v>50</v>
      </c>
      <c r="AD115" t="s">
        <v>436</v>
      </c>
    </row>
    <row r="116" spans="1:30" x14ac:dyDescent="0.25">
      <c r="A116" t="s">
        <v>33</v>
      </c>
      <c r="D116" t="s">
        <v>34</v>
      </c>
      <c r="E116" t="s">
        <v>35</v>
      </c>
      <c r="F116" t="s">
        <v>87</v>
      </c>
      <c r="G116" t="s">
        <v>428</v>
      </c>
      <c r="H116" t="s">
        <v>153</v>
      </c>
      <c r="I116" t="s">
        <v>144</v>
      </c>
      <c r="J116" t="s">
        <v>154</v>
      </c>
      <c r="K116" t="s">
        <v>155</v>
      </c>
      <c r="L116" t="s">
        <v>429</v>
      </c>
      <c r="N116" t="s">
        <v>430</v>
      </c>
      <c r="O116" t="s">
        <v>156</v>
      </c>
      <c r="R116" t="s">
        <v>437</v>
      </c>
      <c r="S116" t="s">
        <v>47</v>
      </c>
      <c r="V116" t="s">
        <v>49</v>
      </c>
      <c r="W116" t="s">
        <v>50</v>
      </c>
      <c r="AD116" t="s">
        <v>438</v>
      </c>
    </row>
    <row r="117" spans="1:30" x14ac:dyDescent="0.25">
      <c r="A117" t="s">
        <v>33</v>
      </c>
      <c r="D117" t="s">
        <v>34</v>
      </c>
      <c r="E117" t="s">
        <v>35</v>
      </c>
      <c r="F117" t="s">
        <v>87</v>
      </c>
      <c r="G117" t="s">
        <v>439</v>
      </c>
      <c r="H117" t="s">
        <v>38</v>
      </c>
      <c r="I117" t="s">
        <v>106</v>
      </c>
      <c r="J117" t="s">
        <v>40</v>
      </c>
      <c r="K117" t="s">
        <v>41</v>
      </c>
      <c r="L117" t="s">
        <v>440</v>
      </c>
      <c r="M117" t="s">
        <v>252</v>
      </c>
      <c r="N117" t="s">
        <v>413</v>
      </c>
      <c r="O117" t="s">
        <v>109</v>
      </c>
      <c r="R117" t="s">
        <v>441</v>
      </c>
      <c r="S117" t="s">
        <v>47</v>
      </c>
      <c r="V117" t="s">
        <v>49</v>
      </c>
      <c r="W117" t="s">
        <v>50</v>
      </c>
      <c r="AD117" t="s">
        <v>415</v>
      </c>
    </row>
    <row r="118" spans="1:30" x14ac:dyDescent="0.25">
      <c r="A118" t="s">
        <v>33</v>
      </c>
      <c r="D118" t="s">
        <v>34</v>
      </c>
      <c r="E118" t="s">
        <v>35</v>
      </c>
      <c r="F118" t="s">
        <v>87</v>
      </c>
      <c r="G118" t="s">
        <v>439</v>
      </c>
      <c r="H118" t="s">
        <v>143</v>
      </c>
      <c r="I118" t="s">
        <v>100</v>
      </c>
      <c r="J118" t="s">
        <v>145</v>
      </c>
      <c r="K118" t="s">
        <v>146</v>
      </c>
      <c r="L118" t="s">
        <v>440</v>
      </c>
      <c r="M118" t="s">
        <v>252</v>
      </c>
      <c r="N118" t="s">
        <v>413</v>
      </c>
      <c r="O118" t="s">
        <v>442</v>
      </c>
      <c r="R118" t="s">
        <v>443</v>
      </c>
      <c r="S118" t="s">
        <v>47</v>
      </c>
      <c r="V118" t="s">
        <v>49</v>
      </c>
      <c r="W118" t="s">
        <v>50</v>
      </c>
      <c r="AD118" t="s">
        <v>444</v>
      </c>
    </row>
    <row r="119" spans="1:30" x14ac:dyDescent="0.25">
      <c r="A119" t="s">
        <v>33</v>
      </c>
      <c r="D119" t="s">
        <v>34</v>
      </c>
      <c r="E119" t="s">
        <v>35</v>
      </c>
      <c r="F119" t="s">
        <v>87</v>
      </c>
      <c r="G119" t="s">
        <v>439</v>
      </c>
      <c r="H119" t="s">
        <v>89</v>
      </c>
      <c r="I119" t="s">
        <v>100</v>
      </c>
      <c r="J119" t="s">
        <v>91</v>
      </c>
      <c r="K119" t="s">
        <v>92</v>
      </c>
      <c r="L119" t="s">
        <v>440</v>
      </c>
      <c r="M119" t="s">
        <v>94</v>
      </c>
      <c r="N119" t="s">
        <v>413</v>
      </c>
      <c r="O119" t="s">
        <v>445</v>
      </c>
      <c r="P119">
        <v>1E-3</v>
      </c>
      <c r="R119" t="s">
        <v>446</v>
      </c>
      <c r="S119" t="s">
        <v>47</v>
      </c>
      <c r="V119" t="s">
        <v>49</v>
      </c>
      <c r="W119" t="s">
        <v>50</v>
      </c>
      <c r="AD119" t="s">
        <v>447</v>
      </c>
    </row>
    <row r="120" spans="1:30" x14ac:dyDescent="0.25">
      <c r="A120" t="s">
        <v>33</v>
      </c>
      <c r="D120" t="s">
        <v>34</v>
      </c>
      <c r="E120" t="s">
        <v>35</v>
      </c>
      <c r="F120" t="s">
        <v>87</v>
      </c>
      <c r="G120" t="s">
        <v>439</v>
      </c>
      <c r="H120" t="s">
        <v>153</v>
      </c>
      <c r="I120" t="s">
        <v>100</v>
      </c>
      <c r="J120" t="s">
        <v>154</v>
      </c>
      <c r="K120" t="s">
        <v>155</v>
      </c>
      <c r="L120" t="s">
        <v>440</v>
      </c>
      <c r="N120" t="s">
        <v>413</v>
      </c>
      <c r="O120" t="s">
        <v>448</v>
      </c>
      <c r="R120" t="s">
        <v>449</v>
      </c>
      <c r="S120" t="s">
        <v>47</v>
      </c>
      <c r="V120" t="s">
        <v>49</v>
      </c>
      <c r="W120" t="s">
        <v>50</v>
      </c>
      <c r="AD120" t="s">
        <v>450</v>
      </c>
    </row>
    <row r="121" spans="1:30" x14ac:dyDescent="0.25">
      <c r="A121" t="s">
        <v>33</v>
      </c>
      <c r="D121" t="s">
        <v>34</v>
      </c>
      <c r="E121" t="s">
        <v>35</v>
      </c>
      <c r="F121" t="s">
        <v>87</v>
      </c>
      <c r="G121" t="s">
        <v>439</v>
      </c>
      <c r="H121" t="s">
        <v>143</v>
      </c>
      <c r="I121" t="s">
        <v>180</v>
      </c>
      <c r="J121" t="s">
        <v>145</v>
      </c>
      <c r="K121" t="s">
        <v>146</v>
      </c>
      <c r="L121" t="s">
        <v>440</v>
      </c>
      <c r="M121" t="s">
        <v>252</v>
      </c>
      <c r="N121" t="s">
        <v>413</v>
      </c>
      <c r="O121" t="s">
        <v>181</v>
      </c>
      <c r="R121" t="s">
        <v>451</v>
      </c>
      <c r="S121" t="s">
        <v>47</v>
      </c>
      <c r="V121" t="s">
        <v>49</v>
      </c>
      <c r="W121" t="s">
        <v>50</v>
      </c>
      <c r="AD121" t="s">
        <v>452</v>
      </c>
    </row>
    <row r="122" spans="1:30" x14ac:dyDescent="0.25">
      <c r="A122" t="s">
        <v>33</v>
      </c>
      <c r="D122" t="s">
        <v>34</v>
      </c>
      <c r="E122" t="s">
        <v>35</v>
      </c>
      <c r="F122" t="s">
        <v>87</v>
      </c>
      <c r="G122" t="s">
        <v>439</v>
      </c>
      <c r="H122" t="s">
        <v>89</v>
      </c>
      <c r="I122" t="s">
        <v>180</v>
      </c>
      <c r="J122" t="s">
        <v>91</v>
      </c>
      <c r="K122" t="s">
        <v>92</v>
      </c>
      <c r="L122" t="s">
        <v>440</v>
      </c>
      <c r="M122" t="s">
        <v>94</v>
      </c>
      <c r="N122" t="s">
        <v>413</v>
      </c>
      <c r="O122" t="s">
        <v>184</v>
      </c>
      <c r="P122">
        <v>1E-3</v>
      </c>
      <c r="R122" t="s">
        <v>453</v>
      </c>
      <c r="S122" t="s">
        <v>47</v>
      </c>
      <c r="V122" t="s">
        <v>49</v>
      </c>
      <c r="W122" t="s">
        <v>50</v>
      </c>
      <c r="AD122" t="s">
        <v>454</v>
      </c>
    </row>
    <row r="123" spans="1:30" x14ac:dyDescent="0.25">
      <c r="A123" t="s">
        <v>33</v>
      </c>
      <c r="D123" t="s">
        <v>34</v>
      </c>
      <c r="E123" t="s">
        <v>35</v>
      </c>
      <c r="F123" t="s">
        <v>87</v>
      </c>
      <c r="G123" t="s">
        <v>439</v>
      </c>
      <c r="H123" t="s">
        <v>153</v>
      </c>
      <c r="I123" t="s">
        <v>180</v>
      </c>
      <c r="J123" t="s">
        <v>154</v>
      </c>
      <c r="K123" t="s">
        <v>155</v>
      </c>
      <c r="L123" t="s">
        <v>440</v>
      </c>
      <c r="N123" t="s">
        <v>413</v>
      </c>
      <c r="O123" t="s">
        <v>187</v>
      </c>
      <c r="R123" t="s">
        <v>455</v>
      </c>
      <c r="S123" t="s">
        <v>47</v>
      </c>
      <c r="V123" t="s">
        <v>49</v>
      </c>
      <c r="W123" t="s">
        <v>50</v>
      </c>
      <c r="AD123" t="s">
        <v>456</v>
      </c>
    </row>
    <row r="124" spans="1:30" x14ac:dyDescent="0.25">
      <c r="A124" t="s">
        <v>33</v>
      </c>
      <c r="D124" t="s">
        <v>34</v>
      </c>
      <c r="E124" t="s">
        <v>35</v>
      </c>
      <c r="F124" t="s">
        <v>87</v>
      </c>
      <c r="G124" t="s">
        <v>457</v>
      </c>
      <c r="H124" t="s">
        <v>38</v>
      </c>
      <c r="I124" t="s">
        <v>106</v>
      </c>
      <c r="J124" t="s">
        <v>40</v>
      </c>
      <c r="K124" t="s">
        <v>41</v>
      </c>
      <c r="L124" t="s">
        <v>458</v>
      </c>
      <c r="M124" t="s">
        <v>252</v>
      </c>
      <c r="N124" t="s">
        <v>459</v>
      </c>
      <c r="O124" t="s">
        <v>109</v>
      </c>
      <c r="R124" t="s">
        <v>460</v>
      </c>
      <c r="S124" t="s">
        <v>47</v>
      </c>
      <c r="V124" t="s">
        <v>49</v>
      </c>
      <c r="W124" t="s">
        <v>50</v>
      </c>
      <c r="AD124" t="s">
        <v>461</v>
      </c>
    </row>
    <row r="125" spans="1:30" x14ac:dyDescent="0.25">
      <c r="A125" t="s">
        <v>33</v>
      </c>
      <c r="D125" t="s">
        <v>34</v>
      </c>
      <c r="E125" t="s">
        <v>35</v>
      </c>
      <c r="F125" t="s">
        <v>87</v>
      </c>
      <c r="G125" t="s">
        <v>457</v>
      </c>
      <c r="H125" t="s">
        <v>143</v>
      </c>
      <c r="I125" t="s">
        <v>180</v>
      </c>
      <c r="J125" t="s">
        <v>145</v>
      </c>
      <c r="K125" t="s">
        <v>146</v>
      </c>
      <c r="L125" t="s">
        <v>458</v>
      </c>
      <c r="M125" t="s">
        <v>252</v>
      </c>
      <c r="N125" t="s">
        <v>459</v>
      </c>
      <c r="O125" t="s">
        <v>181</v>
      </c>
      <c r="R125" t="s">
        <v>462</v>
      </c>
      <c r="S125" t="s">
        <v>47</v>
      </c>
      <c r="V125" t="s">
        <v>49</v>
      </c>
      <c r="W125" t="s">
        <v>50</v>
      </c>
      <c r="AD125" t="s">
        <v>463</v>
      </c>
    </row>
    <row r="126" spans="1:30" x14ac:dyDescent="0.25">
      <c r="A126" t="s">
        <v>33</v>
      </c>
      <c r="D126" t="s">
        <v>34</v>
      </c>
      <c r="E126" t="s">
        <v>35</v>
      </c>
      <c r="F126" t="s">
        <v>87</v>
      </c>
      <c r="G126" t="s">
        <v>457</v>
      </c>
      <c r="H126" t="s">
        <v>89</v>
      </c>
      <c r="I126" t="s">
        <v>180</v>
      </c>
      <c r="J126" t="s">
        <v>91</v>
      </c>
      <c r="K126" t="s">
        <v>92</v>
      </c>
      <c r="L126" t="s">
        <v>458</v>
      </c>
      <c r="M126" t="s">
        <v>94</v>
      </c>
      <c r="N126" t="s">
        <v>459</v>
      </c>
      <c r="O126" t="s">
        <v>184</v>
      </c>
      <c r="P126">
        <v>1E-3</v>
      </c>
      <c r="R126" t="s">
        <v>464</v>
      </c>
      <c r="S126" t="s">
        <v>47</v>
      </c>
      <c r="V126" t="s">
        <v>49</v>
      </c>
      <c r="W126" t="s">
        <v>50</v>
      </c>
      <c r="AD126" t="s">
        <v>465</v>
      </c>
    </row>
    <row r="127" spans="1:30" x14ac:dyDescent="0.25">
      <c r="A127" t="s">
        <v>33</v>
      </c>
      <c r="D127" t="s">
        <v>34</v>
      </c>
      <c r="E127" t="s">
        <v>35</v>
      </c>
      <c r="F127" t="s">
        <v>87</v>
      </c>
      <c r="G127" t="s">
        <v>457</v>
      </c>
      <c r="H127" t="s">
        <v>153</v>
      </c>
      <c r="I127" t="s">
        <v>180</v>
      </c>
      <c r="J127" t="s">
        <v>154</v>
      </c>
      <c r="K127" t="s">
        <v>155</v>
      </c>
      <c r="L127" t="s">
        <v>458</v>
      </c>
      <c r="N127" t="s">
        <v>459</v>
      </c>
      <c r="O127" t="s">
        <v>187</v>
      </c>
      <c r="R127" t="s">
        <v>466</v>
      </c>
      <c r="S127" t="s">
        <v>47</v>
      </c>
      <c r="V127" t="s">
        <v>49</v>
      </c>
      <c r="W127" t="s">
        <v>50</v>
      </c>
      <c r="AD127" t="s">
        <v>467</v>
      </c>
    </row>
    <row r="128" spans="1:30" x14ac:dyDescent="0.25">
      <c r="A128" t="s">
        <v>33</v>
      </c>
      <c r="D128" t="s">
        <v>34</v>
      </c>
      <c r="E128" t="s">
        <v>35</v>
      </c>
      <c r="H128" t="s">
        <v>166</v>
      </c>
      <c r="I128" t="s">
        <v>468</v>
      </c>
      <c r="J128" t="s">
        <v>167</v>
      </c>
      <c r="K128" t="s">
        <v>41</v>
      </c>
      <c r="L128" t="s">
        <v>469</v>
      </c>
      <c r="N128" t="s">
        <v>470</v>
      </c>
      <c r="O128" t="s">
        <v>471</v>
      </c>
      <c r="Q128" t="s">
        <v>472</v>
      </c>
      <c r="R128" t="s">
        <v>473</v>
      </c>
      <c r="S128" t="s">
        <v>47</v>
      </c>
      <c r="V128" t="s">
        <v>49</v>
      </c>
      <c r="W128" t="s">
        <v>50</v>
      </c>
      <c r="AD128" t="s">
        <v>474</v>
      </c>
    </row>
    <row r="129" spans="1:30" x14ac:dyDescent="0.25">
      <c r="A129" t="s">
        <v>33</v>
      </c>
      <c r="D129" t="s">
        <v>34</v>
      </c>
      <c r="E129" t="s">
        <v>35</v>
      </c>
      <c r="H129" t="s">
        <v>153</v>
      </c>
      <c r="I129" t="s">
        <v>475</v>
      </c>
      <c r="J129" t="s">
        <v>154</v>
      </c>
      <c r="K129" t="s">
        <v>155</v>
      </c>
      <c r="L129" t="s">
        <v>469</v>
      </c>
      <c r="N129" t="s">
        <v>470</v>
      </c>
      <c r="O129" t="s">
        <v>476</v>
      </c>
      <c r="R129" t="s">
        <v>477</v>
      </c>
      <c r="S129" t="s">
        <v>47</v>
      </c>
      <c r="V129" t="s">
        <v>49</v>
      </c>
      <c r="W129" t="s">
        <v>50</v>
      </c>
      <c r="AD129" t="s">
        <v>478</v>
      </c>
    </row>
    <row r="130" spans="1:30" x14ac:dyDescent="0.25">
      <c r="A130" t="s">
        <v>33</v>
      </c>
      <c r="D130" t="s">
        <v>34</v>
      </c>
      <c r="E130" t="s">
        <v>35</v>
      </c>
      <c r="H130" t="s">
        <v>153</v>
      </c>
      <c r="I130" t="s">
        <v>479</v>
      </c>
      <c r="J130" t="s">
        <v>154</v>
      </c>
      <c r="K130" t="s">
        <v>155</v>
      </c>
      <c r="L130" t="s">
        <v>469</v>
      </c>
      <c r="N130" t="s">
        <v>470</v>
      </c>
      <c r="O130" t="s">
        <v>480</v>
      </c>
      <c r="R130" t="s">
        <v>481</v>
      </c>
      <c r="S130" t="s">
        <v>47</v>
      </c>
      <c r="V130" t="s">
        <v>49</v>
      </c>
      <c r="W130" t="s">
        <v>50</v>
      </c>
      <c r="AD130" t="s">
        <v>482</v>
      </c>
    </row>
    <row r="131" spans="1:30" x14ac:dyDescent="0.25">
      <c r="A131" t="s">
        <v>33</v>
      </c>
      <c r="D131" t="s">
        <v>34</v>
      </c>
      <c r="E131" t="s">
        <v>35</v>
      </c>
      <c r="H131" t="s">
        <v>166</v>
      </c>
      <c r="I131" t="s">
        <v>475</v>
      </c>
      <c r="J131" t="s">
        <v>167</v>
      </c>
      <c r="K131" t="s">
        <v>41</v>
      </c>
      <c r="L131" t="s">
        <v>469</v>
      </c>
      <c r="N131" t="s">
        <v>470</v>
      </c>
      <c r="O131" t="s">
        <v>483</v>
      </c>
      <c r="Q131" t="s">
        <v>484</v>
      </c>
      <c r="R131" t="s">
        <v>485</v>
      </c>
      <c r="S131" t="s">
        <v>47</v>
      </c>
      <c r="V131" t="s">
        <v>49</v>
      </c>
      <c r="W131" t="s">
        <v>50</v>
      </c>
      <c r="AD131" t="s">
        <v>486</v>
      </c>
    </row>
    <row r="132" spans="1:30" x14ac:dyDescent="0.25">
      <c r="A132" t="s">
        <v>33</v>
      </c>
      <c r="D132" t="s">
        <v>34</v>
      </c>
      <c r="E132" t="s">
        <v>35</v>
      </c>
      <c r="H132" t="s">
        <v>166</v>
      </c>
      <c r="I132" t="s">
        <v>479</v>
      </c>
      <c r="J132" t="s">
        <v>167</v>
      </c>
      <c r="K132" t="s">
        <v>41</v>
      </c>
      <c r="L132" t="s">
        <v>469</v>
      </c>
      <c r="N132" t="s">
        <v>470</v>
      </c>
      <c r="O132" t="s">
        <v>487</v>
      </c>
      <c r="Q132" t="s">
        <v>488</v>
      </c>
      <c r="R132" t="s">
        <v>489</v>
      </c>
      <c r="S132" t="s">
        <v>47</v>
      </c>
      <c r="V132" t="s">
        <v>49</v>
      </c>
      <c r="W132" t="s">
        <v>50</v>
      </c>
      <c r="AD132" t="s">
        <v>490</v>
      </c>
    </row>
    <row r="133" spans="1:30" x14ac:dyDescent="0.25">
      <c r="A133" t="s">
        <v>33</v>
      </c>
      <c r="D133" t="s">
        <v>34</v>
      </c>
      <c r="E133" t="s">
        <v>35</v>
      </c>
      <c r="F133" t="s">
        <v>87</v>
      </c>
      <c r="G133" t="s">
        <v>491</v>
      </c>
      <c r="H133" t="s">
        <v>38</v>
      </c>
      <c r="I133" t="s">
        <v>106</v>
      </c>
      <c r="J133" t="s">
        <v>40</v>
      </c>
      <c r="K133" t="s">
        <v>41</v>
      </c>
      <c r="L133" t="s">
        <v>492</v>
      </c>
      <c r="M133" t="s">
        <v>493</v>
      </c>
      <c r="N133" t="s">
        <v>494</v>
      </c>
      <c r="O133" t="s">
        <v>109</v>
      </c>
      <c r="R133" t="s">
        <v>495</v>
      </c>
      <c r="S133" t="s">
        <v>47</v>
      </c>
      <c r="V133" t="s">
        <v>49</v>
      </c>
      <c r="W133" t="s">
        <v>50</v>
      </c>
      <c r="AD133" t="s">
        <v>496</v>
      </c>
    </row>
    <row r="134" spans="1:30" x14ac:dyDescent="0.25">
      <c r="A134" t="s">
        <v>33</v>
      </c>
      <c r="D134" t="s">
        <v>34</v>
      </c>
      <c r="E134" t="s">
        <v>35</v>
      </c>
      <c r="F134" t="s">
        <v>78</v>
      </c>
      <c r="G134" t="s">
        <v>497</v>
      </c>
      <c r="H134" t="s">
        <v>166</v>
      </c>
      <c r="I134" t="s">
        <v>160</v>
      </c>
      <c r="J134" t="s">
        <v>167</v>
      </c>
      <c r="K134" t="s">
        <v>41</v>
      </c>
      <c r="L134" t="s">
        <v>498</v>
      </c>
      <c r="N134" t="s">
        <v>499</v>
      </c>
      <c r="O134" t="s">
        <v>168</v>
      </c>
      <c r="Q134" t="s">
        <v>169</v>
      </c>
      <c r="R134" t="s">
        <v>500</v>
      </c>
      <c r="S134" t="s">
        <v>47</v>
      </c>
      <c r="V134" t="s">
        <v>49</v>
      </c>
      <c r="W134" t="s">
        <v>50</v>
      </c>
      <c r="AD134" t="s">
        <v>501</v>
      </c>
    </row>
    <row r="135" spans="1:30" x14ac:dyDescent="0.25">
      <c r="A135" t="s">
        <v>33</v>
      </c>
      <c r="D135" t="s">
        <v>34</v>
      </c>
      <c r="E135" t="s">
        <v>35</v>
      </c>
      <c r="F135" t="s">
        <v>78</v>
      </c>
      <c r="G135" t="s">
        <v>497</v>
      </c>
      <c r="H135" t="s">
        <v>166</v>
      </c>
      <c r="I135" t="s">
        <v>243</v>
      </c>
      <c r="J135" t="s">
        <v>167</v>
      </c>
      <c r="K135" t="s">
        <v>41</v>
      </c>
      <c r="L135" t="s">
        <v>498</v>
      </c>
      <c r="N135" t="s">
        <v>499</v>
      </c>
      <c r="O135" t="s">
        <v>244</v>
      </c>
      <c r="Q135" t="s">
        <v>245</v>
      </c>
      <c r="R135" t="s">
        <v>502</v>
      </c>
      <c r="S135" t="s">
        <v>47</v>
      </c>
      <c r="V135" t="s">
        <v>49</v>
      </c>
      <c r="W135" t="s">
        <v>50</v>
      </c>
      <c r="AD135" t="s">
        <v>503</v>
      </c>
    </row>
    <row r="136" spans="1:30" x14ac:dyDescent="0.25">
      <c r="A136" t="s">
        <v>33</v>
      </c>
      <c r="D136" t="s">
        <v>34</v>
      </c>
      <c r="E136" t="s">
        <v>35</v>
      </c>
      <c r="H136" t="s">
        <v>280</v>
      </c>
      <c r="I136" t="s">
        <v>504</v>
      </c>
      <c r="J136" t="s">
        <v>282</v>
      </c>
      <c r="K136" t="s">
        <v>283</v>
      </c>
      <c r="L136" t="s">
        <v>469</v>
      </c>
      <c r="N136" t="s">
        <v>470</v>
      </c>
      <c r="O136" t="s">
        <v>505</v>
      </c>
      <c r="Q136" t="s">
        <v>506</v>
      </c>
      <c r="R136" t="s">
        <v>507</v>
      </c>
      <c r="S136" t="s">
        <v>47</v>
      </c>
      <c r="V136" t="s">
        <v>49</v>
      </c>
      <c r="W136" t="s">
        <v>50</v>
      </c>
      <c r="AD136" t="s">
        <v>508</v>
      </c>
    </row>
    <row r="137" spans="1:30" x14ac:dyDescent="0.25">
      <c r="A137" t="s">
        <v>33</v>
      </c>
      <c r="D137" t="s">
        <v>34</v>
      </c>
      <c r="E137" t="s">
        <v>35</v>
      </c>
      <c r="F137" t="s">
        <v>87</v>
      </c>
      <c r="G137" t="s">
        <v>105</v>
      </c>
      <c r="H137" t="s">
        <v>38</v>
      </c>
      <c r="I137" t="s">
        <v>24</v>
      </c>
      <c r="J137" t="s">
        <v>69</v>
      </c>
      <c r="K137" t="s">
        <v>41</v>
      </c>
      <c r="L137" t="s">
        <v>107</v>
      </c>
      <c r="M137" t="s">
        <v>82</v>
      </c>
      <c r="N137" t="s">
        <v>108</v>
      </c>
      <c r="O137" t="s">
        <v>509</v>
      </c>
      <c r="R137" t="s">
        <v>510</v>
      </c>
      <c r="S137" t="s">
        <v>47</v>
      </c>
      <c r="V137" t="s">
        <v>49</v>
      </c>
      <c r="W137" t="s">
        <v>50</v>
      </c>
      <c r="AD137" t="s">
        <v>511</v>
      </c>
    </row>
    <row r="138" spans="1:30" x14ac:dyDescent="0.25">
      <c r="A138" t="s">
        <v>33</v>
      </c>
      <c r="D138" t="s">
        <v>34</v>
      </c>
      <c r="E138" t="s">
        <v>35</v>
      </c>
      <c r="F138" t="s">
        <v>87</v>
      </c>
      <c r="G138" t="s">
        <v>105</v>
      </c>
      <c r="H138" t="s">
        <v>38</v>
      </c>
      <c r="I138" t="s">
        <v>25</v>
      </c>
      <c r="J138" t="s">
        <v>69</v>
      </c>
      <c r="K138" t="s">
        <v>41</v>
      </c>
      <c r="L138" t="s">
        <v>107</v>
      </c>
      <c r="M138" t="s">
        <v>82</v>
      </c>
      <c r="N138" t="s">
        <v>108</v>
      </c>
      <c r="O138" t="s">
        <v>512</v>
      </c>
      <c r="R138" t="s">
        <v>513</v>
      </c>
      <c r="S138" t="s">
        <v>47</v>
      </c>
      <c r="V138" t="s">
        <v>49</v>
      </c>
      <c r="W138" t="s">
        <v>50</v>
      </c>
      <c r="AD138" t="s">
        <v>514</v>
      </c>
    </row>
    <row r="139" spans="1:30" x14ac:dyDescent="0.25">
      <c r="A139" t="s">
        <v>33</v>
      </c>
      <c r="D139" t="s">
        <v>34</v>
      </c>
      <c r="E139" t="s">
        <v>35</v>
      </c>
      <c r="F139" t="s">
        <v>87</v>
      </c>
      <c r="G139" t="s">
        <v>112</v>
      </c>
      <c r="H139" t="s">
        <v>38</v>
      </c>
      <c r="I139" t="s">
        <v>24</v>
      </c>
      <c r="J139" t="s">
        <v>69</v>
      </c>
      <c r="K139" t="s">
        <v>41</v>
      </c>
      <c r="L139" t="s">
        <v>113</v>
      </c>
      <c r="M139" t="s">
        <v>82</v>
      </c>
      <c r="N139" t="s">
        <v>114</v>
      </c>
      <c r="O139" t="s">
        <v>509</v>
      </c>
      <c r="R139" t="s">
        <v>515</v>
      </c>
      <c r="S139" t="s">
        <v>47</v>
      </c>
      <c r="V139" t="s">
        <v>49</v>
      </c>
      <c r="W139" t="s">
        <v>50</v>
      </c>
      <c r="AD139" t="s">
        <v>516</v>
      </c>
    </row>
    <row r="140" spans="1:30" x14ac:dyDescent="0.25">
      <c r="A140" t="s">
        <v>33</v>
      </c>
      <c r="D140" t="s">
        <v>34</v>
      </c>
      <c r="E140" t="s">
        <v>35</v>
      </c>
      <c r="F140" t="s">
        <v>87</v>
      </c>
      <c r="G140" t="s">
        <v>112</v>
      </c>
      <c r="H140" t="s">
        <v>38</v>
      </c>
      <c r="I140" t="s">
        <v>25</v>
      </c>
      <c r="J140" t="s">
        <v>69</v>
      </c>
      <c r="K140" t="s">
        <v>41</v>
      </c>
      <c r="L140" t="s">
        <v>113</v>
      </c>
      <c r="M140" t="s">
        <v>82</v>
      </c>
      <c r="N140" t="s">
        <v>114</v>
      </c>
      <c r="O140" t="s">
        <v>512</v>
      </c>
      <c r="R140" t="s">
        <v>517</v>
      </c>
      <c r="S140" t="s">
        <v>47</v>
      </c>
      <c r="V140" t="s">
        <v>49</v>
      </c>
      <c r="W140" t="s">
        <v>50</v>
      </c>
      <c r="AD140" t="s">
        <v>518</v>
      </c>
    </row>
    <row r="141" spans="1:30" x14ac:dyDescent="0.25">
      <c r="A141" t="s">
        <v>33</v>
      </c>
      <c r="D141" t="s">
        <v>34</v>
      </c>
      <c r="E141" t="s">
        <v>35</v>
      </c>
      <c r="F141" t="s">
        <v>87</v>
      </c>
      <c r="G141" t="s">
        <v>117</v>
      </c>
      <c r="H141" t="s">
        <v>38</v>
      </c>
      <c r="I141" t="s">
        <v>24</v>
      </c>
      <c r="J141" t="s">
        <v>69</v>
      </c>
      <c r="K141" t="s">
        <v>41</v>
      </c>
      <c r="L141" t="s">
        <v>118</v>
      </c>
      <c r="M141" t="s">
        <v>82</v>
      </c>
      <c r="N141" t="s">
        <v>119</v>
      </c>
      <c r="O141" t="s">
        <v>509</v>
      </c>
      <c r="R141" t="s">
        <v>519</v>
      </c>
      <c r="S141" t="s">
        <v>47</v>
      </c>
      <c r="V141" t="s">
        <v>49</v>
      </c>
      <c r="W141" t="s">
        <v>50</v>
      </c>
      <c r="AD141" t="s">
        <v>520</v>
      </c>
    </row>
    <row r="142" spans="1:30" x14ac:dyDescent="0.25">
      <c r="A142" t="s">
        <v>33</v>
      </c>
      <c r="D142" t="s">
        <v>34</v>
      </c>
      <c r="E142" t="s">
        <v>35</v>
      </c>
      <c r="F142" t="s">
        <v>87</v>
      </c>
      <c r="G142" t="s">
        <v>117</v>
      </c>
      <c r="H142" t="s">
        <v>38</v>
      </c>
      <c r="I142" t="s">
        <v>25</v>
      </c>
      <c r="J142" t="s">
        <v>69</v>
      </c>
      <c r="K142" t="s">
        <v>41</v>
      </c>
      <c r="L142" t="s">
        <v>118</v>
      </c>
      <c r="M142" t="s">
        <v>82</v>
      </c>
      <c r="N142" t="s">
        <v>119</v>
      </c>
      <c r="O142" t="s">
        <v>512</v>
      </c>
      <c r="R142" t="s">
        <v>521</v>
      </c>
      <c r="S142" t="s">
        <v>47</v>
      </c>
      <c r="V142" t="s">
        <v>49</v>
      </c>
      <c r="W142" t="s">
        <v>50</v>
      </c>
      <c r="AD142" t="s">
        <v>522</v>
      </c>
    </row>
    <row r="143" spans="1:30" x14ac:dyDescent="0.25">
      <c r="A143" t="s">
        <v>33</v>
      </c>
      <c r="D143" t="s">
        <v>34</v>
      </c>
      <c r="E143" t="s">
        <v>35</v>
      </c>
      <c r="F143" t="s">
        <v>87</v>
      </c>
      <c r="G143" t="s">
        <v>137</v>
      </c>
      <c r="H143" t="s">
        <v>38</v>
      </c>
      <c r="I143" t="s">
        <v>24</v>
      </c>
      <c r="J143" t="s">
        <v>69</v>
      </c>
      <c r="K143" t="s">
        <v>41</v>
      </c>
      <c r="L143" t="s">
        <v>138</v>
      </c>
      <c r="M143" t="s">
        <v>139</v>
      </c>
      <c r="N143" t="s">
        <v>140</v>
      </c>
      <c r="O143" t="s">
        <v>509</v>
      </c>
      <c r="R143" t="s">
        <v>523</v>
      </c>
      <c r="S143" t="s">
        <v>47</v>
      </c>
      <c r="V143" t="s">
        <v>49</v>
      </c>
      <c r="W143" t="s">
        <v>50</v>
      </c>
      <c r="X143" t="s">
        <v>56</v>
      </c>
      <c r="AD143" t="s">
        <v>524</v>
      </c>
    </row>
    <row r="144" spans="1:30" x14ac:dyDescent="0.25">
      <c r="A144" t="s">
        <v>33</v>
      </c>
      <c r="D144" t="s">
        <v>34</v>
      </c>
      <c r="E144" t="s">
        <v>35</v>
      </c>
      <c r="F144" t="s">
        <v>87</v>
      </c>
      <c r="G144" t="s">
        <v>137</v>
      </c>
      <c r="H144" t="s">
        <v>38</v>
      </c>
      <c r="I144" t="s">
        <v>25</v>
      </c>
      <c r="J144" t="s">
        <v>69</v>
      </c>
      <c r="K144" t="s">
        <v>41</v>
      </c>
      <c r="L144" t="s">
        <v>138</v>
      </c>
      <c r="M144" t="s">
        <v>139</v>
      </c>
      <c r="N144" t="s">
        <v>140</v>
      </c>
      <c r="O144" t="s">
        <v>512</v>
      </c>
      <c r="R144" t="s">
        <v>525</v>
      </c>
      <c r="S144" t="s">
        <v>47</v>
      </c>
      <c r="V144" t="s">
        <v>49</v>
      </c>
      <c r="W144" t="s">
        <v>50</v>
      </c>
      <c r="X144" t="s">
        <v>56</v>
      </c>
      <c r="AD144" t="s">
        <v>526</v>
      </c>
    </row>
    <row r="145" spans="1:30" x14ac:dyDescent="0.25">
      <c r="A145" t="s">
        <v>33</v>
      </c>
      <c r="D145" t="s">
        <v>34</v>
      </c>
      <c r="E145" t="s">
        <v>35</v>
      </c>
      <c r="F145" t="s">
        <v>87</v>
      </c>
      <c r="G145" t="s">
        <v>174</v>
      </c>
      <c r="H145" t="s">
        <v>38</v>
      </c>
      <c r="I145" t="s">
        <v>24</v>
      </c>
      <c r="J145" t="s">
        <v>69</v>
      </c>
      <c r="K145" t="s">
        <v>41</v>
      </c>
      <c r="L145" t="s">
        <v>175</v>
      </c>
      <c r="M145" t="s">
        <v>176</v>
      </c>
      <c r="N145" t="s">
        <v>177</v>
      </c>
      <c r="O145" t="s">
        <v>509</v>
      </c>
      <c r="R145" t="s">
        <v>527</v>
      </c>
      <c r="S145" t="s">
        <v>47</v>
      </c>
      <c r="V145" t="s">
        <v>49</v>
      </c>
      <c r="W145" t="s">
        <v>50</v>
      </c>
      <c r="AD145" t="s">
        <v>528</v>
      </c>
    </row>
    <row r="146" spans="1:30" x14ac:dyDescent="0.25">
      <c r="A146" t="s">
        <v>33</v>
      </c>
      <c r="D146" t="s">
        <v>34</v>
      </c>
      <c r="E146" t="s">
        <v>35</v>
      </c>
      <c r="F146" t="s">
        <v>87</v>
      </c>
      <c r="G146" t="s">
        <v>174</v>
      </c>
      <c r="H146" t="s">
        <v>38</v>
      </c>
      <c r="I146" t="s">
        <v>25</v>
      </c>
      <c r="J146" t="s">
        <v>69</v>
      </c>
      <c r="K146" t="s">
        <v>41</v>
      </c>
      <c r="L146" t="s">
        <v>175</v>
      </c>
      <c r="M146" t="s">
        <v>176</v>
      </c>
      <c r="N146" t="s">
        <v>177</v>
      </c>
      <c r="O146" t="s">
        <v>512</v>
      </c>
      <c r="R146" t="s">
        <v>529</v>
      </c>
      <c r="S146" t="s">
        <v>47</v>
      </c>
      <c r="V146" t="s">
        <v>49</v>
      </c>
      <c r="W146" t="s">
        <v>50</v>
      </c>
      <c r="AD146" t="s">
        <v>530</v>
      </c>
    </row>
    <row r="147" spans="1:30" x14ac:dyDescent="0.25">
      <c r="A147" t="s">
        <v>33</v>
      </c>
      <c r="D147" t="s">
        <v>34</v>
      </c>
      <c r="E147" t="s">
        <v>35</v>
      </c>
      <c r="F147" t="s">
        <v>87</v>
      </c>
      <c r="G147" t="s">
        <v>196</v>
      </c>
      <c r="H147" t="s">
        <v>38</v>
      </c>
      <c r="I147" t="s">
        <v>24</v>
      </c>
      <c r="J147" t="s">
        <v>69</v>
      </c>
      <c r="K147" t="s">
        <v>41</v>
      </c>
      <c r="L147" t="s">
        <v>197</v>
      </c>
      <c r="M147" t="s">
        <v>176</v>
      </c>
      <c r="N147" t="s">
        <v>198</v>
      </c>
      <c r="O147" t="s">
        <v>509</v>
      </c>
      <c r="R147" t="s">
        <v>531</v>
      </c>
      <c r="S147" t="s">
        <v>47</v>
      </c>
      <c r="V147" t="s">
        <v>49</v>
      </c>
      <c r="W147" t="s">
        <v>50</v>
      </c>
      <c r="AD147" t="s">
        <v>532</v>
      </c>
    </row>
    <row r="148" spans="1:30" x14ac:dyDescent="0.25">
      <c r="A148" t="s">
        <v>33</v>
      </c>
      <c r="D148" t="s">
        <v>34</v>
      </c>
      <c r="E148" t="s">
        <v>35</v>
      </c>
      <c r="F148" t="s">
        <v>87</v>
      </c>
      <c r="G148" t="s">
        <v>196</v>
      </c>
      <c r="H148" t="s">
        <v>38</v>
      </c>
      <c r="I148" t="s">
        <v>25</v>
      </c>
      <c r="J148" t="s">
        <v>69</v>
      </c>
      <c r="K148" t="s">
        <v>41</v>
      </c>
      <c r="L148" t="s">
        <v>197</v>
      </c>
      <c r="M148" t="s">
        <v>176</v>
      </c>
      <c r="N148" t="s">
        <v>198</v>
      </c>
      <c r="O148" t="s">
        <v>512</v>
      </c>
      <c r="R148" t="s">
        <v>533</v>
      </c>
      <c r="S148" t="s">
        <v>47</v>
      </c>
      <c r="V148" t="s">
        <v>49</v>
      </c>
      <c r="W148" t="s">
        <v>50</v>
      </c>
      <c r="AD148" t="s">
        <v>534</v>
      </c>
    </row>
    <row r="149" spans="1:30" x14ac:dyDescent="0.25">
      <c r="A149" t="s">
        <v>33</v>
      </c>
      <c r="D149" t="s">
        <v>34</v>
      </c>
      <c r="E149" t="s">
        <v>35</v>
      </c>
      <c r="F149" t="s">
        <v>87</v>
      </c>
      <c r="G149" t="s">
        <v>369</v>
      </c>
      <c r="H149" t="s">
        <v>38</v>
      </c>
      <c r="I149" t="s">
        <v>24</v>
      </c>
      <c r="J149" t="s">
        <v>69</v>
      </c>
      <c r="K149" t="s">
        <v>41</v>
      </c>
      <c r="L149" t="s">
        <v>370</v>
      </c>
      <c r="M149" t="s">
        <v>252</v>
      </c>
      <c r="N149" t="s">
        <v>371</v>
      </c>
      <c r="O149" t="s">
        <v>509</v>
      </c>
      <c r="R149" t="s">
        <v>535</v>
      </c>
      <c r="S149" t="s">
        <v>47</v>
      </c>
      <c r="V149" t="s">
        <v>49</v>
      </c>
      <c r="W149" t="s">
        <v>50</v>
      </c>
      <c r="AD149" t="s">
        <v>536</v>
      </c>
    </row>
    <row r="150" spans="1:30" x14ac:dyDescent="0.25">
      <c r="A150" t="s">
        <v>33</v>
      </c>
      <c r="D150" t="s">
        <v>34</v>
      </c>
      <c r="E150" t="s">
        <v>35</v>
      </c>
      <c r="F150" t="s">
        <v>87</v>
      </c>
      <c r="G150" t="s">
        <v>369</v>
      </c>
      <c r="H150" t="s">
        <v>38</v>
      </c>
      <c r="I150" t="s">
        <v>25</v>
      </c>
      <c r="J150" t="s">
        <v>69</v>
      </c>
      <c r="K150" t="s">
        <v>41</v>
      </c>
      <c r="L150" t="s">
        <v>370</v>
      </c>
      <c r="M150" t="s">
        <v>252</v>
      </c>
      <c r="N150" t="s">
        <v>371</v>
      </c>
      <c r="O150" t="s">
        <v>512</v>
      </c>
      <c r="R150" t="s">
        <v>537</v>
      </c>
      <c r="S150" t="s">
        <v>47</v>
      </c>
      <c r="V150" t="s">
        <v>49</v>
      </c>
      <c r="W150" t="s">
        <v>50</v>
      </c>
      <c r="AD150" t="s">
        <v>538</v>
      </c>
    </row>
    <row r="151" spans="1:30" x14ac:dyDescent="0.25">
      <c r="A151" t="s">
        <v>33</v>
      </c>
      <c r="D151" t="s">
        <v>34</v>
      </c>
      <c r="E151" t="s">
        <v>35</v>
      </c>
      <c r="F151" t="s">
        <v>87</v>
      </c>
      <c r="G151" t="s">
        <v>389</v>
      </c>
      <c r="H151" t="s">
        <v>38</v>
      </c>
      <c r="I151" t="s">
        <v>24</v>
      </c>
      <c r="J151" t="s">
        <v>69</v>
      </c>
      <c r="K151" t="s">
        <v>41</v>
      </c>
      <c r="L151" t="s">
        <v>390</v>
      </c>
      <c r="M151" t="s">
        <v>252</v>
      </c>
      <c r="N151" t="s">
        <v>391</v>
      </c>
      <c r="O151" t="s">
        <v>509</v>
      </c>
      <c r="R151" t="s">
        <v>539</v>
      </c>
      <c r="S151" t="s">
        <v>47</v>
      </c>
      <c r="V151" t="s">
        <v>49</v>
      </c>
      <c r="W151" t="s">
        <v>50</v>
      </c>
      <c r="AD151" t="s">
        <v>540</v>
      </c>
    </row>
    <row r="152" spans="1:30" x14ac:dyDescent="0.25">
      <c r="A152" t="s">
        <v>33</v>
      </c>
      <c r="D152" t="s">
        <v>34</v>
      </c>
      <c r="E152" t="s">
        <v>35</v>
      </c>
      <c r="F152" t="s">
        <v>87</v>
      </c>
      <c r="G152" t="s">
        <v>389</v>
      </c>
      <c r="H152" t="s">
        <v>38</v>
      </c>
      <c r="I152" t="s">
        <v>25</v>
      </c>
      <c r="J152" t="s">
        <v>69</v>
      </c>
      <c r="K152" t="s">
        <v>41</v>
      </c>
      <c r="L152" t="s">
        <v>390</v>
      </c>
      <c r="M152" t="s">
        <v>252</v>
      </c>
      <c r="N152" t="s">
        <v>391</v>
      </c>
      <c r="O152" t="s">
        <v>512</v>
      </c>
      <c r="R152" t="s">
        <v>541</v>
      </c>
      <c r="S152" t="s">
        <v>47</v>
      </c>
      <c r="V152" t="s">
        <v>49</v>
      </c>
      <c r="W152" t="s">
        <v>50</v>
      </c>
      <c r="AD152" t="s">
        <v>542</v>
      </c>
    </row>
    <row r="153" spans="1:30" x14ac:dyDescent="0.25">
      <c r="A153" t="s">
        <v>33</v>
      </c>
      <c r="D153" t="s">
        <v>34</v>
      </c>
      <c r="E153" t="s">
        <v>35</v>
      </c>
      <c r="F153" t="s">
        <v>87</v>
      </c>
      <c r="G153" t="s">
        <v>400</v>
      </c>
      <c r="H153" t="s">
        <v>38</v>
      </c>
      <c r="I153" t="s">
        <v>24</v>
      </c>
      <c r="J153" t="s">
        <v>69</v>
      </c>
      <c r="K153" t="s">
        <v>41</v>
      </c>
      <c r="L153" t="s">
        <v>401</v>
      </c>
      <c r="M153" t="s">
        <v>252</v>
      </c>
      <c r="N153" t="s">
        <v>402</v>
      </c>
      <c r="O153" t="s">
        <v>509</v>
      </c>
      <c r="R153" t="s">
        <v>543</v>
      </c>
      <c r="S153" t="s">
        <v>47</v>
      </c>
      <c r="V153" t="s">
        <v>49</v>
      </c>
      <c r="W153" t="s">
        <v>50</v>
      </c>
      <c r="AD153" t="s">
        <v>544</v>
      </c>
    </row>
    <row r="154" spans="1:30" x14ac:dyDescent="0.25">
      <c r="A154" t="s">
        <v>33</v>
      </c>
      <c r="D154" t="s">
        <v>34</v>
      </c>
      <c r="E154" t="s">
        <v>35</v>
      </c>
      <c r="F154" t="s">
        <v>87</v>
      </c>
      <c r="G154" t="s">
        <v>400</v>
      </c>
      <c r="H154" t="s">
        <v>38</v>
      </c>
      <c r="I154" t="s">
        <v>25</v>
      </c>
      <c r="J154" t="s">
        <v>69</v>
      </c>
      <c r="K154" t="s">
        <v>41</v>
      </c>
      <c r="L154" t="s">
        <v>401</v>
      </c>
      <c r="M154" t="s">
        <v>252</v>
      </c>
      <c r="N154" t="s">
        <v>402</v>
      </c>
      <c r="O154" t="s">
        <v>512</v>
      </c>
      <c r="R154" t="s">
        <v>545</v>
      </c>
      <c r="S154" t="s">
        <v>47</v>
      </c>
      <c r="V154" t="s">
        <v>49</v>
      </c>
      <c r="W154" t="s">
        <v>50</v>
      </c>
      <c r="AD154" t="s">
        <v>546</v>
      </c>
    </row>
    <row r="155" spans="1:30" x14ac:dyDescent="0.25">
      <c r="A155" t="s">
        <v>33</v>
      </c>
      <c r="D155" t="s">
        <v>34</v>
      </c>
      <c r="E155" t="s">
        <v>35</v>
      </c>
      <c r="F155" t="s">
        <v>87</v>
      </c>
      <c r="G155" t="s">
        <v>411</v>
      </c>
      <c r="H155" t="s">
        <v>38</v>
      </c>
      <c r="I155" t="s">
        <v>24</v>
      </c>
      <c r="J155" t="s">
        <v>69</v>
      </c>
      <c r="K155" t="s">
        <v>41</v>
      </c>
      <c r="L155" t="s">
        <v>412</v>
      </c>
      <c r="M155" t="s">
        <v>252</v>
      </c>
      <c r="N155" t="s">
        <v>413</v>
      </c>
      <c r="O155" t="s">
        <v>509</v>
      </c>
      <c r="R155" t="s">
        <v>547</v>
      </c>
      <c r="S155" t="s">
        <v>47</v>
      </c>
      <c r="V155" t="s">
        <v>49</v>
      </c>
      <c r="W155" t="s">
        <v>50</v>
      </c>
      <c r="AD155" t="s">
        <v>548</v>
      </c>
    </row>
    <row r="156" spans="1:30" x14ac:dyDescent="0.25">
      <c r="A156" t="s">
        <v>33</v>
      </c>
      <c r="D156" t="s">
        <v>34</v>
      </c>
      <c r="E156" t="s">
        <v>35</v>
      </c>
      <c r="F156" t="s">
        <v>87</v>
      </c>
      <c r="G156" t="s">
        <v>411</v>
      </c>
      <c r="H156" t="s">
        <v>38</v>
      </c>
      <c r="I156" t="s">
        <v>25</v>
      </c>
      <c r="J156" t="s">
        <v>69</v>
      </c>
      <c r="K156" t="s">
        <v>41</v>
      </c>
      <c r="L156" t="s">
        <v>412</v>
      </c>
      <c r="M156" t="s">
        <v>252</v>
      </c>
      <c r="N156" t="s">
        <v>413</v>
      </c>
      <c r="O156" t="s">
        <v>512</v>
      </c>
      <c r="R156" t="s">
        <v>549</v>
      </c>
      <c r="S156" t="s">
        <v>47</v>
      </c>
      <c r="V156" t="s">
        <v>49</v>
      </c>
      <c r="W156" t="s">
        <v>50</v>
      </c>
      <c r="AD156" t="s">
        <v>550</v>
      </c>
    </row>
    <row r="157" spans="1:30" x14ac:dyDescent="0.25">
      <c r="A157" t="s">
        <v>33</v>
      </c>
      <c r="D157" t="s">
        <v>34</v>
      </c>
      <c r="E157" t="s">
        <v>35</v>
      </c>
      <c r="F157" t="s">
        <v>87</v>
      </c>
      <c r="G157" t="s">
        <v>428</v>
      </c>
      <c r="H157" t="s">
        <v>38</v>
      </c>
      <c r="I157" t="s">
        <v>24</v>
      </c>
      <c r="J157" t="s">
        <v>69</v>
      </c>
      <c r="K157" t="s">
        <v>41</v>
      </c>
      <c r="L157" t="s">
        <v>429</v>
      </c>
      <c r="M157" t="s">
        <v>252</v>
      </c>
      <c r="N157" t="s">
        <v>430</v>
      </c>
      <c r="O157" t="s">
        <v>509</v>
      </c>
      <c r="R157" t="s">
        <v>551</v>
      </c>
      <c r="S157" t="s">
        <v>47</v>
      </c>
      <c r="V157" t="s">
        <v>49</v>
      </c>
      <c r="W157" t="s">
        <v>50</v>
      </c>
      <c r="AD157" t="s">
        <v>552</v>
      </c>
    </row>
    <row r="158" spans="1:30" x14ac:dyDescent="0.25">
      <c r="A158" t="s">
        <v>33</v>
      </c>
      <c r="D158" t="s">
        <v>34</v>
      </c>
      <c r="E158" t="s">
        <v>35</v>
      </c>
      <c r="F158" t="s">
        <v>87</v>
      </c>
      <c r="G158" t="s">
        <v>428</v>
      </c>
      <c r="H158" t="s">
        <v>38</v>
      </c>
      <c r="I158" t="s">
        <v>25</v>
      </c>
      <c r="J158" t="s">
        <v>69</v>
      </c>
      <c r="K158" t="s">
        <v>41</v>
      </c>
      <c r="L158" t="s">
        <v>429</v>
      </c>
      <c r="M158" t="s">
        <v>252</v>
      </c>
      <c r="N158" t="s">
        <v>430</v>
      </c>
      <c r="O158" t="s">
        <v>512</v>
      </c>
      <c r="R158" t="s">
        <v>553</v>
      </c>
      <c r="S158" t="s">
        <v>47</v>
      </c>
      <c r="V158" t="s">
        <v>49</v>
      </c>
      <c r="W158" t="s">
        <v>50</v>
      </c>
      <c r="AD158" t="s">
        <v>554</v>
      </c>
    </row>
    <row r="159" spans="1:30" x14ac:dyDescent="0.25">
      <c r="A159" t="s">
        <v>33</v>
      </c>
      <c r="D159" t="s">
        <v>34</v>
      </c>
      <c r="E159" t="s">
        <v>35</v>
      </c>
      <c r="F159" t="s">
        <v>87</v>
      </c>
      <c r="G159" t="s">
        <v>439</v>
      </c>
      <c r="H159" t="s">
        <v>38</v>
      </c>
      <c r="I159" t="s">
        <v>24</v>
      </c>
      <c r="J159" t="s">
        <v>69</v>
      </c>
      <c r="K159" t="s">
        <v>41</v>
      </c>
      <c r="L159" t="s">
        <v>440</v>
      </c>
      <c r="M159" t="s">
        <v>252</v>
      </c>
      <c r="N159" t="s">
        <v>413</v>
      </c>
      <c r="O159" t="s">
        <v>509</v>
      </c>
      <c r="R159" t="s">
        <v>555</v>
      </c>
      <c r="S159" t="s">
        <v>47</v>
      </c>
      <c r="V159" t="s">
        <v>49</v>
      </c>
      <c r="W159" t="s">
        <v>50</v>
      </c>
      <c r="AD159" t="s">
        <v>548</v>
      </c>
    </row>
    <row r="160" spans="1:30" x14ac:dyDescent="0.25">
      <c r="A160" t="s">
        <v>33</v>
      </c>
      <c r="D160" t="s">
        <v>34</v>
      </c>
      <c r="E160" t="s">
        <v>35</v>
      </c>
      <c r="F160" t="s">
        <v>87</v>
      </c>
      <c r="G160" t="s">
        <v>439</v>
      </c>
      <c r="H160" t="s">
        <v>38</v>
      </c>
      <c r="I160" t="s">
        <v>25</v>
      </c>
      <c r="J160" t="s">
        <v>69</v>
      </c>
      <c r="K160" t="s">
        <v>41</v>
      </c>
      <c r="L160" t="s">
        <v>440</v>
      </c>
      <c r="M160" t="s">
        <v>252</v>
      </c>
      <c r="N160" t="s">
        <v>413</v>
      </c>
      <c r="O160" t="s">
        <v>512</v>
      </c>
      <c r="R160" t="s">
        <v>556</v>
      </c>
      <c r="S160" t="s">
        <v>47</v>
      </c>
      <c r="V160" t="s">
        <v>49</v>
      </c>
      <c r="W160" t="s">
        <v>50</v>
      </c>
      <c r="AD160" t="s">
        <v>550</v>
      </c>
    </row>
    <row r="161" spans="1:32" x14ac:dyDescent="0.25">
      <c r="A161" t="s">
        <v>33</v>
      </c>
      <c r="D161" t="s">
        <v>34</v>
      </c>
      <c r="E161" t="s">
        <v>35</v>
      </c>
      <c r="F161" t="s">
        <v>87</v>
      </c>
      <c r="G161" t="s">
        <v>457</v>
      </c>
      <c r="H161" t="s">
        <v>38</v>
      </c>
      <c r="I161" t="s">
        <v>24</v>
      </c>
      <c r="J161" t="s">
        <v>69</v>
      </c>
      <c r="K161" t="s">
        <v>41</v>
      </c>
      <c r="L161" t="s">
        <v>458</v>
      </c>
      <c r="M161" t="s">
        <v>252</v>
      </c>
      <c r="N161" t="s">
        <v>459</v>
      </c>
      <c r="O161" t="s">
        <v>509</v>
      </c>
      <c r="R161" t="s">
        <v>557</v>
      </c>
      <c r="S161" t="s">
        <v>47</v>
      </c>
      <c r="V161" t="s">
        <v>49</v>
      </c>
      <c r="W161" t="s">
        <v>50</v>
      </c>
      <c r="AD161" t="s">
        <v>558</v>
      </c>
    </row>
    <row r="162" spans="1:32" x14ac:dyDescent="0.25">
      <c r="A162" t="s">
        <v>33</v>
      </c>
      <c r="D162" t="s">
        <v>34</v>
      </c>
      <c r="E162" t="s">
        <v>35</v>
      </c>
      <c r="F162" t="s">
        <v>87</v>
      </c>
      <c r="G162" t="s">
        <v>457</v>
      </c>
      <c r="H162" t="s">
        <v>38</v>
      </c>
      <c r="I162" t="s">
        <v>25</v>
      </c>
      <c r="J162" t="s">
        <v>69</v>
      </c>
      <c r="K162" t="s">
        <v>41</v>
      </c>
      <c r="L162" t="s">
        <v>458</v>
      </c>
      <c r="M162" t="s">
        <v>252</v>
      </c>
      <c r="N162" t="s">
        <v>459</v>
      </c>
      <c r="O162" t="s">
        <v>512</v>
      </c>
      <c r="R162" t="s">
        <v>559</v>
      </c>
      <c r="S162" t="s">
        <v>47</v>
      </c>
      <c r="V162" t="s">
        <v>49</v>
      </c>
      <c r="W162" t="s">
        <v>50</v>
      </c>
      <c r="AD162" t="s">
        <v>560</v>
      </c>
    </row>
    <row r="163" spans="1:32" x14ac:dyDescent="0.25">
      <c r="A163" t="s">
        <v>33</v>
      </c>
      <c r="D163" t="s">
        <v>34</v>
      </c>
      <c r="E163" t="s">
        <v>35</v>
      </c>
      <c r="F163" t="s">
        <v>87</v>
      </c>
      <c r="G163" t="s">
        <v>491</v>
      </c>
      <c r="H163" t="s">
        <v>38</v>
      </c>
      <c r="I163" t="s">
        <v>24</v>
      </c>
      <c r="J163" t="s">
        <v>69</v>
      </c>
      <c r="K163" t="s">
        <v>41</v>
      </c>
      <c r="L163" t="s">
        <v>492</v>
      </c>
      <c r="M163" t="s">
        <v>493</v>
      </c>
      <c r="N163" t="s">
        <v>494</v>
      </c>
      <c r="O163" t="s">
        <v>509</v>
      </c>
      <c r="R163" t="s">
        <v>561</v>
      </c>
      <c r="S163" t="s">
        <v>47</v>
      </c>
      <c r="V163" t="s">
        <v>49</v>
      </c>
      <c r="W163" t="s">
        <v>50</v>
      </c>
      <c r="AD163" t="s">
        <v>562</v>
      </c>
    </row>
    <row r="164" spans="1:32" x14ac:dyDescent="0.25">
      <c r="A164" t="s">
        <v>33</v>
      </c>
      <c r="D164" t="s">
        <v>34</v>
      </c>
      <c r="E164" t="s">
        <v>35</v>
      </c>
      <c r="F164" t="s">
        <v>87</v>
      </c>
      <c r="G164" t="s">
        <v>491</v>
      </c>
      <c r="H164" t="s">
        <v>38</v>
      </c>
      <c r="I164" t="s">
        <v>25</v>
      </c>
      <c r="J164" t="s">
        <v>69</v>
      </c>
      <c r="K164" t="s">
        <v>41</v>
      </c>
      <c r="L164" t="s">
        <v>492</v>
      </c>
      <c r="M164" t="s">
        <v>493</v>
      </c>
      <c r="N164" t="s">
        <v>494</v>
      </c>
      <c r="O164" t="s">
        <v>512</v>
      </c>
      <c r="R164" t="s">
        <v>563</v>
      </c>
      <c r="S164" t="s">
        <v>47</v>
      </c>
      <c r="V164" t="s">
        <v>49</v>
      </c>
      <c r="W164" t="s">
        <v>50</v>
      </c>
      <c r="AD164" t="s">
        <v>564</v>
      </c>
    </row>
    <row r="165" spans="1:32" x14ac:dyDescent="0.25">
      <c r="A165" t="s">
        <v>33</v>
      </c>
      <c r="D165" t="s">
        <v>565</v>
      </c>
      <c r="E165" t="s">
        <v>566</v>
      </c>
      <c r="H165" t="s">
        <v>166</v>
      </c>
      <c r="I165" t="s">
        <v>567</v>
      </c>
      <c r="J165" t="s">
        <v>167</v>
      </c>
      <c r="K165" t="s">
        <v>41</v>
      </c>
      <c r="L165" t="s">
        <v>568</v>
      </c>
      <c r="N165" t="s">
        <v>569</v>
      </c>
      <c r="O165" t="s">
        <v>570</v>
      </c>
      <c r="Q165" t="s">
        <v>571</v>
      </c>
      <c r="R165" t="s">
        <v>572</v>
      </c>
      <c r="S165" t="s">
        <v>573</v>
      </c>
      <c r="V165" t="s">
        <v>574</v>
      </c>
      <c r="W165" t="s">
        <v>568</v>
      </c>
      <c r="AC165" t="s">
        <v>575</v>
      </c>
      <c r="AD165" t="s">
        <v>576</v>
      </c>
      <c r="AE165" t="s">
        <v>577</v>
      </c>
      <c r="AF165">
        <v>1</v>
      </c>
    </row>
    <row r="166" spans="1:32" x14ac:dyDescent="0.25">
      <c r="A166" t="s">
        <v>33</v>
      </c>
      <c r="D166" t="s">
        <v>565</v>
      </c>
      <c r="E166" t="s">
        <v>566</v>
      </c>
      <c r="H166" t="s">
        <v>166</v>
      </c>
      <c r="I166" t="s">
        <v>578</v>
      </c>
      <c r="J166" t="s">
        <v>167</v>
      </c>
      <c r="K166" t="s">
        <v>41</v>
      </c>
      <c r="L166" t="s">
        <v>568</v>
      </c>
      <c r="N166" t="s">
        <v>569</v>
      </c>
      <c r="O166" t="s">
        <v>579</v>
      </c>
      <c r="Q166" t="s">
        <v>571</v>
      </c>
      <c r="R166" t="s">
        <v>580</v>
      </c>
      <c r="S166" t="s">
        <v>573</v>
      </c>
      <c r="V166" t="s">
        <v>574</v>
      </c>
      <c r="W166" t="s">
        <v>568</v>
      </c>
      <c r="AC166" t="s">
        <v>581</v>
      </c>
      <c r="AD166" t="s">
        <v>582</v>
      </c>
      <c r="AE166" t="s">
        <v>577</v>
      </c>
      <c r="AF166">
        <v>2</v>
      </c>
    </row>
    <row r="167" spans="1:32" x14ac:dyDescent="0.25">
      <c r="A167" t="s">
        <v>33</v>
      </c>
      <c r="D167" t="s">
        <v>565</v>
      </c>
      <c r="E167" t="s">
        <v>566</v>
      </c>
      <c r="H167" t="s">
        <v>153</v>
      </c>
      <c r="I167" t="s">
        <v>583</v>
      </c>
      <c r="J167" t="s">
        <v>154</v>
      </c>
      <c r="K167" t="s">
        <v>155</v>
      </c>
      <c r="L167" t="s">
        <v>568</v>
      </c>
      <c r="N167" t="s">
        <v>569</v>
      </c>
      <c r="O167" t="s">
        <v>584</v>
      </c>
      <c r="R167" t="s">
        <v>585</v>
      </c>
      <c r="S167" t="s">
        <v>573</v>
      </c>
      <c r="V167" t="s">
        <v>574</v>
      </c>
      <c r="W167" t="s">
        <v>568</v>
      </c>
      <c r="AC167" t="s">
        <v>586</v>
      </c>
      <c r="AD167" t="s">
        <v>587</v>
      </c>
      <c r="AE167" t="s">
        <v>577</v>
      </c>
      <c r="AF167">
        <v>3</v>
      </c>
    </row>
    <row r="168" spans="1:32" x14ac:dyDescent="0.25">
      <c r="A168" t="s">
        <v>33</v>
      </c>
      <c r="D168" t="s">
        <v>565</v>
      </c>
      <c r="E168" t="s">
        <v>566</v>
      </c>
      <c r="H168" t="s">
        <v>153</v>
      </c>
      <c r="I168" t="s">
        <v>588</v>
      </c>
      <c r="J168" t="s">
        <v>154</v>
      </c>
      <c r="K168" t="s">
        <v>155</v>
      </c>
      <c r="L168" t="s">
        <v>568</v>
      </c>
      <c r="N168" t="s">
        <v>569</v>
      </c>
      <c r="O168" t="s">
        <v>589</v>
      </c>
      <c r="R168" t="s">
        <v>590</v>
      </c>
      <c r="S168" t="s">
        <v>573</v>
      </c>
      <c r="V168" t="s">
        <v>574</v>
      </c>
      <c r="W168" t="s">
        <v>568</v>
      </c>
      <c r="AC168" t="s">
        <v>591</v>
      </c>
      <c r="AD168" t="s">
        <v>592</v>
      </c>
      <c r="AE168" t="s">
        <v>577</v>
      </c>
      <c r="AF168">
        <v>4</v>
      </c>
    </row>
    <row r="169" spans="1:32" x14ac:dyDescent="0.25">
      <c r="A169" t="s">
        <v>33</v>
      </c>
      <c r="D169" t="s">
        <v>565</v>
      </c>
      <c r="E169" t="s">
        <v>566</v>
      </c>
      <c r="H169" t="s">
        <v>153</v>
      </c>
      <c r="I169" t="s">
        <v>593</v>
      </c>
      <c r="J169" t="s">
        <v>154</v>
      </c>
      <c r="K169" t="s">
        <v>155</v>
      </c>
      <c r="L169" t="s">
        <v>568</v>
      </c>
      <c r="N169" t="s">
        <v>569</v>
      </c>
      <c r="O169" t="s">
        <v>594</v>
      </c>
      <c r="R169" t="s">
        <v>595</v>
      </c>
      <c r="S169" t="s">
        <v>573</v>
      </c>
      <c r="V169" t="s">
        <v>574</v>
      </c>
      <c r="W169" t="s">
        <v>568</v>
      </c>
      <c r="AC169" t="s">
        <v>596</v>
      </c>
      <c r="AD169" t="s">
        <v>597</v>
      </c>
      <c r="AE169" t="s">
        <v>577</v>
      </c>
      <c r="AF169">
        <v>5</v>
      </c>
    </row>
    <row r="170" spans="1:32" x14ac:dyDescent="0.25">
      <c r="A170" t="s">
        <v>33</v>
      </c>
      <c r="D170" t="s">
        <v>565</v>
      </c>
      <c r="E170" t="s">
        <v>566</v>
      </c>
      <c r="H170" t="s">
        <v>153</v>
      </c>
      <c r="I170" t="s">
        <v>598</v>
      </c>
      <c r="J170" t="s">
        <v>154</v>
      </c>
      <c r="K170" t="s">
        <v>155</v>
      </c>
      <c r="L170" t="s">
        <v>568</v>
      </c>
      <c r="N170" t="s">
        <v>569</v>
      </c>
      <c r="O170" t="s">
        <v>599</v>
      </c>
      <c r="R170" t="s">
        <v>600</v>
      </c>
      <c r="S170" t="s">
        <v>573</v>
      </c>
      <c r="V170" t="s">
        <v>574</v>
      </c>
      <c r="W170" t="s">
        <v>568</v>
      </c>
      <c r="AC170" t="s">
        <v>599</v>
      </c>
      <c r="AD170" t="s">
        <v>601</v>
      </c>
      <c r="AE170" t="s">
        <v>577</v>
      </c>
      <c r="AF170">
        <v>6</v>
      </c>
    </row>
    <row r="171" spans="1:32" x14ac:dyDescent="0.25">
      <c r="A171" t="s">
        <v>33</v>
      </c>
      <c r="D171" t="s">
        <v>565</v>
      </c>
      <c r="E171" t="s">
        <v>566</v>
      </c>
      <c r="H171" t="s">
        <v>153</v>
      </c>
      <c r="I171" t="s">
        <v>602</v>
      </c>
      <c r="J171" t="s">
        <v>154</v>
      </c>
      <c r="K171" t="s">
        <v>155</v>
      </c>
      <c r="L171" t="s">
        <v>568</v>
      </c>
      <c r="N171" t="s">
        <v>569</v>
      </c>
      <c r="O171" t="s">
        <v>603</v>
      </c>
      <c r="R171" t="s">
        <v>604</v>
      </c>
      <c r="S171" t="s">
        <v>573</v>
      </c>
      <c r="V171" t="s">
        <v>574</v>
      </c>
      <c r="W171" t="s">
        <v>568</v>
      </c>
      <c r="AC171" t="s">
        <v>605</v>
      </c>
      <c r="AD171" t="s">
        <v>606</v>
      </c>
      <c r="AE171" t="s">
        <v>577</v>
      </c>
      <c r="AF171">
        <v>7</v>
      </c>
    </row>
    <row r="172" spans="1:32" x14ac:dyDescent="0.25">
      <c r="A172" t="s">
        <v>33</v>
      </c>
      <c r="D172" t="s">
        <v>565</v>
      </c>
      <c r="E172" t="s">
        <v>566</v>
      </c>
      <c r="H172" t="s">
        <v>153</v>
      </c>
      <c r="I172" t="s">
        <v>607</v>
      </c>
      <c r="J172" t="s">
        <v>154</v>
      </c>
      <c r="K172" t="s">
        <v>155</v>
      </c>
      <c r="L172" t="s">
        <v>568</v>
      </c>
      <c r="N172" t="s">
        <v>569</v>
      </c>
      <c r="O172" t="s">
        <v>608</v>
      </c>
      <c r="R172" t="s">
        <v>609</v>
      </c>
      <c r="S172" t="s">
        <v>573</v>
      </c>
      <c r="V172" t="s">
        <v>574</v>
      </c>
      <c r="W172" t="s">
        <v>568</v>
      </c>
      <c r="AC172" t="s">
        <v>610</v>
      </c>
      <c r="AD172" t="s">
        <v>611</v>
      </c>
      <c r="AE172" t="s">
        <v>577</v>
      </c>
      <c r="AF172">
        <v>8</v>
      </c>
    </row>
    <row r="173" spans="1:32" x14ac:dyDescent="0.25">
      <c r="A173" t="s">
        <v>33</v>
      </c>
      <c r="D173" t="s">
        <v>565</v>
      </c>
      <c r="E173" t="s">
        <v>566</v>
      </c>
      <c r="H173" t="s">
        <v>153</v>
      </c>
      <c r="I173" t="s">
        <v>612</v>
      </c>
      <c r="J173" t="s">
        <v>154</v>
      </c>
      <c r="K173" t="s">
        <v>155</v>
      </c>
      <c r="L173" t="s">
        <v>568</v>
      </c>
      <c r="N173" t="s">
        <v>569</v>
      </c>
      <c r="O173" t="s">
        <v>613</v>
      </c>
      <c r="R173" t="s">
        <v>614</v>
      </c>
      <c r="S173" t="s">
        <v>573</v>
      </c>
      <c r="V173" t="s">
        <v>574</v>
      </c>
      <c r="W173" t="s">
        <v>568</v>
      </c>
      <c r="AC173" t="s">
        <v>615</v>
      </c>
      <c r="AD173" t="s">
        <v>616</v>
      </c>
      <c r="AE173" t="s">
        <v>577</v>
      </c>
      <c r="AF173">
        <v>9</v>
      </c>
    </row>
    <row r="174" spans="1:32" x14ac:dyDescent="0.25">
      <c r="A174" t="s">
        <v>33</v>
      </c>
      <c r="D174" t="s">
        <v>565</v>
      </c>
      <c r="E174" t="s">
        <v>566</v>
      </c>
      <c r="H174" t="s">
        <v>153</v>
      </c>
      <c r="I174" t="s">
        <v>617</v>
      </c>
      <c r="J174" t="s">
        <v>154</v>
      </c>
      <c r="K174" t="s">
        <v>155</v>
      </c>
      <c r="L174" t="s">
        <v>568</v>
      </c>
      <c r="N174" t="s">
        <v>569</v>
      </c>
      <c r="O174" t="s">
        <v>618</v>
      </c>
      <c r="R174" t="s">
        <v>619</v>
      </c>
      <c r="S174" t="s">
        <v>573</v>
      </c>
      <c r="V174" t="s">
        <v>574</v>
      </c>
      <c r="W174" t="s">
        <v>568</v>
      </c>
      <c r="AC174" t="s">
        <v>620</v>
      </c>
      <c r="AD174" t="s">
        <v>621</v>
      </c>
      <c r="AE174" t="s">
        <v>577</v>
      </c>
      <c r="AF174">
        <v>10</v>
      </c>
    </row>
    <row r="175" spans="1:32" x14ac:dyDescent="0.25">
      <c r="A175" t="s">
        <v>33</v>
      </c>
      <c r="D175" t="s">
        <v>565</v>
      </c>
      <c r="E175" t="s">
        <v>566</v>
      </c>
      <c r="H175" t="s">
        <v>153</v>
      </c>
      <c r="I175" t="s">
        <v>622</v>
      </c>
      <c r="J175" t="s">
        <v>154</v>
      </c>
      <c r="K175" t="s">
        <v>155</v>
      </c>
      <c r="L175" t="s">
        <v>568</v>
      </c>
      <c r="N175" t="s">
        <v>569</v>
      </c>
      <c r="O175" t="s">
        <v>623</v>
      </c>
      <c r="R175" t="s">
        <v>624</v>
      </c>
      <c r="S175" t="s">
        <v>573</v>
      </c>
      <c r="V175" t="s">
        <v>574</v>
      </c>
      <c r="W175" t="s">
        <v>568</v>
      </c>
      <c r="AC175" t="s">
        <v>625</v>
      </c>
      <c r="AD175" t="s">
        <v>626</v>
      </c>
      <c r="AE175" t="s">
        <v>577</v>
      </c>
      <c r="AF175">
        <v>11</v>
      </c>
    </row>
    <row r="176" spans="1:32" x14ac:dyDescent="0.25">
      <c r="A176" t="s">
        <v>33</v>
      </c>
      <c r="D176" t="s">
        <v>565</v>
      </c>
      <c r="E176" t="s">
        <v>566</v>
      </c>
      <c r="H176" t="s">
        <v>153</v>
      </c>
      <c r="I176" t="s">
        <v>627</v>
      </c>
      <c r="J176" t="s">
        <v>154</v>
      </c>
      <c r="K176" t="s">
        <v>155</v>
      </c>
      <c r="L176" t="s">
        <v>568</v>
      </c>
      <c r="N176" t="s">
        <v>569</v>
      </c>
      <c r="O176" t="s">
        <v>628</v>
      </c>
      <c r="R176" t="s">
        <v>629</v>
      </c>
      <c r="S176" t="s">
        <v>573</v>
      </c>
      <c r="V176" t="s">
        <v>574</v>
      </c>
      <c r="W176" t="s">
        <v>568</v>
      </c>
      <c r="AC176" t="s">
        <v>630</v>
      </c>
      <c r="AD176" t="s">
        <v>631</v>
      </c>
      <c r="AE176" t="s">
        <v>577</v>
      </c>
      <c r="AF176">
        <v>12</v>
      </c>
    </row>
    <row r="177" spans="1:32" x14ac:dyDescent="0.25">
      <c r="A177" t="s">
        <v>33</v>
      </c>
      <c r="D177" t="s">
        <v>565</v>
      </c>
      <c r="E177" t="s">
        <v>566</v>
      </c>
      <c r="F177" t="s">
        <v>87</v>
      </c>
      <c r="G177" t="s">
        <v>632</v>
      </c>
      <c r="H177" t="s">
        <v>153</v>
      </c>
      <c r="I177" t="s">
        <v>90</v>
      </c>
      <c r="J177" t="s">
        <v>154</v>
      </c>
      <c r="K177" t="s">
        <v>155</v>
      </c>
      <c r="L177" t="s">
        <v>633</v>
      </c>
      <c r="N177" t="s">
        <v>634</v>
      </c>
      <c r="O177" t="s">
        <v>386</v>
      </c>
      <c r="R177" t="s">
        <v>635</v>
      </c>
      <c r="S177" t="s">
        <v>573</v>
      </c>
      <c r="V177" t="s">
        <v>574</v>
      </c>
      <c r="W177" t="s">
        <v>568</v>
      </c>
      <c r="AC177" t="s">
        <v>636</v>
      </c>
      <c r="AD177" t="s">
        <v>637</v>
      </c>
      <c r="AE177" t="s">
        <v>577</v>
      </c>
      <c r="AF177">
        <v>13</v>
      </c>
    </row>
    <row r="178" spans="1:32" x14ac:dyDescent="0.25">
      <c r="A178" t="s">
        <v>33</v>
      </c>
      <c r="D178" t="s">
        <v>565</v>
      </c>
      <c r="E178" t="s">
        <v>566</v>
      </c>
      <c r="F178" t="s">
        <v>87</v>
      </c>
      <c r="G178" t="s">
        <v>632</v>
      </c>
      <c r="H178" t="s">
        <v>153</v>
      </c>
      <c r="I178" t="s">
        <v>100</v>
      </c>
      <c r="J178" t="s">
        <v>154</v>
      </c>
      <c r="K178" t="s">
        <v>155</v>
      </c>
      <c r="L178" t="s">
        <v>633</v>
      </c>
      <c r="N178" t="s">
        <v>634</v>
      </c>
      <c r="O178" t="s">
        <v>448</v>
      </c>
      <c r="R178" t="s">
        <v>638</v>
      </c>
      <c r="S178" t="s">
        <v>573</v>
      </c>
      <c r="V178" t="s">
        <v>574</v>
      </c>
      <c r="W178" t="s">
        <v>568</v>
      </c>
      <c r="AC178" t="s">
        <v>639</v>
      </c>
      <c r="AD178" t="s">
        <v>640</v>
      </c>
      <c r="AE178" t="s">
        <v>577</v>
      </c>
      <c r="AF178">
        <v>14</v>
      </c>
    </row>
    <row r="179" spans="1:32" x14ac:dyDescent="0.25">
      <c r="A179" t="s">
        <v>33</v>
      </c>
      <c r="D179" t="s">
        <v>565</v>
      </c>
      <c r="E179" t="s">
        <v>566</v>
      </c>
      <c r="F179" t="s">
        <v>87</v>
      </c>
      <c r="G179" t="s">
        <v>641</v>
      </c>
      <c r="H179" t="s">
        <v>153</v>
      </c>
      <c r="I179" t="s">
        <v>90</v>
      </c>
      <c r="J179" t="s">
        <v>154</v>
      </c>
      <c r="K179" t="s">
        <v>155</v>
      </c>
      <c r="L179" t="s">
        <v>642</v>
      </c>
      <c r="N179" t="s">
        <v>643</v>
      </c>
      <c r="O179" t="s">
        <v>213</v>
      </c>
      <c r="R179" t="s">
        <v>644</v>
      </c>
      <c r="S179" t="s">
        <v>573</v>
      </c>
      <c r="V179" t="s">
        <v>574</v>
      </c>
      <c r="W179" t="s">
        <v>568</v>
      </c>
      <c r="AC179" t="s">
        <v>642</v>
      </c>
      <c r="AD179" t="s">
        <v>645</v>
      </c>
      <c r="AE179" t="s">
        <v>577</v>
      </c>
      <c r="AF179">
        <v>15</v>
      </c>
    </row>
    <row r="180" spans="1:32" x14ac:dyDescent="0.25">
      <c r="A180" t="s">
        <v>33</v>
      </c>
      <c r="D180" t="s">
        <v>565</v>
      </c>
      <c r="E180" t="s">
        <v>566</v>
      </c>
      <c r="F180" t="s">
        <v>87</v>
      </c>
      <c r="G180" t="s">
        <v>646</v>
      </c>
      <c r="H180" t="s">
        <v>153</v>
      </c>
      <c r="I180" t="s">
        <v>90</v>
      </c>
      <c r="J180" t="s">
        <v>154</v>
      </c>
      <c r="K180" t="s">
        <v>155</v>
      </c>
      <c r="L180" t="s">
        <v>647</v>
      </c>
      <c r="N180" t="s">
        <v>648</v>
      </c>
      <c r="O180" t="s">
        <v>213</v>
      </c>
      <c r="R180" t="s">
        <v>649</v>
      </c>
      <c r="S180" t="s">
        <v>573</v>
      </c>
      <c r="V180" t="s">
        <v>574</v>
      </c>
      <c r="W180" t="s">
        <v>568</v>
      </c>
      <c r="AC180" t="s">
        <v>647</v>
      </c>
      <c r="AD180" t="s">
        <v>650</v>
      </c>
      <c r="AE180" t="s">
        <v>577</v>
      </c>
      <c r="AF180">
        <v>16</v>
      </c>
    </row>
    <row r="181" spans="1:32" x14ac:dyDescent="0.25">
      <c r="A181" t="s">
        <v>33</v>
      </c>
      <c r="D181" t="s">
        <v>565</v>
      </c>
      <c r="E181" t="s">
        <v>566</v>
      </c>
      <c r="F181" t="s">
        <v>87</v>
      </c>
      <c r="G181" t="s">
        <v>651</v>
      </c>
      <c r="H181" t="s">
        <v>153</v>
      </c>
      <c r="I181" t="s">
        <v>90</v>
      </c>
      <c r="J181" t="s">
        <v>154</v>
      </c>
      <c r="K181" t="s">
        <v>155</v>
      </c>
      <c r="L181" t="s">
        <v>652</v>
      </c>
      <c r="N181" t="s">
        <v>653</v>
      </c>
      <c r="O181" t="s">
        <v>213</v>
      </c>
      <c r="R181" t="s">
        <v>654</v>
      </c>
      <c r="S181" t="s">
        <v>573</v>
      </c>
      <c r="V181" t="s">
        <v>574</v>
      </c>
      <c r="W181" t="s">
        <v>568</v>
      </c>
      <c r="AC181" t="s">
        <v>652</v>
      </c>
      <c r="AD181" t="s">
        <v>655</v>
      </c>
      <c r="AE181" t="s">
        <v>577</v>
      </c>
      <c r="AF181">
        <v>17</v>
      </c>
    </row>
    <row r="182" spans="1:32" x14ac:dyDescent="0.25">
      <c r="A182" t="s">
        <v>33</v>
      </c>
      <c r="D182" t="s">
        <v>565</v>
      </c>
      <c r="E182" t="s">
        <v>566</v>
      </c>
      <c r="F182" t="s">
        <v>87</v>
      </c>
      <c r="G182" t="s">
        <v>656</v>
      </c>
      <c r="H182" t="s">
        <v>153</v>
      </c>
      <c r="I182" t="s">
        <v>90</v>
      </c>
      <c r="J182" t="s">
        <v>154</v>
      </c>
      <c r="K182" t="s">
        <v>155</v>
      </c>
      <c r="L182" t="s">
        <v>657</v>
      </c>
      <c r="N182" t="s">
        <v>658</v>
      </c>
      <c r="O182" t="s">
        <v>213</v>
      </c>
      <c r="R182" t="s">
        <v>659</v>
      </c>
      <c r="S182" t="s">
        <v>573</v>
      </c>
      <c r="V182" t="s">
        <v>574</v>
      </c>
      <c r="W182" t="s">
        <v>568</v>
      </c>
      <c r="AC182" t="s">
        <v>657</v>
      </c>
      <c r="AD182" t="s">
        <v>660</v>
      </c>
      <c r="AE182" t="s">
        <v>577</v>
      </c>
      <c r="AF182">
        <v>18</v>
      </c>
    </row>
    <row r="183" spans="1:32" x14ac:dyDescent="0.25">
      <c r="A183" t="s">
        <v>33</v>
      </c>
      <c r="D183" t="s">
        <v>565</v>
      </c>
      <c r="E183" t="s">
        <v>566</v>
      </c>
      <c r="F183" t="s">
        <v>87</v>
      </c>
      <c r="G183" t="s">
        <v>661</v>
      </c>
      <c r="H183" t="s">
        <v>153</v>
      </c>
      <c r="I183" t="s">
        <v>90</v>
      </c>
      <c r="J183" t="s">
        <v>154</v>
      </c>
      <c r="K183" t="s">
        <v>155</v>
      </c>
      <c r="L183" t="s">
        <v>662</v>
      </c>
      <c r="N183" t="s">
        <v>95</v>
      </c>
      <c r="O183" t="s">
        <v>213</v>
      </c>
      <c r="R183" t="s">
        <v>663</v>
      </c>
      <c r="S183" t="s">
        <v>573</v>
      </c>
      <c r="V183" t="s">
        <v>574</v>
      </c>
      <c r="W183" t="s">
        <v>568</v>
      </c>
      <c r="AC183" t="s">
        <v>662</v>
      </c>
      <c r="AD183" t="s">
        <v>215</v>
      </c>
      <c r="AE183" t="s">
        <v>577</v>
      </c>
      <c r="AF183">
        <v>19</v>
      </c>
    </row>
    <row r="184" spans="1:32" x14ac:dyDescent="0.25">
      <c r="A184" t="s">
        <v>33</v>
      </c>
      <c r="D184" t="s">
        <v>565</v>
      </c>
      <c r="E184" t="s">
        <v>566</v>
      </c>
      <c r="F184" t="s">
        <v>87</v>
      </c>
      <c r="G184" t="s">
        <v>664</v>
      </c>
      <c r="H184" t="s">
        <v>153</v>
      </c>
      <c r="I184" t="s">
        <v>100</v>
      </c>
      <c r="J184" t="s">
        <v>154</v>
      </c>
      <c r="K184" t="s">
        <v>155</v>
      </c>
      <c r="L184" t="s">
        <v>665</v>
      </c>
      <c r="N184" t="s">
        <v>666</v>
      </c>
      <c r="O184" t="s">
        <v>213</v>
      </c>
      <c r="R184" t="s">
        <v>667</v>
      </c>
      <c r="S184" t="s">
        <v>573</v>
      </c>
      <c r="V184" t="s">
        <v>574</v>
      </c>
      <c r="W184" t="s">
        <v>568</v>
      </c>
      <c r="AC184" t="s">
        <v>665</v>
      </c>
      <c r="AD184" t="s">
        <v>668</v>
      </c>
      <c r="AE184" t="s">
        <v>577</v>
      </c>
      <c r="AF184">
        <v>20</v>
      </c>
    </row>
    <row r="185" spans="1:32" x14ac:dyDescent="0.25">
      <c r="A185" t="s">
        <v>33</v>
      </c>
      <c r="D185" t="s">
        <v>565</v>
      </c>
      <c r="E185" t="s">
        <v>566</v>
      </c>
      <c r="F185" t="s">
        <v>87</v>
      </c>
      <c r="G185" t="s">
        <v>669</v>
      </c>
      <c r="H185" t="s">
        <v>153</v>
      </c>
      <c r="I185" t="s">
        <v>90</v>
      </c>
      <c r="J185" t="s">
        <v>154</v>
      </c>
      <c r="K185" t="s">
        <v>155</v>
      </c>
      <c r="L185" t="s">
        <v>670</v>
      </c>
      <c r="N185" t="s">
        <v>671</v>
      </c>
      <c r="O185" t="s">
        <v>386</v>
      </c>
      <c r="R185" t="s">
        <v>672</v>
      </c>
      <c r="S185" t="s">
        <v>573</v>
      </c>
      <c r="V185" t="s">
        <v>574</v>
      </c>
      <c r="W185" t="s">
        <v>568</v>
      </c>
      <c r="AC185" t="s">
        <v>673</v>
      </c>
      <c r="AD185" t="s">
        <v>674</v>
      </c>
      <c r="AE185" t="s">
        <v>577</v>
      </c>
      <c r="AF185">
        <v>21</v>
      </c>
    </row>
    <row r="186" spans="1:32" x14ac:dyDescent="0.25">
      <c r="A186" t="s">
        <v>33</v>
      </c>
      <c r="D186" t="s">
        <v>565</v>
      </c>
      <c r="E186" t="s">
        <v>566</v>
      </c>
      <c r="F186" t="s">
        <v>87</v>
      </c>
      <c r="G186" t="s">
        <v>675</v>
      </c>
      <c r="H186" t="s">
        <v>153</v>
      </c>
      <c r="I186" t="s">
        <v>90</v>
      </c>
      <c r="J186" t="s">
        <v>154</v>
      </c>
      <c r="K186" t="s">
        <v>155</v>
      </c>
      <c r="L186" t="s">
        <v>676</v>
      </c>
      <c r="N186" t="s">
        <v>677</v>
      </c>
      <c r="O186" t="s">
        <v>386</v>
      </c>
      <c r="R186" t="s">
        <v>678</v>
      </c>
      <c r="S186" t="s">
        <v>573</v>
      </c>
      <c r="V186" t="s">
        <v>574</v>
      </c>
      <c r="W186" t="s">
        <v>568</v>
      </c>
      <c r="AC186" t="s">
        <v>679</v>
      </c>
      <c r="AD186" t="s">
        <v>680</v>
      </c>
      <c r="AE186" t="s">
        <v>577</v>
      </c>
      <c r="AF186">
        <v>22</v>
      </c>
    </row>
    <row r="187" spans="1:32" x14ac:dyDescent="0.25">
      <c r="A187" t="s">
        <v>33</v>
      </c>
      <c r="D187" t="s">
        <v>565</v>
      </c>
      <c r="E187" t="s">
        <v>566</v>
      </c>
      <c r="F187" t="s">
        <v>87</v>
      </c>
      <c r="G187" t="s">
        <v>681</v>
      </c>
      <c r="H187" t="s">
        <v>153</v>
      </c>
      <c r="I187" t="s">
        <v>90</v>
      </c>
      <c r="J187" t="s">
        <v>154</v>
      </c>
      <c r="K187" t="s">
        <v>155</v>
      </c>
      <c r="L187" t="s">
        <v>682</v>
      </c>
      <c r="N187" t="s">
        <v>683</v>
      </c>
      <c r="O187" t="s">
        <v>386</v>
      </c>
      <c r="R187" t="s">
        <v>684</v>
      </c>
      <c r="S187" t="s">
        <v>573</v>
      </c>
      <c r="V187" t="s">
        <v>574</v>
      </c>
      <c r="W187" t="s">
        <v>568</v>
      </c>
      <c r="AC187" t="s">
        <v>685</v>
      </c>
      <c r="AD187" t="s">
        <v>686</v>
      </c>
      <c r="AE187" t="s">
        <v>577</v>
      </c>
      <c r="AF187">
        <v>23</v>
      </c>
    </row>
    <row r="188" spans="1:32" x14ac:dyDescent="0.25">
      <c r="A188" t="s">
        <v>33</v>
      </c>
      <c r="D188" t="s">
        <v>565</v>
      </c>
      <c r="E188" t="s">
        <v>566</v>
      </c>
      <c r="F188" t="s">
        <v>87</v>
      </c>
      <c r="G188" t="s">
        <v>369</v>
      </c>
      <c r="H188" t="s">
        <v>153</v>
      </c>
      <c r="I188" t="s">
        <v>90</v>
      </c>
      <c r="J188" t="s">
        <v>154</v>
      </c>
      <c r="K188" t="s">
        <v>155</v>
      </c>
      <c r="L188" t="s">
        <v>370</v>
      </c>
      <c r="N188" t="s">
        <v>687</v>
      </c>
      <c r="O188" t="s">
        <v>386</v>
      </c>
      <c r="R188" t="s">
        <v>688</v>
      </c>
      <c r="S188" t="s">
        <v>573</v>
      </c>
      <c r="V188" t="s">
        <v>574</v>
      </c>
      <c r="W188" t="s">
        <v>568</v>
      </c>
      <c r="AC188" t="s">
        <v>689</v>
      </c>
      <c r="AD188" t="s">
        <v>690</v>
      </c>
      <c r="AE188" t="s">
        <v>577</v>
      </c>
      <c r="AF188">
        <v>24</v>
      </c>
    </row>
    <row r="189" spans="1:32" x14ac:dyDescent="0.25">
      <c r="A189" t="s">
        <v>33</v>
      </c>
      <c r="D189" t="s">
        <v>565</v>
      </c>
      <c r="E189" t="s">
        <v>566</v>
      </c>
      <c r="F189" t="s">
        <v>87</v>
      </c>
      <c r="G189" t="s">
        <v>369</v>
      </c>
      <c r="H189" t="s">
        <v>153</v>
      </c>
      <c r="I189" t="s">
        <v>100</v>
      </c>
      <c r="J189" t="s">
        <v>154</v>
      </c>
      <c r="K189" t="s">
        <v>155</v>
      </c>
      <c r="L189" t="s">
        <v>370</v>
      </c>
      <c r="N189" t="s">
        <v>687</v>
      </c>
      <c r="O189" t="s">
        <v>448</v>
      </c>
      <c r="R189" t="s">
        <v>691</v>
      </c>
      <c r="S189" t="s">
        <v>573</v>
      </c>
      <c r="V189" t="s">
        <v>574</v>
      </c>
      <c r="W189" t="s">
        <v>568</v>
      </c>
      <c r="AC189" t="s">
        <v>692</v>
      </c>
      <c r="AD189" t="s">
        <v>693</v>
      </c>
      <c r="AE189" t="s">
        <v>577</v>
      </c>
      <c r="AF189">
        <v>25</v>
      </c>
    </row>
    <row r="190" spans="1:32" x14ac:dyDescent="0.25">
      <c r="A190" t="s">
        <v>33</v>
      </c>
      <c r="D190" t="s">
        <v>565</v>
      </c>
      <c r="E190" t="s">
        <v>566</v>
      </c>
      <c r="F190" t="s">
        <v>87</v>
      </c>
      <c r="G190" t="s">
        <v>457</v>
      </c>
      <c r="H190" t="s">
        <v>153</v>
      </c>
      <c r="I190" t="s">
        <v>90</v>
      </c>
      <c r="J190" t="s">
        <v>154</v>
      </c>
      <c r="K190" t="s">
        <v>155</v>
      </c>
      <c r="L190" t="s">
        <v>458</v>
      </c>
      <c r="N190" t="s">
        <v>694</v>
      </c>
      <c r="O190" t="s">
        <v>386</v>
      </c>
      <c r="R190" t="s">
        <v>695</v>
      </c>
      <c r="S190" t="s">
        <v>573</v>
      </c>
      <c r="V190" t="s">
        <v>574</v>
      </c>
      <c r="W190" t="s">
        <v>568</v>
      </c>
      <c r="AC190" t="s">
        <v>696</v>
      </c>
      <c r="AD190" t="s">
        <v>697</v>
      </c>
      <c r="AE190" t="s">
        <v>577</v>
      </c>
      <c r="AF190">
        <v>26</v>
      </c>
    </row>
    <row r="191" spans="1:32" x14ac:dyDescent="0.25">
      <c r="A191" t="s">
        <v>33</v>
      </c>
      <c r="D191" t="s">
        <v>565</v>
      </c>
      <c r="E191" t="s">
        <v>566</v>
      </c>
      <c r="F191" t="s">
        <v>87</v>
      </c>
      <c r="G191" t="s">
        <v>457</v>
      </c>
      <c r="H191" t="s">
        <v>153</v>
      </c>
      <c r="I191" t="s">
        <v>100</v>
      </c>
      <c r="J191" t="s">
        <v>154</v>
      </c>
      <c r="K191" t="s">
        <v>155</v>
      </c>
      <c r="L191" t="s">
        <v>458</v>
      </c>
      <c r="N191" t="s">
        <v>694</v>
      </c>
      <c r="O191" t="s">
        <v>448</v>
      </c>
      <c r="R191" t="s">
        <v>698</v>
      </c>
      <c r="S191" t="s">
        <v>573</v>
      </c>
      <c r="V191" t="s">
        <v>574</v>
      </c>
      <c r="W191" t="s">
        <v>568</v>
      </c>
      <c r="AC191" t="s">
        <v>699</v>
      </c>
      <c r="AD191" t="s">
        <v>700</v>
      </c>
      <c r="AE191" t="s">
        <v>577</v>
      </c>
      <c r="AF191">
        <v>27</v>
      </c>
    </row>
    <row r="192" spans="1:32" x14ac:dyDescent="0.25">
      <c r="A192" t="s">
        <v>33</v>
      </c>
      <c r="D192" t="s">
        <v>565</v>
      </c>
      <c r="E192" t="s">
        <v>566</v>
      </c>
      <c r="F192" t="s">
        <v>87</v>
      </c>
      <c r="G192" t="s">
        <v>701</v>
      </c>
      <c r="H192" t="s">
        <v>153</v>
      </c>
      <c r="I192" t="s">
        <v>90</v>
      </c>
      <c r="J192" t="s">
        <v>154</v>
      </c>
      <c r="K192" t="s">
        <v>155</v>
      </c>
      <c r="L192" t="s">
        <v>702</v>
      </c>
      <c r="N192" t="s">
        <v>703</v>
      </c>
      <c r="O192" t="s">
        <v>386</v>
      </c>
      <c r="R192" t="s">
        <v>704</v>
      </c>
      <c r="S192" t="s">
        <v>573</v>
      </c>
      <c r="V192" t="s">
        <v>574</v>
      </c>
      <c r="W192" t="s">
        <v>568</v>
      </c>
      <c r="AC192" t="s">
        <v>705</v>
      </c>
      <c r="AD192" t="s">
        <v>706</v>
      </c>
      <c r="AE192" t="s">
        <v>577</v>
      </c>
      <c r="AF192">
        <v>28</v>
      </c>
    </row>
    <row r="193" spans="1:32" x14ac:dyDescent="0.25">
      <c r="A193" t="s">
        <v>33</v>
      </c>
      <c r="D193" t="s">
        <v>565</v>
      </c>
      <c r="E193" t="s">
        <v>566</v>
      </c>
      <c r="F193" t="s">
        <v>87</v>
      </c>
      <c r="G193" t="s">
        <v>701</v>
      </c>
      <c r="H193" t="s">
        <v>153</v>
      </c>
      <c r="I193" t="s">
        <v>100</v>
      </c>
      <c r="J193" t="s">
        <v>154</v>
      </c>
      <c r="K193" t="s">
        <v>155</v>
      </c>
      <c r="L193" t="s">
        <v>702</v>
      </c>
      <c r="N193" t="s">
        <v>703</v>
      </c>
      <c r="O193" t="s">
        <v>448</v>
      </c>
      <c r="R193" t="s">
        <v>707</v>
      </c>
      <c r="S193" t="s">
        <v>573</v>
      </c>
      <c r="V193" t="s">
        <v>574</v>
      </c>
      <c r="W193" t="s">
        <v>568</v>
      </c>
      <c r="AC193" t="s">
        <v>708</v>
      </c>
      <c r="AD193" t="s">
        <v>709</v>
      </c>
      <c r="AE193" t="s">
        <v>577</v>
      </c>
      <c r="AF193">
        <v>29</v>
      </c>
    </row>
    <row r="194" spans="1:32" x14ac:dyDescent="0.25">
      <c r="A194" t="s">
        <v>33</v>
      </c>
      <c r="D194" t="s">
        <v>565</v>
      </c>
      <c r="E194" t="s">
        <v>566</v>
      </c>
      <c r="F194" t="s">
        <v>87</v>
      </c>
      <c r="G194" t="s">
        <v>710</v>
      </c>
      <c r="H194" t="s">
        <v>153</v>
      </c>
      <c r="I194" t="s">
        <v>100</v>
      </c>
      <c r="J194" t="s">
        <v>154</v>
      </c>
      <c r="K194" t="s">
        <v>155</v>
      </c>
      <c r="L194" t="s">
        <v>711</v>
      </c>
      <c r="N194" t="s">
        <v>712</v>
      </c>
      <c r="O194" t="s">
        <v>448</v>
      </c>
      <c r="R194" t="s">
        <v>713</v>
      </c>
      <c r="S194" t="s">
        <v>573</v>
      </c>
      <c r="V194" t="s">
        <v>574</v>
      </c>
      <c r="W194" t="s">
        <v>568</v>
      </c>
      <c r="AC194" t="s">
        <v>714</v>
      </c>
      <c r="AD194" t="s">
        <v>715</v>
      </c>
      <c r="AE194" t="s">
        <v>577</v>
      </c>
      <c r="AF194">
        <v>30</v>
      </c>
    </row>
    <row r="195" spans="1:32" x14ac:dyDescent="0.25">
      <c r="A195" t="s">
        <v>33</v>
      </c>
      <c r="D195" t="s">
        <v>565</v>
      </c>
      <c r="E195" t="s">
        <v>566</v>
      </c>
      <c r="F195" t="s">
        <v>87</v>
      </c>
      <c r="G195" t="s">
        <v>710</v>
      </c>
      <c r="H195" t="s">
        <v>153</v>
      </c>
      <c r="I195" t="s">
        <v>716</v>
      </c>
      <c r="J195" t="s">
        <v>154</v>
      </c>
      <c r="K195" t="s">
        <v>155</v>
      </c>
      <c r="L195" t="s">
        <v>711</v>
      </c>
      <c r="N195" t="s">
        <v>712</v>
      </c>
      <c r="O195" t="s">
        <v>717</v>
      </c>
      <c r="R195" t="s">
        <v>718</v>
      </c>
      <c r="S195" t="s">
        <v>573</v>
      </c>
      <c r="V195" t="s">
        <v>574</v>
      </c>
      <c r="W195" t="s">
        <v>568</v>
      </c>
      <c r="AC195" t="s">
        <v>719</v>
      </c>
      <c r="AD195" t="s">
        <v>720</v>
      </c>
      <c r="AE195" t="s">
        <v>577</v>
      </c>
      <c r="AF195">
        <v>31</v>
      </c>
    </row>
    <row r="196" spans="1:32" x14ac:dyDescent="0.25">
      <c r="A196" t="s">
        <v>33</v>
      </c>
      <c r="D196" t="s">
        <v>565</v>
      </c>
      <c r="E196" t="s">
        <v>566</v>
      </c>
      <c r="F196" t="s">
        <v>87</v>
      </c>
      <c r="G196" t="s">
        <v>710</v>
      </c>
      <c r="H196" t="s">
        <v>153</v>
      </c>
      <c r="I196" t="s">
        <v>721</v>
      </c>
      <c r="J196" t="s">
        <v>154</v>
      </c>
      <c r="K196" t="s">
        <v>155</v>
      </c>
      <c r="L196" t="s">
        <v>711</v>
      </c>
      <c r="N196" t="s">
        <v>712</v>
      </c>
      <c r="O196" t="s">
        <v>722</v>
      </c>
      <c r="R196" t="s">
        <v>723</v>
      </c>
      <c r="S196" t="s">
        <v>573</v>
      </c>
      <c r="V196" t="s">
        <v>574</v>
      </c>
      <c r="W196" t="s">
        <v>568</v>
      </c>
      <c r="AC196" t="s">
        <v>724</v>
      </c>
      <c r="AD196" t="s">
        <v>725</v>
      </c>
      <c r="AE196" t="s">
        <v>577</v>
      </c>
      <c r="AF196">
        <v>32</v>
      </c>
    </row>
    <row r="197" spans="1:32" x14ac:dyDescent="0.25">
      <c r="A197" t="s">
        <v>33</v>
      </c>
      <c r="D197" t="s">
        <v>565</v>
      </c>
      <c r="E197" t="s">
        <v>566</v>
      </c>
      <c r="F197" t="s">
        <v>87</v>
      </c>
      <c r="G197" t="s">
        <v>726</v>
      </c>
      <c r="H197" t="s">
        <v>153</v>
      </c>
      <c r="I197" t="s">
        <v>90</v>
      </c>
      <c r="J197" t="s">
        <v>154</v>
      </c>
      <c r="K197" t="s">
        <v>155</v>
      </c>
      <c r="L197" t="s">
        <v>727</v>
      </c>
      <c r="N197" t="s">
        <v>728</v>
      </c>
      <c r="O197" t="s">
        <v>386</v>
      </c>
      <c r="R197" t="s">
        <v>729</v>
      </c>
      <c r="S197" t="s">
        <v>573</v>
      </c>
      <c r="V197" t="s">
        <v>574</v>
      </c>
      <c r="W197" t="s">
        <v>568</v>
      </c>
      <c r="AC197" t="s">
        <v>730</v>
      </c>
      <c r="AD197" t="s">
        <v>731</v>
      </c>
      <c r="AE197" t="s">
        <v>577</v>
      </c>
      <c r="AF197">
        <v>33</v>
      </c>
    </row>
    <row r="198" spans="1:32" x14ac:dyDescent="0.25">
      <c r="A198" t="s">
        <v>33</v>
      </c>
      <c r="D198" t="s">
        <v>565</v>
      </c>
      <c r="E198" t="s">
        <v>566</v>
      </c>
      <c r="F198" t="s">
        <v>87</v>
      </c>
      <c r="G198" t="s">
        <v>726</v>
      </c>
      <c r="H198" t="s">
        <v>153</v>
      </c>
      <c r="I198" t="s">
        <v>100</v>
      </c>
      <c r="J198" t="s">
        <v>154</v>
      </c>
      <c r="K198" t="s">
        <v>155</v>
      </c>
      <c r="L198" t="s">
        <v>727</v>
      </c>
      <c r="N198" t="s">
        <v>728</v>
      </c>
      <c r="O198" t="s">
        <v>448</v>
      </c>
      <c r="R198" t="s">
        <v>732</v>
      </c>
      <c r="S198" t="s">
        <v>573</v>
      </c>
      <c r="V198" t="s">
        <v>574</v>
      </c>
      <c r="W198" t="s">
        <v>568</v>
      </c>
      <c r="AC198" t="s">
        <v>733</v>
      </c>
      <c r="AD198" t="s">
        <v>734</v>
      </c>
      <c r="AE198" t="s">
        <v>577</v>
      </c>
      <c r="AF198">
        <v>34</v>
      </c>
    </row>
    <row r="199" spans="1:32" x14ac:dyDescent="0.25">
      <c r="A199" t="s">
        <v>33</v>
      </c>
      <c r="D199" t="s">
        <v>565</v>
      </c>
      <c r="E199" t="s">
        <v>566</v>
      </c>
      <c r="F199" t="s">
        <v>87</v>
      </c>
      <c r="G199" t="s">
        <v>735</v>
      </c>
      <c r="H199" t="s">
        <v>153</v>
      </c>
      <c r="I199" t="s">
        <v>90</v>
      </c>
      <c r="J199" t="s">
        <v>154</v>
      </c>
      <c r="K199" t="s">
        <v>155</v>
      </c>
      <c r="L199" t="s">
        <v>736</v>
      </c>
      <c r="N199" t="s">
        <v>737</v>
      </c>
      <c r="O199" t="s">
        <v>386</v>
      </c>
      <c r="R199" t="s">
        <v>738</v>
      </c>
      <c r="S199" t="s">
        <v>573</v>
      </c>
      <c r="V199" t="s">
        <v>574</v>
      </c>
      <c r="W199" t="s">
        <v>568</v>
      </c>
      <c r="AC199" t="s">
        <v>739</v>
      </c>
      <c r="AD199" t="s">
        <v>740</v>
      </c>
      <c r="AE199" t="s">
        <v>577</v>
      </c>
      <c r="AF199">
        <v>35</v>
      </c>
    </row>
    <row r="200" spans="1:32" x14ac:dyDescent="0.25">
      <c r="A200" t="s">
        <v>33</v>
      </c>
      <c r="D200" t="s">
        <v>565</v>
      </c>
      <c r="E200" t="s">
        <v>566</v>
      </c>
      <c r="F200" t="s">
        <v>87</v>
      </c>
      <c r="G200" t="s">
        <v>735</v>
      </c>
      <c r="H200" t="s">
        <v>153</v>
      </c>
      <c r="I200" t="s">
        <v>144</v>
      </c>
      <c r="J200" t="s">
        <v>154</v>
      </c>
      <c r="K200" t="s">
        <v>155</v>
      </c>
      <c r="L200" t="s">
        <v>736</v>
      </c>
      <c r="N200" t="s">
        <v>737</v>
      </c>
      <c r="O200" t="s">
        <v>156</v>
      </c>
      <c r="R200" t="s">
        <v>741</v>
      </c>
      <c r="S200" t="s">
        <v>573</v>
      </c>
      <c r="V200" t="s">
        <v>574</v>
      </c>
      <c r="W200" t="s">
        <v>568</v>
      </c>
      <c r="AD200" t="s">
        <v>742</v>
      </c>
    </row>
    <row r="201" spans="1:32" x14ac:dyDescent="0.25">
      <c r="A201" t="s">
        <v>33</v>
      </c>
      <c r="D201" t="s">
        <v>565</v>
      </c>
      <c r="E201" t="s">
        <v>566</v>
      </c>
      <c r="F201" t="s">
        <v>87</v>
      </c>
      <c r="G201" t="s">
        <v>735</v>
      </c>
      <c r="H201" t="s">
        <v>89</v>
      </c>
      <c r="I201" t="s">
        <v>144</v>
      </c>
      <c r="J201" t="s">
        <v>91</v>
      </c>
      <c r="K201" t="s">
        <v>92</v>
      </c>
      <c r="L201" t="s">
        <v>736</v>
      </c>
      <c r="M201" t="s">
        <v>94</v>
      </c>
      <c r="N201" t="s">
        <v>737</v>
      </c>
      <c r="O201" t="s">
        <v>150</v>
      </c>
      <c r="P201">
        <v>1E-3</v>
      </c>
      <c r="R201" t="s">
        <v>743</v>
      </c>
      <c r="S201" t="s">
        <v>573</v>
      </c>
      <c r="V201" t="s">
        <v>574</v>
      </c>
      <c r="W201" t="s">
        <v>568</v>
      </c>
      <c r="AD201" t="s">
        <v>744</v>
      </c>
    </row>
    <row r="202" spans="1:32" x14ac:dyDescent="0.25">
      <c r="A202" t="s">
        <v>33</v>
      </c>
      <c r="D202" t="s">
        <v>565</v>
      </c>
      <c r="E202" t="s">
        <v>566</v>
      </c>
      <c r="F202" t="s">
        <v>87</v>
      </c>
      <c r="G202" t="s">
        <v>735</v>
      </c>
      <c r="H202" t="s">
        <v>143</v>
      </c>
      <c r="I202" t="s">
        <v>144</v>
      </c>
      <c r="J202" t="s">
        <v>745</v>
      </c>
      <c r="K202" t="s">
        <v>262</v>
      </c>
      <c r="L202" t="s">
        <v>736</v>
      </c>
      <c r="M202" t="s">
        <v>746</v>
      </c>
      <c r="N202" t="s">
        <v>737</v>
      </c>
      <c r="O202" t="s">
        <v>147</v>
      </c>
      <c r="R202" t="s">
        <v>747</v>
      </c>
      <c r="S202" t="s">
        <v>573</v>
      </c>
      <c r="V202" t="s">
        <v>574</v>
      </c>
      <c r="W202" t="s">
        <v>568</v>
      </c>
      <c r="AD202" t="s">
        <v>748</v>
      </c>
    </row>
    <row r="203" spans="1:32" x14ac:dyDescent="0.25">
      <c r="A203" t="s">
        <v>33</v>
      </c>
      <c r="D203" t="s">
        <v>565</v>
      </c>
      <c r="E203" t="s">
        <v>566</v>
      </c>
      <c r="F203" t="s">
        <v>87</v>
      </c>
      <c r="G203" t="s">
        <v>735</v>
      </c>
      <c r="H203" t="s">
        <v>89</v>
      </c>
      <c r="I203" t="s">
        <v>90</v>
      </c>
      <c r="J203" t="s">
        <v>91</v>
      </c>
      <c r="K203" t="s">
        <v>92</v>
      </c>
      <c r="L203" t="s">
        <v>736</v>
      </c>
      <c r="M203" t="s">
        <v>94</v>
      </c>
      <c r="N203" t="s">
        <v>737</v>
      </c>
      <c r="O203" t="s">
        <v>383</v>
      </c>
      <c r="P203">
        <v>1E-3</v>
      </c>
      <c r="R203" t="s">
        <v>749</v>
      </c>
      <c r="S203" t="s">
        <v>573</v>
      </c>
      <c r="V203" t="s">
        <v>574</v>
      </c>
      <c r="W203" t="s">
        <v>568</v>
      </c>
      <c r="AD203" t="s">
        <v>750</v>
      </c>
    </row>
    <row r="204" spans="1:32" x14ac:dyDescent="0.25">
      <c r="A204" t="s">
        <v>33</v>
      </c>
      <c r="D204" t="s">
        <v>565</v>
      </c>
      <c r="E204" t="s">
        <v>566</v>
      </c>
      <c r="F204" t="s">
        <v>87</v>
      </c>
      <c r="G204" t="s">
        <v>735</v>
      </c>
      <c r="H204" t="s">
        <v>143</v>
      </c>
      <c r="I204" t="s">
        <v>90</v>
      </c>
      <c r="J204" t="s">
        <v>745</v>
      </c>
      <c r="K204" t="s">
        <v>262</v>
      </c>
      <c r="L204" t="s">
        <v>736</v>
      </c>
      <c r="M204" t="s">
        <v>746</v>
      </c>
      <c r="N204" t="s">
        <v>737</v>
      </c>
      <c r="O204" t="s">
        <v>380</v>
      </c>
      <c r="R204" t="s">
        <v>751</v>
      </c>
      <c r="S204" t="s">
        <v>573</v>
      </c>
      <c r="V204" t="s">
        <v>574</v>
      </c>
      <c r="W204" t="s">
        <v>568</v>
      </c>
      <c r="AD204" t="s">
        <v>752</v>
      </c>
    </row>
    <row r="205" spans="1:32" x14ac:dyDescent="0.25">
      <c r="A205" t="s">
        <v>33</v>
      </c>
      <c r="D205" t="s">
        <v>565</v>
      </c>
      <c r="E205" t="s">
        <v>566</v>
      </c>
      <c r="F205" t="s">
        <v>87</v>
      </c>
      <c r="G205" t="s">
        <v>735</v>
      </c>
      <c r="H205" t="s">
        <v>38</v>
      </c>
      <c r="I205" t="s">
        <v>106</v>
      </c>
      <c r="J205" t="s">
        <v>40</v>
      </c>
      <c r="K205" t="s">
        <v>41</v>
      </c>
      <c r="L205" t="s">
        <v>736</v>
      </c>
      <c r="M205" t="s">
        <v>746</v>
      </c>
      <c r="N205" t="s">
        <v>737</v>
      </c>
      <c r="O205" t="s">
        <v>109</v>
      </c>
      <c r="R205" t="s">
        <v>753</v>
      </c>
      <c r="S205" t="s">
        <v>573</v>
      </c>
      <c r="V205" t="s">
        <v>574</v>
      </c>
      <c r="W205" t="s">
        <v>568</v>
      </c>
      <c r="AD205" t="s">
        <v>754</v>
      </c>
    </row>
    <row r="206" spans="1:32" x14ac:dyDescent="0.25">
      <c r="A206" t="s">
        <v>33</v>
      </c>
      <c r="D206" t="s">
        <v>565</v>
      </c>
      <c r="E206" t="s">
        <v>566</v>
      </c>
      <c r="F206" t="s">
        <v>87</v>
      </c>
      <c r="G206" t="s">
        <v>755</v>
      </c>
      <c r="H206" t="s">
        <v>153</v>
      </c>
      <c r="I206" t="s">
        <v>90</v>
      </c>
      <c r="J206" t="s">
        <v>154</v>
      </c>
      <c r="K206" t="s">
        <v>155</v>
      </c>
      <c r="L206" t="s">
        <v>756</v>
      </c>
      <c r="N206" t="s">
        <v>757</v>
      </c>
      <c r="O206" t="s">
        <v>386</v>
      </c>
      <c r="R206" t="s">
        <v>758</v>
      </c>
      <c r="S206" t="s">
        <v>573</v>
      </c>
      <c r="V206" t="s">
        <v>574</v>
      </c>
      <c r="W206" t="s">
        <v>568</v>
      </c>
      <c r="AC206" t="s">
        <v>759</v>
      </c>
      <c r="AD206" t="s">
        <v>760</v>
      </c>
      <c r="AE206" t="s">
        <v>577</v>
      </c>
      <c r="AF206">
        <v>36</v>
      </c>
    </row>
    <row r="207" spans="1:32" x14ac:dyDescent="0.25">
      <c r="A207" t="s">
        <v>33</v>
      </c>
      <c r="D207" t="s">
        <v>565</v>
      </c>
      <c r="E207" t="s">
        <v>566</v>
      </c>
      <c r="F207" t="s">
        <v>87</v>
      </c>
      <c r="G207" t="s">
        <v>755</v>
      </c>
      <c r="H207" t="s">
        <v>153</v>
      </c>
      <c r="I207" t="s">
        <v>144</v>
      </c>
      <c r="J207" t="s">
        <v>154</v>
      </c>
      <c r="K207" t="s">
        <v>155</v>
      </c>
      <c r="L207" t="s">
        <v>756</v>
      </c>
      <c r="N207" t="s">
        <v>757</v>
      </c>
      <c r="O207" t="s">
        <v>156</v>
      </c>
      <c r="R207" t="s">
        <v>761</v>
      </c>
      <c r="S207" t="s">
        <v>573</v>
      </c>
      <c r="V207" t="s">
        <v>574</v>
      </c>
      <c r="W207" t="s">
        <v>568</v>
      </c>
      <c r="AD207" t="s">
        <v>762</v>
      </c>
    </row>
    <row r="208" spans="1:32" x14ac:dyDescent="0.25">
      <c r="A208" t="s">
        <v>33</v>
      </c>
      <c r="D208" t="s">
        <v>565</v>
      </c>
      <c r="E208" t="s">
        <v>566</v>
      </c>
      <c r="F208" t="s">
        <v>87</v>
      </c>
      <c r="G208" t="s">
        <v>763</v>
      </c>
      <c r="H208" t="s">
        <v>153</v>
      </c>
      <c r="I208" t="s">
        <v>90</v>
      </c>
      <c r="J208" t="s">
        <v>154</v>
      </c>
      <c r="K208" t="s">
        <v>155</v>
      </c>
      <c r="L208" t="s">
        <v>764</v>
      </c>
      <c r="N208" t="s">
        <v>765</v>
      </c>
      <c r="O208" t="s">
        <v>386</v>
      </c>
      <c r="R208" t="s">
        <v>766</v>
      </c>
      <c r="S208" t="s">
        <v>573</v>
      </c>
      <c r="V208" t="s">
        <v>574</v>
      </c>
      <c r="W208" t="s">
        <v>568</v>
      </c>
      <c r="AC208" t="s">
        <v>767</v>
      </c>
      <c r="AD208" t="s">
        <v>768</v>
      </c>
      <c r="AE208" t="s">
        <v>577</v>
      </c>
      <c r="AF208">
        <v>45</v>
      </c>
    </row>
    <row r="209" spans="1:32" x14ac:dyDescent="0.25">
      <c r="A209" t="s">
        <v>33</v>
      </c>
      <c r="D209" t="s">
        <v>565</v>
      </c>
      <c r="E209" t="s">
        <v>566</v>
      </c>
      <c r="F209" t="s">
        <v>87</v>
      </c>
      <c r="G209" t="s">
        <v>763</v>
      </c>
      <c r="H209" t="s">
        <v>153</v>
      </c>
      <c r="I209" t="s">
        <v>100</v>
      </c>
      <c r="J209" t="s">
        <v>154</v>
      </c>
      <c r="K209" t="s">
        <v>155</v>
      </c>
      <c r="L209" t="s">
        <v>764</v>
      </c>
      <c r="N209" t="s">
        <v>765</v>
      </c>
      <c r="O209" t="s">
        <v>448</v>
      </c>
      <c r="R209" t="s">
        <v>769</v>
      </c>
      <c r="S209" t="s">
        <v>573</v>
      </c>
      <c r="V209" t="s">
        <v>574</v>
      </c>
      <c r="W209" t="s">
        <v>568</v>
      </c>
      <c r="AC209" t="s">
        <v>770</v>
      </c>
      <c r="AD209" t="s">
        <v>771</v>
      </c>
      <c r="AE209" t="s">
        <v>577</v>
      </c>
      <c r="AF209">
        <v>46</v>
      </c>
    </row>
    <row r="210" spans="1:32" x14ac:dyDescent="0.25">
      <c r="A210" t="s">
        <v>33</v>
      </c>
      <c r="D210" t="s">
        <v>565</v>
      </c>
      <c r="E210" t="s">
        <v>566</v>
      </c>
      <c r="F210" t="s">
        <v>87</v>
      </c>
      <c r="G210" t="s">
        <v>772</v>
      </c>
      <c r="H210" t="s">
        <v>153</v>
      </c>
      <c r="I210" t="s">
        <v>90</v>
      </c>
      <c r="J210" t="s">
        <v>154</v>
      </c>
      <c r="K210" t="s">
        <v>155</v>
      </c>
      <c r="L210" t="s">
        <v>773</v>
      </c>
      <c r="N210" t="s">
        <v>774</v>
      </c>
      <c r="O210" t="s">
        <v>386</v>
      </c>
      <c r="R210" t="s">
        <v>775</v>
      </c>
      <c r="S210" t="s">
        <v>573</v>
      </c>
      <c r="V210" t="s">
        <v>574</v>
      </c>
      <c r="W210" t="s">
        <v>568</v>
      </c>
      <c r="AC210" t="s">
        <v>776</v>
      </c>
      <c r="AD210" t="s">
        <v>777</v>
      </c>
      <c r="AE210" t="s">
        <v>577</v>
      </c>
      <c r="AF210">
        <v>47</v>
      </c>
    </row>
    <row r="211" spans="1:32" x14ac:dyDescent="0.25">
      <c r="A211" t="s">
        <v>33</v>
      </c>
      <c r="D211" t="s">
        <v>565</v>
      </c>
      <c r="E211" t="s">
        <v>566</v>
      </c>
      <c r="F211" t="s">
        <v>87</v>
      </c>
      <c r="G211" t="s">
        <v>772</v>
      </c>
      <c r="H211" t="s">
        <v>153</v>
      </c>
      <c r="I211" t="s">
        <v>100</v>
      </c>
      <c r="J211" t="s">
        <v>154</v>
      </c>
      <c r="K211" t="s">
        <v>155</v>
      </c>
      <c r="L211" t="s">
        <v>773</v>
      </c>
      <c r="N211" t="s">
        <v>774</v>
      </c>
      <c r="O211" t="s">
        <v>448</v>
      </c>
      <c r="R211" t="s">
        <v>778</v>
      </c>
      <c r="S211" t="s">
        <v>573</v>
      </c>
      <c r="V211" t="s">
        <v>574</v>
      </c>
      <c r="W211" t="s">
        <v>568</v>
      </c>
      <c r="AC211" t="s">
        <v>779</v>
      </c>
      <c r="AD211" t="s">
        <v>780</v>
      </c>
      <c r="AE211" t="s">
        <v>577</v>
      </c>
      <c r="AF211">
        <v>48</v>
      </c>
    </row>
    <row r="212" spans="1:32" x14ac:dyDescent="0.25">
      <c r="A212" t="s">
        <v>33</v>
      </c>
      <c r="D212" t="s">
        <v>565</v>
      </c>
      <c r="E212" t="s">
        <v>566</v>
      </c>
      <c r="F212" t="s">
        <v>87</v>
      </c>
      <c r="G212" t="s">
        <v>781</v>
      </c>
      <c r="H212" t="s">
        <v>153</v>
      </c>
      <c r="I212" t="s">
        <v>90</v>
      </c>
      <c r="J212" t="s">
        <v>154</v>
      </c>
      <c r="K212" t="s">
        <v>155</v>
      </c>
      <c r="L212" t="s">
        <v>782</v>
      </c>
      <c r="N212" t="s">
        <v>783</v>
      </c>
      <c r="O212" t="s">
        <v>386</v>
      </c>
      <c r="R212" t="s">
        <v>784</v>
      </c>
      <c r="S212" t="s">
        <v>573</v>
      </c>
      <c r="V212" t="s">
        <v>574</v>
      </c>
      <c r="W212" t="s">
        <v>568</v>
      </c>
      <c r="AC212" t="s">
        <v>785</v>
      </c>
      <c r="AD212" t="s">
        <v>786</v>
      </c>
      <c r="AE212" t="s">
        <v>577</v>
      </c>
      <c r="AF212">
        <v>49</v>
      </c>
    </row>
    <row r="213" spans="1:32" x14ac:dyDescent="0.25">
      <c r="A213" t="s">
        <v>33</v>
      </c>
      <c r="D213" t="s">
        <v>565</v>
      </c>
      <c r="E213" t="s">
        <v>566</v>
      </c>
      <c r="F213" t="s">
        <v>87</v>
      </c>
      <c r="G213" t="s">
        <v>781</v>
      </c>
      <c r="H213" t="s">
        <v>153</v>
      </c>
      <c r="I213" t="s">
        <v>100</v>
      </c>
      <c r="J213" t="s">
        <v>154</v>
      </c>
      <c r="K213" t="s">
        <v>155</v>
      </c>
      <c r="L213" t="s">
        <v>782</v>
      </c>
      <c r="N213" t="s">
        <v>783</v>
      </c>
      <c r="O213" t="s">
        <v>448</v>
      </c>
      <c r="R213" t="s">
        <v>787</v>
      </c>
      <c r="S213" t="s">
        <v>573</v>
      </c>
      <c r="V213" t="s">
        <v>574</v>
      </c>
      <c r="W213" t="s">
        <v>568</v>
      </c>
      <c r="AC213" t="s">
        <v>788</v>
      </c>
      <c r="AD213" t="s">
        <v>789</v>
      </c>
      <c r="AE213" t="s">
        <v>577</v>
      </c>
      <c r="AF213">
        <v>50</v>
      </c>
    </row>
    <row r="214" spans="1:32" x14ac:dyDescent="0.25">
      <c r="A214" t="s">
        <v>33</v>
      </c>
      <c r="D214" t="s">
        <v>565</v>
      </c>
      <c r="E214" t="s">
        <v>566</v>
      </c>
      <c r="F214" t="s">
        <v>87</v>
      </c>
      <c r="G214" t="s">
        <v>790</v>
      </c>
      <c r="H214" t="s">
        <v>153</v>
      </c>
      <c r="I214" t="s">
        <v>90</v>
      </c>
      <c r="J214" t="s">
        <v>154</v>
      </c>
      <c r="K214" t="s">
        <v>155</v>
      </c>
      <c r="L214" t="s">
        <v>791</v>
      </c>
      <c r="N214" t="s">
        <v>792</v>
      </c>
      <c r="O214" t="s">
        <v>386</v>
      </c>
      <c r="R214" t="s">
        <v>793</v>
      </c>
      <c r="S214" t="s">
        <v>573</v>
      </c>
      <c r="V214" t="s">
        <v>574</v>
      </c>
      <c r="W214" t="s">
        <v>568</v>
      </c>
      <c r="AC214" t="s">
        <v>794</v>
      </c>
      <c r="AD214" t="s">
        <v>795</v>
      </c>
      <c r="AE214" t="s">
        <v>577</v>
      </c>
      <c r="AF214">
        <v>51</v>
      </c>
    </row>
    <row r="215" spans="1:32" x14ac:dyDescent="0.25">
      <c r="A215" t="s">
        <v>33</v>
      </c>
      <c r="D215" t="s">
        <v>565</v>
      </c>
      <c r="E215" t="s">
        <v>566</v>
      </c>
      <c r="F215" t="s">
        <v>87</v>
      </c>
      <c r="G215" t="s">
        <v>796</v>
      </c>
      <c r="H215" t="s">
        <v>153</v>
      </c>
      <c r="I215" t="s">
        <v>90</v>
      </c>
      <c r="J215" t="s">
        <v>154</v>
      </c>
      <c r="K215" t="s">
        <v>155</v>
      </c>
      <c r="L215" t="s">
        <v>797</v>
      </c>
      <c r="N215" t="s">
        <v>798</v>
      </c>
      <c r="O215" t="s">
        <v>386</v>
      </c>
      <c r="R215" t="s">
        <v>799</v>
      </c>
      <c r="S215" t="s">
        <v>573</v>
      </c>
      <c r="V215" t="s">
        <v>574</v>
      </c>
      <c r="W215" t="s">
        <v>568</v>
      </c>
      <c r="AC215" t="s">
        <v>800</v>
      </c>
      <c r="AD215" t="s">
        <v>801</v>
      </c>
      <c r="AE215" t="s">
        <v>577</v>
      </c>
      <c r="AF215">
        <v>52</v>
      </c>
    </row>
    <row r="216" spans="1:32" x14ac:dyDescent="0.25">
      <c r="A216" t="s">
        <v>33</v>
      </c>
      <c r="D216" t="s">
        <v>565</v>
      </c>
      <c r="E216" t="s">
        <v>566</v>
      </c>
      <c r="F216" t="s">
        <v>87</v>
      </c>
      <c r="G216" t="s">
        <v>802</v>
      </c>
      <c r="H216" t="s">
        <v>153</v>
      </c>
      <c r="I216" t="s">
        <v>144</v>
      </c>
      <c r="J216" t="s">
        <v>154</v>
      </c>
      <c r="K216" t="s">
        <v>155</v>
      </c>
      <c r="L216" t="s">
        <v>803</v>
      </c>
      <c r="N216" t="s">
        <v>804</v>
      </c>
      <c r="O216" t="s">
        <v>213</v>
      </c>
      <c r="R216" t="s">
        <v>805</v>
      </c>
      <c r="S216" t="s">
        <v>573</v>
      </c>
      <c r="V216" t="s">
        <v>574</v>
      </c>
      <c r="W216" t="s">
        <v>568</v>
      </c>
      <c r="AC216" t="s">
        <v>803</v>
      </c>
      <c r="AD216" t="s">
        <v>806</v>
      </c>
      <c r="AE216" t="s">
        <v>577</v>
      </c>
      <c r="AF216">
        <v>53</v>
      </c>
    </row>
    <row r="217" spans="1:32" x14ac:dyDescent="0.25">
      <c r="A217" t="s">
        <v>33</v>
      </c>
      <c r="D217" t="s">
        <v>565</v>
      </c>
      <c r="E217" t="s">
        <v>566</v>
      </c>
      <c r="F217" t="s">
        <v>87</v>
      </c>
      <c r="G217" t="s">
        <v>807</v>
      </c>
      <c r="H217" t="s">
        <v>153</v>
      </c>
      <c r="I217" t="s">
        <v>144</v>
      </c>
      <c r="J217" t="s">
        <v>154</v>
      </c>
      <c r="K217" t="s">
        <v>155</v>
      </c>
      <c r="L217" t="s">
        <v>808</v>
      </c>
      <c r="N217" t="s">
        <v>809</v>
      </c>
      <c r="O217" t="s">
        <v>213</v>
      </c>
      <c r="R217" t="s">
        <v>810</v>
      </c>
      <c r="S217" t="s">
        <v>573</v>
      </c>
      <c r="V217" t="s">
        <v>574</v>
      </c>
      <c r="W217" t="s">
        <v>568</v>
      </c>
      <c r="AC217" t="s">
        <v>808</v>
      </c>
      <c r="AD217" t="s">
        <v>811</v>
      </c>
      <c r="AE217" t="s">
        <v>577</v>
      </c>
      <c r="AF217">
        <v>54</v>
      </c>
    </row>
    <row r="218" spans="1:32" x14ac:dyDescent="0.25">
      <c r="A218" t="s">
        <v>33</v>
      </c>
      <c r="D218" t="s">
        <v>565</v>
      </c>
      <c r="E218" t="s">
        <v>566</v>
      </c>
      <c r="H218" t="s">
        <v>153</v>
      </c>
      <c r="I218" t="s">
        <v>479</v>
      </c>
      <c r="J218" t="s">
        <v>154</v>
      </c>
      <c r="K218" t="s">
        <v>155</v>
      </c>
      <c r="L218" t="s">
        <v>568</v>
      </c>
      <c r="N218" t="s">
        <v>569</v>
      </c>
      <c r="O218" t="s">
        <v>480</v>
      </c>
      <c r="R218" t="s">
        <v>812</v>
      </c>
      <c r="S218" t="s">
        <v>573</v>
      </c>
      <c r="V218" t="s">
        <v>574</v>
      </c>
      <c r="W218" t="s">
        <v>568</v>
      </c>
      <c r="AC218" t="s">
        <v>813</v>
      </c>
      <c r="AD218" t="s">
        <v>814</v>
      </c>
      <c r="AE218" t="s">
        <v>577</v>
      </c>
      <c r="AF218">
        <v>55</v>
      </c>
    </row>
    <row r="219" spans="1:32" x14ac:dyDescent="0.25">
      <c r="A219" t="s">
        <v>33</v>
      </c>
      <c r="D219" t="s">
        <v>565</v>
      </c>
      <c r="E219" t="s">
        <v>566</v>
      </c>
      <c r="F219" t="s">
        <v>87</v>
      </c>
      <c r="G219" t="s">
        <v>815</v>
      </c>
      <c r="H219" t="s">
        <v>153</v>
      </c>
      <c r="I219" t="s">
        <v>90</v>
      </c>
      <c r="J219" t="s">
        <v>154</v>
      </c>
      <c r="K219" t="s">
        <v>155</v>
      </c>
      <c r="L219" t="s">
        <v>816</v>
      </c>
      <c r="N219" t="s">
        <v>817</v>
      </c>
      <c r="O219" t="s">
        <v>386</v>
      </c>
      <c r="R219" t="s">
        <v>818</v>
      </c>
      <c r="S219" t="s">
        <v>573</v>
      </c>
      <c r="V219" t="s">
        <v>574</v>
      </c>
      <c r="W219" t="s">
        <v>568</v>
      </c>
      <c r="AC219" t="s">
        <v>819</v>
      </c>
      <c r="AD219" t="s">
        <v>820</v>
      </c>
      <c r="AE219" t="s">
        <v>577</v>
      </c>
      <c r="AF219">
        <v>56</v>
      </c>
    </row>
    <row r="220" spans="1:32" x14ac:dyDescent="0.25">
      <c r="A220" t="s">
        <v>33</v>
      </c>
      <c r="D220" t="s">
        <v>565</v>
      </c>
      <c r="E220" t="s">
        <v>566</v>
      </c>
      <c r="F220" t="s">
        <v>78</v>
      </c>
      <c r="G220" t="s">
        <v>821</v>
      </c>
      <c r="H220" t="s">
        <v>153</v>
      </c>
      <c r="I220" t="s">
        <v>243</v>
      </c>
      <c r="J220" t="s">
        <v>154</v>
      </c>
      <c r="K220" t="s">
        <v>155</v>
      </c>
      <c r="L220" t="s">
        <v>822</v>
      </c>
      <c r="N220" t="s">
        <v>823</v>
      </c>
      <c r="O220" t="s">
        <v>824</v>
      </c>
      <c r="R220" t="s">
        <v>825</v>
      </c>
      <c r="S220" t="s">
        <v>573</v>
      </c>
      <c r="V220" t="s">
        <v>574</v>
      </c>
      <c r="W220" t="s">
        <v>568</v>
      </c>
      <c r="AC220" t="s">
        <v>826</v>
      </c>
      <c r="AD220" t="s">
        <v>827</v>
      </c>
      <c r="AE220" t="s">
        <v>577</v>
      </c>
      <c r="AF220">
        <v>57</v>
      </c>
    </row>
    <row r="221" spans="1:32" x14ac:dyDescent="0.25">
      <c r="A221" t="s">
        <v>33</v>
      </c>
      <c r="D221" t="s">
        <v>565</v>
      </c>
      <c r="E221" t="s">
        <v>566</v>
      </c>
      <c r="F221" t="s">
        <v>78</v>
      </c>
      <c r="G221" t="s">
        <v>828</v>
      </c>
      <c r="H221" t="s">
        <v>153</v>
      </c>
      <c r="I221" t="s">
        <v>243</v>
      </c>
      <c r="J221" t="s">
        <v>154</v>
      </c>
      <c r="K221" t="s">
        <v>155</v>
      </c>
      <c r="L221" t="s">
        <v>829</v>
      </c>
      <c r="N221" t="s">
        <v>830</v>
      </c>
      <c r="O221" t="s">
        <v>824</v>
      </c>
      <c r="R221" t="s">
        <v>831</v>
      </c>
      <c r="S221" t="s">
        <v>573</v>
      </c>
      <c r="V221" t="s">
        <v>574</v>
      </c>
      <c r="W221" t="s">
        <v>568</v>
      </c>
      <c r="AC221" t="s">
        <v>832</v>
      </c>
      <c r="AD221" t="s">
        <v>833</v>
      </c>
      <c r="AE221" t="s">
        <v>577</v>
      </c>
      <c r="AF221">
        <v>58</v>
      </c>
    </row>
    <row r="222" spans="1:32" x14ac:dyDescent="0.25">
      <c r="A222" t="s">
        <v>33</v>
      </c>
      <c r="D222" t="s">
        <v>565</v>
      </c>
      <c r="E222" t="s">
        <v>566</v>
      </c>
      <c r="H222" t="s">
        <v>153</v>
      </c>
      <c r="I222" t="s">
        <v>834</v>
      </c>
      <c r="J222" t="s">
        <v>154</v>
      </c>
      <c r="K222" t="s">
        <v>155</v>
      </c>
      <c r="L222" t="s">
        <v>568</v>
      </c>
      <c r="N222" t="s">
        <v>569</v>
      </c>
      <c r="O222" t="s">
        <v>835</v>
      </c>
      <c r="R222" t="s">
        <v>836</v>
      </c>
      <c r="S222" t="s">
        <v>573</v>
      </c>
      <c r="V222" t="s">
        <v>574</v>
      </c>
      <c r="W222" t="s">
        <v>568</v>
      </c>
      <c r="AD222" t="s">
        <v>837</v>
      </c>
    </row>
    <row r="223" spans="1:32" x14ac:dyDescent="0.25">
      <c r="A223" t="s">
        <v>33</v>
      </c>
      <c r="D223" t="s">
        <v>565</v>
      </c>
      <c r="E223" t="s">
        <v>566</v>
      </c>
      <c r="F223" t="s">
        <v>87</v>
      </c>
      <c r="G223" t="s">
        <v>669</v>
      </c>
      <c r="H223" t="s">
        <v>89</v>
      </c>
      <c r="I223" t="s">
        <v>144</v>
      </c>
      <c r="J223" t="s">
        <v>91</v>
      </c>
      <c r="K223" t="s">
        <v>92</v>
      </c>
      <c r="L223" t="s">
        <v>670</v>
      </c>
      <c r="M223" t="s">
        <v>94</v>
      </c>
      <c r="N223" t="s">
        <v>671</v>
      </c>
      <c r="O223" t="s">
        <v>150</v>
      </c>
      <c r="P223">
        <v>1E-3</v>
      </c>
      <c r="R223" t="s">
        <v>838</v>
      </c>
      <c r="S223" t="s">
        <v>573</v>
      </c>
      <c r="V223" t="s">
        <v>574</v>
      </c>
      <c r="W223" t="s">
        <v>568</v>
      </c>
      <c r="AD223" t="s">
        <v>839</v>
      </c>
    </row>
    <row r="224" spans="1:32" x14ac:dyDescent="0.25">
      <c r="A224" t="s">
        <v>33</v>
      </c>
      <c r="D224" t="s">
        <v>565</v>
      </c>
      <c r="E224" t="s">
        <v>566</v>
      </c>
      <c r="F224" t="s">
        <v>87</v>
      </c>
      <c r="G224" t="s">
        <v>669</v>
      </c>
      <c r="H224" t="s">
        <v>143</v>
      </c>
      <c r="I224" t="s">
        <v>144</v>
      </c>
      <c r="J224" t="s">
        <v>145</v>
      </c>
      <c r="K224" t="s">
        <v>146</v>
      </c>
      <c r="L224" t="s">
        <v>670</v>
      </c>
      <c r="M224" t="s">
        <v>840</v>
      </c>
      <c r="N224" t="s">
        <v>671</v>
      </c>
      <c r="O224" t="s">
        <v>147</v>
      </c>
      <c r="R224" t="s">
        <v>841</v>
      </c>
      <c r="S224" t="s">
        <v>573</v>
      </c>
      <c r="V224" t="s">
        <v>574</v>
      </c>
      <c r="W224" t="s">
        <v>568</v>
      </c>
      <c r="AD224" t="s">
        <v>842</v>
      </c>
    </row>
    <row r="225" spans="1:30" x14ac:dyDescent="0.25">
      <c r="A225" t="s">
        <v>33</v>
      </c>
      <c r="D225" t="s">
        <v>565</v>
      </c>
      <c r="E225" t="s">
        <v>566</v>
      </c>
      <c r="F225" t="s">
        <v>87</v>
      </c>
      <c r="G225" t="s">
        <v>843</v>
      </c>
      <c r="H225" t="s">
        <v>153</v>
      </c>
      <c r="I225" t="s">
        <v>180</v>
      </c>
      <c r="J225" t="s">
        <v>154</v>
      </c>
      <c r="K225" t="s">
        <v>155</v>
      </c>
      <c r="L225" t="s">
        <v>844</v>
      </c>
      <c r="N225" t="s">
        <v>845</v>
      </c>
      <c r="O225" t="s">
        <v>213</v>
      </c>
      <c r="R225" t="s">
        <v>846</v>
      </c>
      <c r="S225" t="s">
        <v>573</v>
      </c>
      <c r="V225" t="s">
        <v>574</v>
      </c>
      <c r="W225" t="s">
        <v>568</v>
      </c>
      <c r="AD225" t="s">
        <v>847</v>
      </c>
    </row>
    <row r="226" spans="1:30" x14ac:dyDescent="0.25">
      <c r="A226" t="s">
        <v>33</v>
      </c>
      <c r="D226" t="s">
        <v>565</v>
      </c>
      <c r="E226" t="s">
        <v>566</v>
      </c>
      <c r="F226" t="s">
        <v>87</v>
      </c>
      <c r="G226" t="s">
        <v>669</v>
      </c>
      <c r="H226" t="s">
        <v>89</v>
      </c>
      <c r="I226" t="s">
        <v>90</v>
      </c>
      <c r="J226" t="s">
        <v>91</v>
      </c>
      <c r="K226" t="s">
        <v>92</v>
      </c>
      <c r="L226" t="s">
        <v>670</v>
      </c>
      <c r="M226" t="s">
        <v>94</v>
      </c>
      <c r="N226" t="s">
        <v>671</v>
      </c>
      <c r="O226" t="s">
        <v>383</v>
      </c>
      <c r="P226">
        <v>1E-3</v>
      </c>
      <c r="R226" t="s">
        <v>848</v>
      </c>
      <c r="S226" t="s">
        <v>573</v>
      </c>
      <c r="V226" t="s">
        <v>574</v>
      </c>
      <c r="W226" t="s">
        <v>568</v>
      </c>
      <c r="AD226" t="s">
        <v>849</v>
      </c>
    </row>
    <row r="227" spans="1:30" x14ac:dyDescent="0.25">
      <c r="A227" t="s">
        <v>33</v>
      </c>
      <c r="D227" t="s">
        <v>565</v>
      </c>
      <c r="E227" t="s">
        <v>566</v>
      </c>
      <c r="F227" t="s">
        <v>87</v>
      </c>
      <c r="G227" t="s">
        <v>669</v>
      </c>
      <c r="H227" t="s">
        <v>143</v>
      </c>
      <c r="I227" t="s">
        <v>90</v>
      </c>
      <c r="J227" t="s">
        <v>145</v>
      </c>
      <c r="K227" t="s">
        <v>146</v>
      </c>
      <c r="L227" t="s">
        <v>670</v>
      </c>
      <c r="M227" t="s">
        <v>840</v>
      </c>
      <c r="N227" t="s">
        <v>671</v>
      </c>
      <c r="O227" t="s">
        <v>380</v>
      </c>
      <c r="R227" t="s">
        <v>850</v>
      </c>
      <c r="S227" t="s">
        <v>573</v>
      </c>
      <c r="V227" t="s">
        <v>574</v>
      </c>
      <c r="W227" t="s">
        <v>568</v>
      </c>
      <c r="AD227" t="s">
        <v>851</v>
      </c>
    </row>
    <row r="228" spans="1:30" x14ac:dyDescent="0.25">
      <c r="A228" t="s">
        <v>33</v>
      </c>
      <c r="D228" t="s">
        <v>565</v>
      </c>
      <c r="E228" t="s">
        <v>566</v>
      </c>
      <c r="F228" t="s">
        <v>87</v>
      </c>
      <c r="G228" t="s">
        <v>669</v>
      </c>
      <c r="H228" t="s">
        <v>38</v>
      </c>
      <c r="I228" t="s">
        <v>106</v>
      </c>
      <c r="J228" t="s">
        <v>40</v>
      </c>
      <c r="K228" t="s">
        <v>41</v>
      </c>
      <c r="L228" t="s">
        <v>670</v>
      </c>
      <c r="M228" t="s">
        <v>840</v>
      </c>
      <c r="N228" t="s">
        <v>671</v>
      </c>
      <c r="O228" t="s">
        <v>109</v>
      </c>
      <c r="R228" t="s">
        <v>852</v>
      </c>
      <c r="S228" t="s">
        <v>573</v>
      </c>
      <c r="V228" t="s">
        <v>574</v>
      </c>
      <c r="W228" t="s">
        <v>568</v>
      </c>
      <c r="AD228" t="s">
        <v>853</v>
      </c>
    </row>
    <row r="229" spans="1:30" x14ac:dyDescent="0.25">
      <c r="A229" t="s">
        <v>33</v>
      </c>
      <c r="D229" t="s">
        <v>565</v>
      </c>
      <c r="E229" t="s">
        <v>566</v>
      </c>
      <c r="F229" t="s">
        <v>854</v>
      </c>
      <c r="G229" t="s">
        <v>855</v>
      </c>
      <c r="H229" t="s">
        <v>166</v>
      </c>
      <c r="I229" t="s">
        <v>281</v>
      </c>
      <c r="J229" t="s">
        <v>167</v>
      </c>
      <c r="K229" t="s">
        <v>41</v>
      </c>
      <c r="L229" t="s">
        <v>856</v>
      </c>
      <c r="N229" t="s">
        <v>857</v>
      </c>
      <c r="O229" t="s">
        <v>858</v>
      </c>
      <c r="Q229" t="s">
        <v>859</v>
      </c>
      <c r="R229" t="s">
        <v>860</v>
      </c>
      <c r="S229" t="s">
        <v>573</v>
      </c>
      <c r="V229" t="s">
        <v>574</v>
      </c>
      <c r="W229" t="s">
        <v>568</v>
      </c>
      <c r="AD229" t="s">
        <v>861</v>
      </c>
    </row>
    <row r="230" spans="1:30" x14ac:dyDescent="0.25">
      <c r="A230" t="s">
        <v>33</v>
      </c>
      <c r="D230" t="s">
        <v>565</v>
      </c>
      <c r="E230" t="s">
        <v>566</v>
      </c>
      <c r="F230" t="s">
        <v>854</v>
      </c>
      <c r="G230" t="s">
        <v>855</v>
      </c>
      <c r="H230" t="s">
        <v>166</v>
      </c>
      <c r="I230" t="s">
        <v>80</v>
      </c>
      <c r="J230" t="s">
        <v>167</v>
      </c>
      <c r="K230" t="s">
        <v>41</v>
      </c>
      <c r="L230" t="s">
        <v>856</v>
      </c>
      <c r="N230" t="s">
        <v>857</v>
      </c>
      <c r="O230" t="s">
        <v>862</v>
      </c>
      <c r="Q230" t="s">
        <v>863</v>
      </c>
      <c r="R230" t="s">
        <v>864</v>
      </c>
      <c r="S230" t="s">
        <v>573</v>
      </c>
      <c r="V230" t="s">
        <v>574</v>
      </c>
      <c r="W230" t="s">
        <v>568</v>
      </c>
      <c r="AD230" t="s">
        <v>865</v>
      </c>
    </row>
    <row r="231" spans="1:30" x14ac:dyDescent="0.25">
      <c r="A231" t="s">
        <v>33</v>
      </c>
      <c r="D231" t="s">
        <v>565</v>
      </c>
      <c r="E231" t="s">
        <v>566</v>
      </c>
      <c r="F231" t="s">
        <v>866</v>
      </c>
      <c r="G231" t="s">
        <v>867</v>
      </c>
      <c r="H231" t="s">
        <v>153</v>
      </c>
      <c r="I231" t="s">
        <v>598</v>
      </c>
      <c r="J231" t="s">
        <v>154</v>
      </c>
      <c r="K231" t="s">
        <v>155</v>
      </c>
      <c r="L231" t="s">
        <v>868</v>
      </c>
      <c r="N231" t="s">
        <v>869</v>
      </c>
      <c r="O231" t="s">
        <v>599</v>
      </c>
      <c r="R231" t="s">
        <v>870</v>
      </c>
      <c r="S231" t="s">
        <v>573</v>
      </c>
      <c r="V231" t="s">
        <v>574</v>
      </c>
      <c r="W231" t="s">
        <v>568</v>
      </c>
      <c r="AD231" t="s">
        <v>871</v>
      </c>
    </row>
    <row r="232" spans="1:30" x14ac:dyDescent="0.25">
      <c r="A232" t="s">
        <v>33</v>
      </c>
      <c r="D232" t="s">
        <v>565</v>
      </c>
      <c r="E232" t="s">
        <v>566</v>
      </c>
      <c r="F232" t="s">
        <v>854</v>
      </c>
      <c r="G232" t="s">
        <v>855</v>
      </c>
      <c r="H232" t="s">
        <v>166</v>
      </c>
      <c r="I232" t="s">
        <v>216</v>
      </c>
      <c r="J232" t="s">
        <v>167</v>
      </c>
      <c r="K232" t="s">
        <v>41</v>
      </c>
      <c r="L232" t="s">
        <v>856</v>
      </c>
      <c r="N232" t="s">
        <v>857</v>
      </c>
      <c r="O232" t="s">
        <v>872</v>
      </c>
      <c r="Q232" t="s">
        <v>873</v>
      </c>
      <c r="R232" t="s">
        <v>874</v>
      </c>
      <c r="S232" t="s">
        <v>573</v>
      </c>
      <c r="V232" t="s">
        <v>574</v>
      </c>
      <c r="W232" t="s">
        <v>568</v>
      </c>
      <c r="AD232" t="s">
        <v>875</v>
      </c>
    </row>
    <row r="233" spans="1:30" x14ac:dyDescent="0.25">
      <c r="A233" t="s">
        <v>33</v>
      </c>
      <c r="D233" t="s">
        <v>565</v>
      </c>
      <c r="E233" t="s">
        <v>566</v>
      </c>
      <c r="F233" t="s">
        <v>854</v>
      </c>
      <c r="G233" t="s">
        <v>876</v>
      </c>
      <c r="H233" t="s">
        <v>166</v>
      </c>
      <c r="I233" t="s">
        <v>281</v>
      </c>
      <c r="J233" t="s">
        <v>167</v>
      </c>
      <c r="K233" t="s">
        <v>41</v>
      </c>
      <c r="L233" t="s">
        <v>877</v>
      </c>
      <c r="N233" t="s">
        <v>878</v>
      </c>
      <c r="O233" t="s">
        <v>858</v>
      </c>
      <c r="Q233" t="s">
        <v>859</v>
      </c>
      <c r="R233" t="s">
        <v>879</v>
      </c>
      <c r="S233" t="s">
        <v>573</v>
      </c>
      <c r="V233" t="s">
        <v>574</v>
      </c>
      <c r="W233" t="s">
        <v>568</v>
      </c>
      <c r="AD233" t="s">
        <v>880</v>
      </c>
    </row>
    <row r="234" spans="1:30" x14ac:dyDescent="0.25">
      <c r="A234" t="s">
        <v>33</v>
      </c>
      <c r="D234" t="s">
        <v>565</v>
      </c>
      <c r="E234" t="s">
        <v>566</v>
      </c>
      <c r="F234" t="s">
        <v>854</v>
      </c>
      <c r="G234" t="s">
        <v>876</v>
      </c>
      <c r="H234" t="s">
        <v>166</v>
      </c>
      <c r="I234" t="s">
        <v>80</v>
      </c>
      <c r="J234" t="s">
        <v>167</v>
      </c>
      <c r="K234" t="s">
        <v>41</v>
      </c>
      <c r="L234" t="s">
        <v>877</v>
      </c>
      <c r="N234" t="s">
        <v>878</v>
      </c>
      <c r="O234" t="s">
        <v>862</v>
      </c>
      <c r="Q234" t="s">
        <v>863</v>
      </c>
      <c r="R234" t="s">
        <v>881</v>
      </c>
      <c r="S234" t="s">
        <v>573</v>
      </c>
      <c r="V234" t="s">
        <v>574</v>
      </c>
      <c r="W234" t="s">
        <v>568</v>
      </c>
      <c r="AD234" t="s">
        <v>882</v>
      </c>
    </row>
    <row r="235" spans="1:30" x14ac:dyDescent="0.25">
      <c r="A235" t="s">
        <v>33</v>
      </c>
      <c r="D235" t="s">
        <v>565</v>
      </c>
      <c r="E235" t="s">
        <v>566</v>
      </c>
      <c r="F235" t="s">
        <v>854</v>
      </c>
      <c r="G235" t="s">
        <v>855</v>
      </c>
      <c r="H235" t="s">
        <v>153</v>
      </c>
      <c r="I235" t="s">
        <v>598</v>
      </c>
      <c r="J235" t="s">
        <v>154</v>
      </c>
      <c r="K235" t="s">
        <v>155</v>
      </c>
      <c r="L235" t="s">
        <v>856</v>
      </c>
      <c r="N235" t="s">
        <v>857</v>
      </c>
      <c r="O235" t="s">
        <v>599</v>
      </c>
      <c r="R235" t="s">
        <v>883</v>
      </c>
      <c r="S235" t="s">
        <v>573</v>
      </c>
      <c r="V235" t="s">
        <v>574</v>
      </c>
      <c r="W235" t="s">
        <v>568</v>
      </c>
      <c r="AD235" t="s">
        <v>884</v>
      </c>
    </row>
    <row r="236" spans="1:30" x14ac:dyDescent="0.25">
      <c r="A236" t="s">
        <v>33</v>
      </c>
      <c r="D236" t="s">
        <v>565</v>
      </c>
      <c r="E236" t="s">
        <v>566</v>
      </c>
      <c r="F236" t="s">
        <v>854</v>
      </c>
      <c r="G236" t="s">
        <v>876</v>
      </c>
      <c r="H236" t="s">
        <v>166</v>
      </c>
      <c r="I236" t="s">
        <v>216</v>
      </c>
      <c r="J236" t="s">
        <v>167</v>
      </c>
      <c r="K236" t="s">
        <v>41</v>
      </c>
      <c r="L236" t="s">
        <v>877</v>
      </c>
      <c r="N236" t="s">
        <v>878</v>
      </c>
      <c r="O236" t="s">
        <v>872</v>
      </c>
      <c r="Q236" t="s">
        <v>873</v>
      </c>
      <c r="R236" t="s">
        <v>885</v>
      </c>
      <c r="S236" t="s">
        <v>573</v>
      </c>
      <c r="V236" t="s">
        <v>574</v>
      </c>
      <c r="W236" t="s">
        <v>568</v>
      </c>
      <c r="AD236" t="s">
        <v>886</v>
      </c>
    </row>
    <row r="237" spans="1:30" x14ac:dyDescent="0.25">
      <c r="A237" t="s">
        <v>33</v>
      </c>
      <c r="D237" t="s">
        <v>565</v>
      </c>
      <c r="E237" t="s">
        <v>566</v>
      </c>
      <c r="F237" t="s">
        <v>36</v>
      </c>
      <c r="G237" t="s">
        <v>887</v>
      </c>
      <c r="H237" t="s">
        <v>38</v>
      </c>
      <c r="I237" t="s">
        <v>74</v>
      </c>
      <c r="J237" t="s">
        <v>69</v>
      </c>
      <c r="K237" t="s">
        <v>41</v>
      </c>
      <c r="L237" t="s">
        <v>888</v>
      </c>
      <c r="M237" t="s">
        <v>889</v>
      </c>
      <c r="N237" t="s">
        <v>890</v>
      </c>
      <c r="O237" t="s">
        <v>75</v>
      </c>
      <c r="R237" t="s">
        <v>891</v>
      </c>
      <c r="S237" t="s">
        <v>573</v>
      </c>
      <c r="V237" t="s">
        <v>574</v>
      </c>
      <c r="W237" t="s">
        <v>568</v>
      </c>
      <c r="X237" t="s">
        <v>892</v>
      </c>
      <c r="AD237" t="s">
        <v>893</v>
      </c>
    </row>
    <row r="238" spans="1:30" x14ac:dyDescent="0.25">
      <c r="A238" t="s">
        <v>33</v>
      </c>
      <c r="D238" t="s">
        <v>565</v>
      </c>
      <c r="E238" t="s">
        <v>566</v>
      </c>
      <c r="F238" t="s">
        <v>36</v>
      </c>
      <c r="G238" t="s">
        <v>887</v>
      </c>
      <c r="H238" t="s">
        <v>38</v>
      </c>
      <c r="I238" t="s">
        <v>68</v>
      </c>
      <c r="J238" t="s">
        <v>69</v>
      </c>
      <c r="K238" t="s">
        <v>41</v>
      </c>
      <c r="L238" t="s">
        <v>888</v>
      </c>
      <c r="M238" t="s">
        <v>889</v>
      </c>
      <c r="N238" t="s">
        <v>890</v>
      </c>
      <c r="O238" t="s">
        <v>71</v>
      </c>
      <c r="R238" t="s">
        <v>894</v>
      </c>
      <c r="S238" t="s">
        <v>573</v>
      </c>
      <c r="V238" t="s">
        <v>574</v>
      </c>
      <c r="W238" t="s">
        <v>568</v>
      </c>
      <c r="X238" t="s">
        <v>892</v>
      </c>
      <c r="AD238" t="s">
        <v>895</v>
      </c>
    </row>
    <row r="239" spans="1:30" x14ac:dyDescent="0.25">
      <c r="A239" t="s">
        <v>33</v>
      </c>
      <c r="D239" t="s">
        <v>565</v>
      </c>
      <c r="E239" t="s">
        <v>566</v>
      </c>
      <c r="F239" t="s">
        <v>36</v>
      </c>
      <c r="G239" t="s">
        <v>887</v>
      </c>
      <c r="H239" t="s">
        <v>38</v>
      </c>
      <c r="I239" t="s">
        <v>52</v>
      </c>
      <c r="J239" t="s">
        <v>40</v>
      </c>
      <c r="K239" t="s">
        <v>41</v>
      </c>
      <c r="L239" t="s">
        <v>888</v>
      </c>
      <c r="M239" t="s">
        <v>53</v>
      </c>
      <c r="N239" t="s">
        <v>890</v>
      </c>
      <c r="O239" t="s">
        <v>54</v>
      </c>
      <c r="R239" t="s">
        <v>896</v>
      </c>
      <c r="S239" t="s">
        <v>573</v>
      </c>
      <c r="V239" t="s">
        <v>574</v>
      </c>
      <c r="W239" t="s">
        <v>568</v>
      </c>
      <c r="X239" t="s">
        <v>56</v>
      </c>
      <c r="AD239" t="s">
        <v>897</v>
      </c>
    </row>
    <row r="240" spans="1:30" x14ac:dyDescent="0.25">
      <c r="A240" t="s">
        <v>33</v>
      </c>
      <c r="D240" t="s">
        <v>565</v>
      </c>
      <c r="E240" t="s">
        <v>566</v>
      </c>
      <c r="F240" t="s">
        <v>36</v>
      </c>
      <c r="G240" t="s">
        <v>887</v>
      </c>
      <c r="H240" t="s">
        <v>38</v>
      </c>
      <c r="I240" t="s">
        <v>39</v>
      </c>
      <c r="J240" t="s">
        <v>40</v>
      </c>
      <c r="K240" t="s">
        <v>41</v>
      </c>
      <c r="L240" t="s">
        <v>888</v>
      </c>
      <c r="M240" t="s">
        <v>43</v>
      </c>
      <c r="N240" t="s">
        <v>890</v>
      </c>
      <c r="O240" t="s">
        <v>45</v>
      </c>
      <c r="R240" t="s">
        <v>898</v>
      </c>
      <c r="S240" t="s">
        <v>573</v>
      </c>
      <c r="V240" t="s">
        <v>574</v>
      </c>
      <c r="W240" t="s">
        <v>568</v>
      </c>
      <c r="AD240" t="s">
        <v>899</v>
      </c>
    </row>
    <row r="241" spans="1:30" x14ac:dyDescent="0.25">
      <c r="A241" t="s">
        <v>33</v>
      </c>
      <c r="D241" t="s">
        <v>565</v>
      </c>
      <c r="E241" t="s">
        <v>566</v>
      </c>
      <c r="F241" t="s">
        <v>36</v>
      </c>
      <c r="G241" t="s">
        <v>887</v>
      </c>
      <c r="H241" t="s">
        <v>38</v>
      </c>
      <c r="I241" t="s">
        <v>63</v>
      </c>
      <c r="J241" t="s">
        <v>40</v>
      </c>
      <c r="K241" t="s">
        <v>41</v>
      </c>
      <c r="L241" t="s">
        <v>888</v>
      </c>
      <c r="M241" t="s">
        <v>64</v>
      </c>
      <c r="N241" t="s">
        <v>890</v>
      </c>
      <c r="O241" t="s">
        <v>65</v>
      </c>
      <c r="R241" t="s">
        <v>900</v>
      </c>
      <c r="S241" t="s">
        <v>573</v>
      </c>
      <c r="V241" t="s">
        <v>574</v>
      </c>
      <c r="W241" t="s">
        <v>568</v>
      </c>
      <c r="AD241" t="s">
        <v>901</v>
      </c>
    </row>
    <row r="242" spans="1:30" x14ac:dyDescent="0.25">
      <c r="A242" t="s">
        <v>33</v>
      </c>
      <c r="D242" t="s">
        <v>565</v>
      </c>
      <c r="E242" t="s">
        <v>566</v>
      </c>
      <c r="F242" t="s">
        <v>36</v>
      </c>
      <c r="G242" t="s">
        <v>887</v>
      </c>
      <c r="H242" t="s">
        <v>38</v>
      </c>
      <c r="I242" t="s">
        <v>58</v>
      </c>
      <c r="J242" t="s">
        <v>40</v>
      </c>
      <c r="K242" t="s">
        <v>41</v>
      </c>
      <c r="L242" t="s">
        <v>888</v>
      </c>
      <c r="M242" t="s">
        <v>59</v>
      </c>
      <c r="N242" t="s">
        <v>890</v>
      </c>
      <c r="O242" t="s">
        <v>60</v>
      </c>
      <c r="R242" t="s">
        <v>902</v>
      </c>
      <c r="S242" t="s">
        <v>573</v>
      </c>
      <c r="V242" t="s">
        <v>574</v>
      </c>
      <c r="W242" t="s">
        <v>568</v>
      </c>
      <c r="AD242" t="s">
        <v>903</v>
      </c>
    </row>
    <row r="243" spans="1:30" x14ac:dyDescent="0.25">
      <c r="A243" t="s">
        <v>33</v>
      </c>
      <c r="D243" t="s">
        <v>565</v>
      </c>
      <c r="E243" t="s">
        <v>566</v>
      </c>
      <c r="F243" t="s">
        <v>78</v>
      </c>
      <c r="G243" t="s">
        <v>904</v>
      </c>
      <c r="H243" t="s">
        <v>280</v>
      </c>
      <c r="I243" t="s">
        <v>281</v>
      </c>
      <c r="J243" t="s">
        <v>282</v>
      </c>
      <c r="K243" t="s">
        <v>283</v>
      </c>
      <c r="L243" t="s">
        <v>905</v>
      </c>
      <c r="N243" t="s">
        <v>906</v>
      </c>
      <c r="O243" t="s">
        <v>284</v>
      </c>
      <c r="Q243" t="s">
        <v>285</v>
      </c>
      <c r="R243" t="s">
        <v>907</v>
      </c>
      <c r="S243" t="s">
        <v>573</v>
      </c>
      <c r="V243" t="s">
        <v>574</v>
      </c>
      <c r="W243" t="s">
        <v>568</v>
      </c>
      <c r="AD243" t="s">
        <v>908</v>
      </c>
    </row>
    <row r="244" spans="1:30" x14ac:dyDescent="0.25">
      <c r="A244" t="s">
        <v>33</v>
      </c>
      <c r="D244" t="s">
        <v>565</v>
      </c>
      <c r="E244" t="s">
        <v>566</v>
      </c>
      <c r="F244" t="s">
        <v>78</v>
      </c>
      <c r="G244" t="s">
        <v>904</v>
      </c>
      <c r="H244" t="s">
        <v>280</v>
      </c>
      <c r="I244" t="s">
        <v>909</v>
      </c>
      <c r="J244" t="s">
        <v>282</v>
      </c>
      <c r="K244" t="s">
        <v>283</v>
      </c>
      <c r="L244" t="s">
        <v>905</v>
      </c>
      <c r="N244" t="s">
        <v>906</v>
      </c>
      <c r="O244" t="s">
        <v>910</v>
      </c>
      <c r="Q244" t="s">
        <v>911</v>
      </c>
      <c r="R244" t="s">
        <v>912</v>
      </c>
      <c r="S244" t="s">
        <v>573</v>
      </c>
      <c r="V244" t="s">
        <v>574</v>
      </c>
      <c r="W244" t="s">
        <v>568</v>
      </c>
      <c r="AD244" t="s">
        <v>913</v>
      </c>
    </row>
    <row r="245" spans="1:30" x14ac:dyDescent="0.25">
      <c r="A245" t="s">
        <v>33</v>
      </c>
      <c r="D245" t="s">
        <v>565</v>
      </c>
      <c r="E245" t="s">
        <v>566</v>
      </c>
      <c r="F245" t="s">
        <v>78</v>
      </c>
      <c r="G245" t="s">
        <v>904</v>
      </c>
      <c r="H245" t="s">
        <v>280</v>
      </c>
      <c r="I245" t="s">
        <v>160</v>
      </c>
      <c r="J245" t="s">
        <v>282</v>
      </c>
      <c r="K245" t="s">
        <v>283</v>
      </c>
      <c r="L245" t="s">
        <v>905</v>
      </c>
      <c r="N245" t="s">
        <v>906</v>
      </c>
      <c r="O245" t="s">
        <v>914</v>
      </c>
      <c r="Q245" t="s">
        <v>915</v>
      </c>
      <c r="R245" t="s">
        <v>916</v>
      </c>
      <c r="S245" t="s">
        <v>573</v>
      </c>
      <c r="V245" t="s">
        <v>574</v>
      </c>
      <c r="W245" t="s">
        <v>568</v>
      </c>
      <c r="AD245" t="s">
        <v>917</v>
      </c>
    </row>
    <row r="246" spans="1:30" x14ac:dyDescent="0.25">
      <c r="A246" t="s">
        <v>33</v>
      </c>
      <c r="D246" t="s">
        <v>565</v>
      </c>
      <c r="E246" t="s">
        <v>566</v>
      </c>
      <c r="F246" t="s">
        <v>78</v>
      </c>
      <c r="G246" t="s">
        <v>904</v>
      </c>
      <c r="H246" t="s">
        <v>38</v>
      </c>
      <c r="I246" t="s">
        <v>918</v>
      </c>
      <c r="J246" t="s">
        <v>69</v>
      </c>
      <c r="K246" t="s">
        <v>41</v>
      </c>
      <c r="L246" t="s">
        <v>905</v>
      </c>
      <c r="M246" t="s">
        <v>919</v>
      </c>
      <c r="N246" t="s">
        <v>906</v>
      </c>
      <c r="O246" t="s">
        <v>920</v>
      </c>
      <c r="R246" t="s">
        <v>921</v>
      </c>
      <c r="S246" t="s">
        <v>573</v>
      </c>
      <c r="V246" t="s">
        <v>574</v>
      </c>
      <c r="W246" t="s">
        <v>568</v>
      </c>
      <c r="AD246" t="s">
        <v>922</v>
      </c>
    </row>
    <row r="247" spans="1:30" x14ac:dyDescent="0.25">
      <c r="A247" t="s">
        <v>33</v>
      </c>
      <c r="D247" t="s">
        <v>565</v>
      </c>
      <c r="E247" t="s">
        <v>566</v>
      </c>
      <c r="F247" t="s">
        <v>854</v>
      </c>
      <c r="G247" t="s">
        <v>876</v>
      </c>
      <c r="H247" t="s">
        <v>153</v>
      </c>
      <c r="I247" t="s">
        <v>598</v>
      </c>
      <c r="J247" t="s">
        <v>154</v>
      </c>
      <c r="K247" t="s">
        <v>155</v>
      </c>
      <c r="L247" t="s">
        <v>877</v>
      </c>
      <c r="N247" t="s">
        <v>878</v>
      </c>
      <c r="O247" t="s">
        <v>599</v>
      </c>
      <c r="R247" t="s">
        <v>923</v>
      </c>
      <c r="S247" t="s">
        <v>573</v>
      </c>
      <c r="V247" t="s">
        <v>574</v>
      </c>
      <c r="W247" t="s">
        <v>568</v>
      </c>
      <c r="AD247" t="s">
        <v>924</v>
      </c>
    </row>
    <row r="248" spans="1:30" x14ac:dyDescent="0.25">
      <c r="A248" t="s">
        <v>33</v>
      </c>
      <c r="D248" t="s">
        <v>565</v>
      </c>
      <c r="E248" t="s">
        <v>566</v>
      </c>
      <c r="F248" t="s">
        <v>78</v>
      </c>
      <c r="G248" t="s">
        <v>904</v>
      </c>
      <c r="H248" t="s">
        <v>166</v>
      </c>
      <c r="I248" t="s">
        <v>216</v>
      </c>
      <c r="J248" t="s">
        <v>167</v>
      </c>
      <c r="K248" t="s">
        <v>41</v>
      </c>
      <c r="L248" t="s">
        <v>905</v>
      </c>
      <c r="N248" t="s">
        <v>906</v>
      </c>
      <c r="O248" t="s">
        <v>925</v>
      </c>
      <c r="Q248" t="s">
        <v>926</v>
      </c>
      <c r="R248" t="s">
        <v>927</v>
      </c>
      <c r="S248" t="s">
        <v>573</v>
      </c>
      <c r="V248" t="s">
        <v>574</v>
      </c>
      <c r="W248" t="s">
        <v>568</v>
      </c>
      <c r="AD248" t="s">
        <v>928</v>
      </c>
    </row>
    <row r="249" spans="1:30" x14ac:dyDescent="0.25">
      <c r="A249" t="s">
        <v>33</v>
      </c>
      <c r="D249" t="s">
        <v>565</v>
      </c>
      <c r="E249" t="s">
        <v>566</v>
      </c>
      <c r="F249" t="s">
        <v>78</v>
      </c>
      <c r="G249" t="s">
        <v>929</v>
      </c>
      <c r="H249" t="s">
        <v>280</v>
      </c>
      <c r="I249" t="s">
        <v>281</v>
      </c>
      <c r="J249" t="s">
        <v>282</v>
      </c>
      <c r="K249" t="s">
        <v>283</v>
      </c>
      <c r="L249" t="s">
        <v>930</v>
      </c>
      <c r="N249" t="s">
        <v>931</v>
      </c>
      <c r="O249" t="s">
        <v>284</v>
      </c>
      <c r="Q249" t="s">
        <v>285</v>
      </c>
      <c r="R249" t="s">
        <v>932</v>
      </c>
      <c r="S249" t="s">
        <v>573</v>
      </c>
      <c r="V249" t="s">
        <v>574</v>
      </c>
      <c r="W249" t="s">
        <v>568</v>
      </c>
      <c r="AD249" t="s">
        <v>933</v>
      </c>
    </row>
    <row r="250" spans="1:30" x14ac:dyDescent="0.25">
      <c r="A250" t="s">
        <v>33</v>
      </c>
      <c r="D250" t="s">
        <v>565</v>
      </c>
      <c r="E250" t="s">
        <v>566</v>
      </c>
      <c r="F250" t="s">
        <v>78</v>
      </c>
      <c r="G250" t="s">
        <v>929</v>
      </c>
      <c r="H250" t="s">
        <v>280</v>
      </c>
      <c r="I250" t="s">
        <v>909</v>
      </c>
      <c r="J250" t="s">
        <v>282</v>
      </c>
      <c r="K250" t="s">
        <v>283</v>
      </c>
      <c r="L250" t="s">
        <v>930</v>
      </c>
      <c r="N250" t="s">
        <v>931</v>
      </c>
      <c r="O250" t="s">
        <v>910</v>
      </c>
      <c r="Q250" t="s">
        <v>934</v>
      </c>
      <c r="R250" t="s">
        <v>935</v>
      </c>
      <c r="S250" t="s">
        <v>573</v>
      </c>
      <c r="V250" t="s">
        <v>574</v>
      </c>
      <c r="W250" t="s">
        <v>568</v>
      </c>
      <c r="AD250" t="s">
        <v>936</v>
      </c>
    </row>
    <row r="251" spans="1:30" x14ac:dyDescent="0.25">
      <c r="A251" t="s">
        <v>33</v>
      </c>
      <c r="D251" t="s">
        <v>565</v>
      </c>
      <c r="E251" t="s">
        <v>566</v>
      </c>
      <c r="F251" t="s">
        <v>78</v>
      </c>
      <c r="G251" t="s">
        <v>929</v>
      </c>
      <c r="H251" t="s">
        <v>280</v>
      </c>
      <c r="I251" t="s">
        <v>160</v>
      </c>
      <c r="J251" t="s">
        <v>282</v>
      </c>
      <c r="K251" t="s">
        <v>283</v>
      </c>
      <c r="L251" t="s">
        <v>930</v>
      </c>
      <c r="N251" t="s">
        <v>931</v>
      </c>
      <c r="O251" t="s">
        <v>914</v>
      </c>
      <c r="Q251" t="s">
        <v>937</v>
      </c>
      <c r="R251" t="s">
        <v>938</v>
      </c>
      <c r="S251" t="s">
        <v>573</v>
      </c>
      <c r="V251" t="s">
        <v>574</v>
      </c>
      <c r="W251" t="s">
        <v>568</v>
      </c>
      <c r="AD251" t="s">
        <v>939</v>
      </c>
    </row>
    <row r="252" spans="1:30" x14ac:dyDescent="0.25">
      <c r="A252" t="s">
        <v>33</v>
      </c>
      <c r="D252" t="s">
        <v>565</v>
      </c>
      <c r="E252" t="s">
        <v>566</v>
      </c>
      <c r="F252" t="s">
        <v>78</v>
      </c>
      <c r="G252" t="s">
        <v>929</v>
      </c>
      <c r="H252" t="s">
        <v>38</v>
      </c>
      <c r="I252" t="s">
        <v>918</v>
      </c>
      <c r="J252" t="s">
        <v>69</v>
      </c>
      <c r="K252" t="s">
        <v>41</v>
      </c>
      <c r="L252" t="s">
        <v>930</v>
      </c>
      <c r="M252" t="s">
        <v>82</v>
      </c>
      <c r="N252" t="s">
        <v>931</v>
      </c>
      <c r="O252" t="s">
        <v>920</v>
      </c>
      <c r="R252" t="s">
        <v>940</v>
      </c>
      <c r="S252" t="s">
        <v>573</v>
      </c>
      <c r="V252" t="s">
        <v>574</v>
      </c>
      <c r="W252" t="s">
        <v>568</v>
      </c>
      <c r="AD252" t="s">
        <v>941</v>
      </c>
    </row>
    <row r="253" spans="1:30" x14ac:dyDescent="0.25">
      <c r="A253" t="s">
        <v>33</v>
      </c>
      <c r="D253" t="s">
        <v>565</v>
      </c>
      <c r="E253" t="s">
        <v>566</v>
      </c>
      <c r="F253" t="s">
        <v>87</v>
      </c>
      <c r="G253" t="s">
        <v>942</v>
      </c>
      <c r="H253" t="s">
        <v>153</v>
      </c>
      <c r="I253" t="s">
        <v>144</v>
      </c>
      <c r="J253" t="s">
        <v>154</v>
      </c>
      <c r="K253" t="s">
        <v>155</v>
      </c>
      <c r="L253" t="s">
        <v>943</v>
      </c>
      <c r="N253" t="s">
        <v>944</v>
      </c>
      <c r="O253" t="s">
        <v>213</v>
      </c>
      <c r="R253" t="s">
        <v>945</v>
      </c>
      <c r="S253" t="s">
        <v>573</v>
      </c>
      <c r="V253" t="s">
        <v>574</v>
      </c>
      <c r="W253" t="s">
        <v>568</v>
      </c>
      <c r="AD253" t="s">
        <v>946</v>
      </c>
    </row>
    <row r="254" spans="1:30" x14ac:dyDescent="0.25">
      <c r="A254" t="s">
        <v>947</v>
      </c>
      <c r="B254" t="s">
        <v>948</v>
      </c>
      <c r="C254" t="s">
        <v>949</v>
      </c>
      <c r="D254" t="s">
        <v>565</v>
      </c>
      <c r="E254" t="s">
        <v>566</v>
      </c>
      <c r="F254" t="s">
        <v>78</v>
      </c>
      <c r="G254" t="s">
        <v>929</v>
      </c>
      <c r="H254" t="s">
        <v>166</v>
      </c>
      <c r="I254" t="s">
        <v>950</v>
      </c>
      <c r="J254" t="s">
        <v>167</v>
      </c>
      <c r="K254" t="s">
        <v>41</v>
      </c>
      <c r="L254" t="s">
        <v>930</v>
      </c>
      <c r="N254" t="s">
        <v>931</v>
      </c>
      <c r="O254" t="s">
        <v>951</v>
      </c>
      <c r="Q254" t="s">
        <v>952</v>
      </c>
      <c r="R254" t="s">
        <v>953</v>
      </c>
      <c r="S254" t="s">
        <v>573</v>
      </c>
      <c r="V254" t="s">
        <v>574</v>
      </c>
      <c r="W254" t="s">
        <v>568</v>
      </c>
      <c r="AD254" t="s">
        <v>954</v>
      </c>
    </row>
    <row r="255" spans="1:30" x14ac:dyDescent="0.25">
      <c r="A255" t="s">
        <v>33</v>
      </c>
      <c r="D255" t="s">
        <v>565</v>
      </c>
      <c r="E255" t="s">
        <v>566</v>
      </c>
      <c r="F255" t="s">
        <v>78</v>
      </c>
      <c r="G255" t="s">
        <v>929</v>
      </c>
      <c r="H255" t="s">
        <v>166</v>
      </c>
      <c r="I255" t="s">
        <v>216</v>
      </c>
      <c r="J255" t="s">
        <v>167</v>
      </c>
      <c r="K255" t="s">
        <v>41</v>
      </c>
      <c r="L255" t="s">
        <v>930</v>
      </c>
      <c r="N255" t="s">
        <v>931</v>
      </c>
      <c r="O255" t="s">
        <v>925</v>
      </c>
      <c r="Q255" t="s">
        <v>955</v>
      </c>
      <c r="R255" t="s">
        <v>956</v>
      </c>
      <c r="S255" t="s">
        <v>573</v>
      </c>
      <c r="V255" t="s">
        <v>574</v>
      </c>
      <c r="W255" t="s">
        <v>568</v>
      </c>
      <c r="AD255" t="s">
        <v>957</v>
      </c>
    </row>
    <row r="256" spans="1:30" x14ac:dyDescent="0.25">
      <c r="A256" t="s">
        <v>33</v>
      </c>
      <c r="D256" t="s">
        <v>565</v>
      </c>
      <c r="E256" t="s">
        <v>566</v>
      </c>
      <c r="F256" t="s">
        <v>36</v>
      </c>
      <c r="G256" t="s">
        <v>958</v>
      </c>
      <c r="H256" t="s">
        <v>38</v>
      </c>
      <c r="I256" t="s">
        <v>74</v>
      </c>
      <c r="J256" t="s">
        <v>69</v>
      </c>
      <c r="K256" t="s">
        <v>41</v>
      </c>
      <c r="L256" t="s">
        <v>959</v>
      </c>
      <c r="M256" t="s">
        <v>960</v>
      </c>
      <c r="N256" t="s">
        <v>961</v>
      </c>
      <c r="O256" t="s">
        <v>75</v>
      </c>
      <c r="R256" t="s">
        <v>962</v>
      </c>
      <c r="S256" t="s">
        <v>573</v>
      </c>
      <c r="V256" t="s">
        <v>574</v>
      </c>
      <c r="W256" t="s">
        <v>568</v>
      </c>
      <c r="X256" t="s">
        <v>963</v>
      </c>
      <c r="AD256" t="s">
        <v>964</v>
      </c>
    </row>
    <row r="257" spans="1:30" x14ac:dyDescent="0.25">
      <c r="A257" t="s">
        <v>33</v>
      </c>
      <c r="D257" t="s">
        <v>565</v>
      </c>
      <c r="E257" t="s">
        <v>566</v>
      </c>
      <c r="F257" t="s">
        <v>36</v>
      </c>
      <c r="G257" t="s">
        <v>958</v>
      </c>
      <c r="H257" t="s">
        <v>38</v>
      </c>
      <c r="I257" t="s">
        <v>68</v>
      </c>
      <c r="J257" t="s">
        <v>69</v>
      </c>
      <c r="K257" t="s">
        <v>41</v>
      </c>
      <c r="L257" t="s">
        <v>959</v>
      </c>
      <c r="M257" t="s">
        <v>960</v>
      </c>
      <c r="N257" t="s">
        <v>961</v>
      </c>
      <c r="O257" t="s">
        <v>71</v>
      </c>
      <c r="R257" t="s">
        <v>965</v>
      </c>
      <c r="S257" t="s">
        <v>573</v>
      </c>
      <c r="V257" t="s">
        <v>574</v>
      </c>
      <c r="W257" t="s">
        <v>568</v>
      </c>
      <c r="X257" t="s">
        <v>963</v>
      </c>
      <c r="AD257" t="s">
        <v>966</v>
      </c>
    </row>
    <row r="258" spans="1:30" x14ac:dyDescent="0.25">
      <c r="A258" t="s">
        <v>33</v>
      </c>
      <c r="D258" t="s">
        <v>565</v>
      </c>
      <c r="E258" t="s">
        <v>566</v>
      </c>
      <c r="F258" t="s">
        <v>87</v>
      </c>
      <c r="G258" t="s">
        <v>669</v>
      </c>
      <c r="H258" t="s">
        <v>153</v>
      </c>
      <c r="I258" t="s">
        <v>144</v>
      </c>
      <c r="J258" t="s">
        <v>154</v>
      </c>
      <c r="K258" t="s">
        <v>155</v>
      </c>
      <c r="L258" t="s">
        <v>670</v>
      </c>
      <c r="N258" t="s">
        <v>671</v>
      </c>
      <c r="O258" t="s">
        <v>156</v>
      </c>
      <c r="R258" t="s">
        <v>967</v>
      </c>
      <c r="S258" t="s">
        <v>573</v>
      </c>
      <c r="V258" t="s">
        <v>574</v>
      </c>
      <c r="W258" t="s">
        <v>568</v>
      </c>
      <c r="AD258" t="s">
        <v>968</v>
      </c>
    </row>
    <row r="259" spans="1:30" x14ac:dyDescent="0.25">
      <c r="A259" t="s">
        <v>33</v>
      </c>
      <c r="D259" t="s">
        <v>565</v>
      </c>
      <c r="E259" t="s">
        <v>566</v>
      </c>
      <c r="F259" t="s">
        <v>866</v>
      </c>
      <c r="G259" t="s">
        <v>969</v>
      </c>
      <c r="H259" t="s">
        <v>153</v>
      </c>
      <c r="I259" t="s">
        <v>598</v>
      </c>
      <c r="J259" t="s">
        <v>154</v>
      </c>
      <c r="K259" t="s">
        <v>155</v>
      </c>
      <c r="L259" t="s">
        <v>970</v>
      </c>
      <c r="N259" t="s">
        <v>971</v>
      </c>
      <c r="O259" t="s">
        <v>599</v>
      </c>
      <c r="R259" t="s">
        <v>972</v>
      </c>
      <c r="S259" t="s">
        <v>573</v>
      </c>
      <c r="V259" t="s">
        <v>574</v>
      </c>
      <c r="W259" t="s">
        <v>568</v>
      </c>
      <c r="AD259" t="s">
        <v>973</v>
      </c>
    </row>
    <row r="260" spans="1:30" x14ac:dyDescent="0.25">
      <c r="A260" t="s">
        <v>33</v>
      </c>
      <c r="D260" t="s">
        <v>565</v>
      </c>
      <c r="E260" t="s">
        <v>566</v>
      </c>
      <c r="F260" t="s">
        <v>36</v>
      </c>
      <c r="G260" t="s">
        <v>958</v>
      </c>
      <c r="H260" t="s">
        <v>89</v>
      </c>
      <c r="I260" t="s">
        <v>716</v>
      </c>
      <c r="J260" t="s">
        <v>91</v>
      </c>
      <c r="K260" t="s">
        <v>92</v>
      </c>
      <c r="L260" t="s">
        <v>959</v>
      </c>
      <c r="M260" t="s">
        <v>94</v>
      </c>
      <c r="N260" t="s">
        <v>961</v>
      </c>
      <c r="O260" t="s">
        <v>974</v>
      </c>
      <c r="P260">
        <v>1E-3</v>
      </c>
      <c r="R260" t="s">
        <v>975</v>
      </c>
      <c r="S260" t="s">
        <v>573</v>
      </c>
      <c r="V260" t="s">
        <v>574</v>
      </c>
      <c r="W260" t="s">
        <v>568</v>
      </c>
      <c r="AD260" t="s">
        <v>976</v>
      </c>
    </row>
    <row r="261" spans="1:30" x14ac:dyDescent="0.25">
      <c r="A261" t="s">
        <v>33</v>
      </c>
      <c r="D261" t="s">
        <v>565</v>
      </c>
      <c r="E261" t="s">
        <v>566</v>
      </c>
      <c r="F261" t="s">
        <v>36</v>
      </c>
      <c r="G261" t="s">
        <v>958</v>
      </c>
      <c r="H261" t="s">
        <v>143</v>
      </c>
      <c r="I261" t="s">
        <v>716</v>
      </c>
      <c r="J261" t="s">
        <v>145</v>
      </c>
      <c r="K261" t="s">
        <v>146</v>
      </c>
      <c r="L261" t="s">
        <v>959</v>
      </c>
      <c r="M261" t="s">
        <v>139</v>
      </c>
      <c r="N261" t="s">
        <v>961</v>
      </c>
      <c r="O261" t="s">
        <v>977</v>
      </c>
      <c r="R261" t="s">
        <v>978</v>
      </c>
      <c r="S261" t="s">
        <v>573</v>
      </c>
      <c r="V261" t="s">
        <v>574</v>
      </c>
      <c r="W261" t="s">
        <v>568</v>
      </c>
      <c r="X261" t="s">
        <v>56</v>
      </c>
      <c r="AD261" t="s">
        <v>979</v>
      </c>
    </row>
    <row r="262" spans="1:30" x14ac:dyDescent="0.25">
      <c r="A262" t="s">
        <v>33</v>
      </c>
      <c r="D262" t="s">
        <v>565</v>
      </c>
      <c r="E262" t="s">
        <v>566</v>
      </c>
      <c r="F262" t="s">
        <v>866</v>
      </c>
      <c r="G262" t="s">
        <v>980</v>
      </c>
      <c r="H262" t="s">
        <v>153</v>
      </c>
      <c r="I262" t="s">
        <v>598</v>
      </c>
      <c r="J262" t="s">
        <v>154</v>
      </c>
      <c r="K262" t="s">
        <v>155</v>
      </c>
      <c r="L262" t="s">
        <v>981</v>
      </c>
      <c r="N262" t="s">
        <v>971</v>
      </c>
      <c r="O262" t="s">
        <v>599</v>
      </c>
      <c r="R262" t="s">
        <v>982</v>
      </c>
      <c r="S262" t="s">
        <v>573</v>
      </c>
      <c r="V262" t="s">
        <v>574</v>
      </c>
      <c r="W262" t="s">
        <v>568</v>
      </c>
      <c r="AD262" t="s">
        <v>973</v>
      </c>
    </row>
    <row r="263" spans="1:30" x14ac:dyDescent="0.25">
      <c r="A263" t="s">
        <v>33</v>
      </c>
      <c r="D263" t="s">
        <v>565</v>
      </c>
      <c r="E263" t="s">
        <v>566</v>
      </c>
      <c r="F263" t="s">
        <v>36</v>
      </c>
      <c r="G263" t="s">
        <v>958</v>
      </c>
      <c r="H263" t="s">
        <v>89</v>
      </c>
      <c r="I263" t="s">
        <v>721</v>
      </c>
      <c r="J263" t="s">
        <v>91</v>
      </c>
      <c r="K263" t="s">
        <v>92</v>
      </c>
      <c r="L263" t="s">
        <v>959</v>
      </c>
      <c r="M263" t="s">
        <v>94</v>
      </c>
      <c r="N263" t="s">
        <v>961</v>
      </c>
      <c r="O263" t="s">
        <v>983</v>
      </c>
      <c r="P263">
        <v>1E-3</v>
      </c>
      <c r="R263" t="s">
        <v>984</v>
      </c>
      <c r="S263" t="s">
        <v>573</v>
      </c>
      <c r="V263" t="s">
        <v>574</v>
      </c>
      <c r="W263" t="s">
        <v>568</v>
      </c>
      <c r="AD263" t="s">
        <v>985</v>
      </c>
    </row>
    <row r="264" spans="1:30" x14ac:dyDescent="0.25">
      <c r="A264" t="s">
        <v>33</v>
      </c>
      <c r="D264" t="s">
        <v>565</v>
      </c>
      <c r="E264" t="s">
        <v>566</v>
      </c>
      <c r="F264" t="s">
        <v>36</v>
      </c>
      <c r="G264" t="s">
        <v>958</v>
      </c>
      <c r="H264" t="s">
        <v>143</v>
      </c>
      <c r="I264" t="s">
        <v>721</v>
      </c>
      <c r="J264" t="s">
        <v>145</v>
      </c>
      <c r="K264" t="s">
        <v>146</v>
      </c>
      <c r="L264" t="s">
        <v>959</v>
      </c>
      <c r="M264" t="s">
        <v>139</v>
      </c>
      <c r="N264" t="s">
        <v>961</v>
      </c>
      <c r="O264" t="s">
        <v>986</v>
      </c>
      <c r="R264" t="s">
        <v>978</v>
      </c>
      <c r="S264" t="s">
        <v>573</v>
      </c>
      <c r="V264" t="s">
        <v>574</v>
      </c>
      <c r="W264" t="s">
        <v>568</v>
      </c>
      <c r="X264" t="s">
        <v>56</v>
      </c>
      <c r="AD264" t="s">
        <v>987</v>
      </c>
    </row>
    <row r="265" spans="1:30" x14ac:dyDescent="0.25">
      <c r="A265" t="s">
        <v>33</v>
      </c>
      <c r="D265" t="s">
        <v>565</v>
      </c>
      <c r="E265" t="s">
        <v>566</v>
      </c>
      <c r="F265" t="s">
        <v>36</v>
      </c>
      <c r="G265" t="s">
        <v>958</v>
      </c>
      <c r="H265" t="s">
        <v>89</v>
      </c>
      <c r="I265" t="s">
        <v>100</v>
      </c>
      <c r="J265" t="s">
        <v>91</v>
      </c>
      <c r="K265" t="s">
        <v>92</v>
      </c>
      <c r="L265" t="s">
        <v>959</v>
      </c>
      <c r="M265" t="s">
        <v>94</v>
      </c>
      <c r="N265" t="s">
        <v>961</v>
      </c>
      <c r="O265" t="s">
        <v>445</v>
      </c>
      <c r="P265">
        <v>1E-3</v>
      </c>
      <c r="R265" t="s">
        <v>988</v>
      </c>
      <c r="S265" t="s">
        <v>573</v>
      </c>
      <c r="V265" t="s">
        <v>574</v>
      </c>
      <c r="W265" t="s">
        <v>568</v>
      </c>
      <c r="AD265" t="s">
        <v>989</v>
      </c>
    </row>
    <row r="266" spans="1:30" x14ac:dyDescent="0.25">
      <c r="A266" t="s">
        <v>33</v>
      </c>
      <c r="D266" t="s">
        <v>565</v>
      </c>
      <c r="E266" t="s">
        <v>566</v>
      </c>
      <c r="F266" t="s">
        <v>36</v>
      </c>
      <c r="G266" t="s">
        <v>958</v>
      </c>
      <c r="H266" t="s">
        <v>143</v>
      </c>
      <c r="I266" t="s">
        <v>100</v>
      </c>
      <c r="J266" t="s">
        <v>145</v>
      </c>
      <c r="K266" t="s">
        <v>146</v>
      </c>
      <c r="L266" t="s">
        <v>959</v>
      </c>
      <c r="M266" t="s">
        <v>139</v>
      </c>
      <c r="N266" t="s">
        <v>961</v>
      </c>
      <c r="O266" t="s">
        <v>442</v>
      </c>
      <c r="R266" t="s">
        <v>978</v>
      </c>
      <c r="S266" t="s">
        <v>573</v>
      </c>
      <c r="V266" t="s">
        <v>574</v>
      </c>
      <c r="W266" t="s">
        <v>568</v>
      </c>
      <c r="X266" t="s">
        <v>56</v>
      </c>
      <c r="AD266" t="s">
        <v>990</v>
      </c>
    </row>
    <row r="267" spans="1:30" x14ac:dyDescent="0.25">
      <c r="A267" t="s">
        <v>33</v>
      </c>
      <c r="D267" t="s">
        <v>565</v>
      </c>
      <c r="E267" t="s">
        <v>566</v>
      </c>
      <c r="F267" t="s">
        <v>36</v>
      </c>
      <c r="G267" t="s">
        <v>958</v>
      </c>
      <c r="H267" t="s">
        <v>38</v>
      </c>
      <c r="I267" t="s">
        <v>25</v>
      </c>
      <c r="J267" t="s">
        <v>69</v>
      </c>
      <c r="K267" t="s">
        <v>41</v>
      </c>
      <c r="L267" t="s">
        <v>959</v>
      </c>
      <c r="M267" t="s">
        <v>139</v>
      </c>
      <c r="N267" t="s">
        <v>961</v>
      </c>
      <c r="O267" t="s">
        <v>512</v>
      </c>
      <c r="R267" t="s">
        <v>991</v>
      </c>
      <c r="S267" t="s">
        <v>573</v>
      </c>
      <c r="V267" t="s">
        <v>574</v>
      </c>
      <c r="W267" t="s">
        <v>568</v>
      </c>
      <c r="X267" t="s">
        <v>56</v>
      </c>
      <c r="AD267" t="s">
        <v>992</v>
      </c>
    </row>
    <row r="268" spans="1:30" x14ac:dyDescent="0.25">
      <c r="A268" t="s">
        <v>33</v>
      </c>
      <c r="D268" t="s">
        <v>565</v>
      </c>
      <c r="E268" t="s">
        <v>566</v>
      </c>
      <c r="F268" t="s">
        <v>36</v>
      </c>
      <c r="G268" t="s">
        <v>958</v>
      </c>
      <c r="H268" t="s">
        <v>38</v>
      </c>
      <c r="I268" t="s">
        <v>24</v>
      </c>
      <c r="J268" t="s">
        <v>69</v>
      </c>
      <c r="K268" t="s">
        <v>41</v>
      </c>
      <c r="L268" t="s">
        <v>959</v>
      </c>
      <c r="M268" t="s">
        <v>139</v>
      </c>
      <c r="N268" t="s">
        <v>961</v>
      </c>
      <c r="O268" t="s">
        <v>509</v>
      </c>
      <c r="R268" t="s">
        <v>993</v>
      </c>
      <c r="S268" t="s">
        <v>573</v>
      </c>
      <c r="V268" t="s">
        <v>574</v>
      </c>
      <c r="W268" t="s">
        <v>568</v>
      </c>
      <c r="X268" t="s">
        <v>56</v>
      </c>
      <c r="AD268" t="s">
        <v>994</v>
      </c>
    </row>
    <row r="269" spans="1:30" x14ac:dyDescent="0.25">
      <c r="A269" t="s">
        <v>33</v>
      </c>
      <c r="D269" t="s">
        <v>565</v>
      </c>
      <c r="E269" t="s">
        <v>566</v>
      </c>
      <c r="F269" t="s">
        <v>36</v>
      </c>
      <c r="G269" t="s">
        <v>958</v>
      </c>
      <c r="H269" t="s">
        <v>38</v>
      </c>
      <c r="I269" t="s">
        <v>63</v>
      </c>
      <c r="J269" t="s">
        <v>40</v>
      </c>
      <c r="K269" t="s">
        <v>41</v>
      </c>
      <c r="L269" t="s">
        <v>959</v>
      </c>
      <c r="M269" t="s">
        <v>139</v>
      </c>
      <c r="N269" t="s">
        <v>961</v>
      </c>
      <c r="O269" t="s">
        <v>65</v>
      </c>
      <c r="R269" t="s">
        <v>995</v>
      </c>
      <c r="S269" t="s">
        <v>573</v>
      </c>
      <c r="V269" t="s">
        <v>574</v>
      </c>
      <c r="W269" t="s">
        <v>568</v>
      </c>
      <c r="X269" t="s">
        <v>56</v>
      </c>
      <c r="AD269" t="s">
        <v>996</v>
      </c>
    </row>
    <row r="270" spans="1:30" x14ac:dyDescent="0.25">
      <c r="A270" t="s">
        <v>33</v>
      </c>
      <c r="D270" t="s">
        <v>565</v>
      </c>
      <c r="E270" t="s">
        <v>566</v>
      </c>
      <c r="F270" t="s">
        <v>866</v>
      </c>
      <c r="G270" t="s">
        <v>969</v>
      </c>
      <c r="H270" t="s">
        <v>153</v>
      </c>
      <c r="I270" t="s">
        <v>997</v>
      </c>
      <c r="J270" t="s">
        <v>154</v>
      </c>
      <c r="K270" t="s">
        <v>155</v>
      </c>
      <c r="L270" t="s">
        <v>970</v>
      </c>
      <c r="N270" t="s">
        <v>971</v>
      </c>
      <c r="O270" t="s">
        <v>998</v>
      </c>
      <c r="R270" t="s">
        <v>999</v>
      </c>
      <c r="S270" t="s">
        <v>573</v>
      </c>
      <c r="V270" t="s">
        <v>574</v>
      </c>
      <c r="W270" t="s">
        <v>568</v>
      </c>
      <c r="AD270" t="s">
        <v>1000</v>
      </c>
    </row>
    <row r="271" spans="1:30" x14ac:dyDescent="0.25">
      <c r="A271" t="s">
        <v>33</v>
      </c>
      <c r="D271" t="s">
        <v>565</v>
      </c>
      <c r="E271" t="s">
        <v>566</v>
      </c>
      <c r="F271" t="s">
        <v>866</v>
      </c>
      <c r="G271" t="s">
        <v>980</v>
      </c>
      <c r="H271" t="s">
        <v>153</v>
      </c>
      <c r="I271" t="s">
        <v>997</v>
      </c>
      <c r="J271" t="s">
        <v>154</v>
      </c>
      <c r="K271" t="s">
        <v>155</v>
      </c>
      <c r="L271" t="s">
        <v>981</v>
      </c>
      <c r="N271" t="s">
        <v>971</v>
      </c>
      <c r="O271" t="s">
        <v>998</v>
      </c>
      <c r="R271" t="s">
        <v>1001</v>
      </c>
      <c r="S271" t="s">
        <v>573</v>
      </c>
      <c r="V271" t="s">
        <v>574</v>
      </c>
      <c r="W271" t="s">
        <v>568</v>
      </c>
      <c r="AD271" t="s">
        <v>1000</v>
      </c>
    </row>
    <row r="272" spans="1:30" x14ac:dyDescent="0.25">
      <c r="A272" t="s">
        <v>33</v>
      </c>
      <c r="D272" t="s">
        <v>565</v>
      </c>
      <c r="E272" t="s">
        <v>566</v>
      </c>
      <c r="F272" t="s">
        <v>87</v>
      </c>
      <c r="G272" t="s">
        <v>632</v>
      </c>
      <c r="H272" t="s">
        <v>89</v>
      </c>
      <c r="I272" t="s">
        <v>144</v>
      </c>
      <c r="J272" t="s">
        <v>91</v>
      </c>
      <c r="K272" t="s">
        <v>92</v>
      </c>
      <c r="L272" t="s">
        <v>633</v>
      </c>
      <c r="M272" t="s">
        <v>94</v>
      </c>
      <c r="N272" t="s">
        <v>634</v>
      </c>
      <c r="O272" t="s">
        <v>150</v>
      </c>
      <c r="P272">
        <v>1E-3</v>
      </c>
      <c r="R272" t="s">
        <v>1002</v>
      </c>
      <c r="S272" t="s">
        <v>573</v>
      </c>
      <c r="V272" t="s">
        <v>574</v>
      </c>
      <c r="W272" t="s">
        <v>568</v>
      </c>
      <c r="AD272" t="s">
        <v>1003</v>
      </c>
    </row>
    <row r="273" spans="1:30" x14ac:dyDescent="0.25">
      <c r="A273" t="s">
        <v>33</v>
      </c>
      <c r="D273" t="s">
        <v>565</v>
      </c>
      <c r="E273" t="s">
        <v>566</v>
      </c>
      <c r="F273" t="s">
        <v>87</v>
      </c>
      <c r="G273" t="s">
        <v>632</v>
      </c>
      <c r="H273" t="s">
        <v>143</v>
      </c>
      <c r="I273" t="s">
        <v>144</v>
      </c>
      <c r="J273" t="s">
        <v>145</v>
      </c>
      <c r="K273" t="s">
        <v>146</v>
      </c>
      <c r="L273" t="s">
        <v>633</v>
      </c>
      <c r="M273" t="s">
        <v>1004</v>
      </c>
      <c r="N273" t="s">
        <v>634</v>
      </c>
      <c r="O273" t="s">
        <v>147</v>
      </c>
      <c r="R273" t="s">
        <v>1005</v>
      </c>
      <c r="S273" t="s">
        <v>573</v>
      </c>
      <c r="V273" t="s">
        <v>574</v>
      </c>
      <c r="W273" t="s">
        <v>568</v>
      </c>
      <c r="AD273" t="s">
        <v>1006</v>
      </c>
    </row>
    <row r="274" spans="1:30" x14ac:dyDescent="0.25">
      <c r="A274" t="s">
        <v>33</v>
      </c>
      <c r="D274" t="s">
        <v>565</v>
      </c>
      <c r="E274" t="s">
        <v>566</v>
      </c>
      <c r="F274" t="s">
        <v>87</v>
      </c>
      <c r="G274" t="s">
        <v>675</v>
      </c>
      <c r="H274" t="s">
        <v>153</v>
      </c>
      <c r="I274" t="s">
        <v>144</v>
      </c>
      <c r="J274" t="s">
        <v>154</v>
      </c>
      <c r="K274" t="s">
        <v>155</v>
      </c>
      <c r="L274" t="s">
        <v>676</v>
      </c>
      <c r="N274" t="s">
        <v>677</v>
      </c>
      <c r="O274" t="s">
        <v>156</v>
      </c>
      <c r="R274" t="s">
        <v>1007</v>
      </c>
      <c r="S274" t="s">
        <v>573</v>
      </c>
      <c r="V274" t="s">
        <v>574</v>
      </c>
      <c r="W274" t="s">
        <v>568</v>
      </c>
      <c r="AD274" t="s">
        <v>1008</v>
      </c>
    </row>
    <row r="275" spans="1:30" x14ac:dyDescent="0.25">
      <c r="A275" t="s">
        <v>33</v>
      </c>
      <c r="D275" t="s">
        <v>565</v>
      </c>
      <c r="E275" t="s">
        <v>566</v>
      </c>
      <c r="F275" t="s">
        <v>87</v>
      </c>
      <c r="G275" t="s">
        <v>632</v>
      </c>
      <c r="H275" t="s">
        <v>89</v>
      </c>
      <c r="I275" t="s">
        <v>90</v>
      </c>
      <c r="J275" t="s">
        <v>91</v>
      </c>
      <c r="K275" t="s">
        <v>92</v>
      </c>
      <c r="L275" t="s">
        <v>633</v>
      </c>
      <c r="M275" t="s">
        <v>94</v>
      </c>
      <c r="N275" t="s">
        <v>634</v>
      </c>
      <c r="O275" t="s">
        <v>383</v>
      </c>
      <c r="P275">
        <v>1E-3</v>
      </c>
      <c r="R275" t="s">
        <v>1009</v>
      </c>
      <c r="S275" t="s">
        <v>573</v>
      </c>
      <c r="V275" t="s">
        <v>574</v>
      </c>
      <c r="W275" t="s">
        <v>568</v>
      </c>
      <c r="AD275" t="s">
        <v>1010</v>
      </c>
    </row>
    <row r="276" spans="1:30" x14ac:dyDescent="0.25">
      <c r="A276" t="s">
        <v>33</v>
      </c>
      <c r="D276" t="s">
        <v>565</v>
      </c>
      <c r="E276" t="s">
        <v>566</v>
      </c>
      <c r="F276" t="s">
        <v>87</v>
      </c>
      <c r="G276" t="s">
        <v>632</v>
      </c>
      <c r="H276" t="s">
        <v>143</v>
      </c>
      <c r="I276" t="s">
        <v>90</v>
      </c>
      <c r="J276" t="s">
        <v>145</v>
      </c>
      <c r="K276" t="s">
        <v>146</v>
      </c>
      <c r="L276" t="s">
        <v>633</v>
      </c>
      <c r="M276" t="s">
        <v>1004</v>
      </c>
      <c r="N276" t="s">
        <v>634</v>
      </c>
      <c r="O276" t="s">
        <v>380</v>
      </c>
      <c r="R276" t="s">
        <v>1011</v>
      </c>
      <c r="S276" t="s">
        <v>573</v>
      </c>
      <c r="V276" t="s">
        <v>574</v>
      </c>
      <c r="W276" t="s">
        <v>568</v>
      </c>
      <c r="AD276" t="s">
        <v>1012</v>
      </c>
    </row>
    <row r="277" spans="1:30" x14ac:dyDescent="0.25">
      <c r="A277" t="s">
        <v>33</v>
      </c>
      <c r="D277" t="s">
        <v>565</v>
      </c>
      <c r="E277" t="s">
        <v>566</v>
      </c>
      <c r="F277" t="s">
        <v>87</v>
      </c>
      <c r="G277" t="s">
        <v>1013</v>
      </c>
      <c r="H277" t="s">
        <v>153</v>
      </c>
      <c r="I277" t="s">
        <v>90</v>
      </c>
      <c r="J277" t="s">
        <v>154</v>
      </c>
      <c r="K277" t="s">
        <v>155</v>
      </c>
      <c r="L277" t="s">
        <v>1014</v>
      </c>
      <c r="N277" t="s">
        <v>1015</v>
      </c>
      <c r="O277" t="s">
        <v>213</v>
      </c>
      <c r="R277" t="s">
        <v>1016</v>
      </c>
      <c r="S277" t="s">
        <v>573</v>
      </c>
      <c r="V277" t="s">
        <v>574</v>
      </c>
      <c r="W277" t="s">
        <v>568</v>
      </c>
      <c r="AD277" t="s">
        <v>1017</v>
      </c>
    </row>
    <row r="278" spans="1:30" x14ac:dyDescent="0.25">
      <c r="A278" t="s">
        <v>33</v>
      </c>
      <c r="D278" t="s">
        <v>565</v>
      </c>
      <c r="E278" t="s">
        <v>566</v>
      </c>
      <c r="F278" t="s">
        <v>87</v>
      </c>
      <c r="G278" t="s">
        <v>632</v>
      </c>
      <c r="H278" t="s">
        <v>89</v>
      </c>
      <c r="I278" t="s">
        <v>100</v>
      </c>
      <c r="J278" t="s">
        <v>91</v>
      </c>
      <c r="K278" t="s">
        <v>92</v>
      </c>
      <c r="L278" t="s">
        <v>633</v>
      </c>
      <c r="M278" t="s">
        <v>94</v>
      </c>
      <c r="N278" t="s">
        <v>634</v>
      </c>
      <c r="O278" t="s">
        <v>445</v>
      </c>
      <c r="P278">
        <v>1E-3</v>
      </c>
      <c r="R278" t="s">
        <v>1018</v>
      </c>
      <c r="S278" t="s">
        <v>573</v>
      </c>
      <c r="V278" t="s">
        <v>574</v>
      </c>
      <c r="W278" t="s">
        <v>568</v>
      </c>
      <c r="AD278" t="s">
        <v>1019</v>
      </c>
    </row>
    <row r="279" spans="1:30" x14ac:dyDescent="0.25">
      <c r="A279" t="s">
        <v>33</v>
      </c>
      <c r="D279" t="s">
        <v>565</v>
      </c>
      <c r="E279" t="s">
        <v>566</v>
      </c>
      <c r="F279" t="s">
        <v>87</v>
      </c>
      <c r="G279" t="s">
        <v>632</v>
      </c>
      <c r="H279" t="s">
        <v>143</v>
      </c>
      <c r="I279" t="s">
        <v>100</v>
      </c>
      <c r="J279" t="s">
        <v>145</v>
      </c>
      <c r="K279" t="s">
        <v>146</v>
      </c>
      <c r="L279" t="s">
        <v>633</v>
      </c>
      <c r="M279" t="s">
        <v>1004</v>
      </c>
      <c r="N279" t="s">
        <v>634</v>
      </c>
      <c r="O279" t="s">
        <v>442</v>
      </c>
      <c r="R279" t="s">
        <v>1020</v>
      </c>
      <c r="S279" t="s">
        <v>573</v>
      </c>
      <c r="V279" t="s">
        <v>574</v>
      </c>
      <c r="W279" t="s">
        <v>568</v>
      </c>
      <c r="AD279" t="s">
        <v>1021</v>
      </c>
    </row>
    <row r="280" spans="1:30" x14ac:dyDescent="0.25">
      <c r="A280" t="s">
        <v>33</v>
      </c>
      <c r="D280" t="s">
        <v>565</v>
      </c>
      <c r="E280" t="s">
        <v>566</v>
      </c>
      <c r="F280" t="s">
        <v>87</v>
      </c>
      <c r="G280" t="s">
        <v>632</v>
      </c>
      <c r="H280" t="s">
        <v>38</v>
      </c>
      <c r="I280" t="s">
        <v>106</v>
      </c>
      <c r="J280" t="s">
        <v>40</v>
      </c>
      <c r="K280" t="s">
        <v>41</v>
      </c>
      <c r="L280" t="s">
        <v>633</v>
      </c>
      <c r="M280" t="s">
        <v>1004</v>
      </c>
      <c r="N280" t="s">
        <v>634</v>
      </c>
      <c r="O280" t="s">
        <v>109</v>
      </c>
      <c r="R280" t="s">
        <v>1022</v>
      </c>
      <c r="S280" t="s">
        <v>573</v>
      </c>
      <c r="V280" t="s">
        <v>574</v>
      </c>
      <c r="W280" t="s">
        <v>568</v>
      </c>
      <c r="AD280" t="s">
        <v>1023</v>
      </c>
    </row>
    <row r="281" spans="1:30" x14ac:dyDescent="0.25">
      <c r="A281" t="s">
        <v>33</v>
      </c>
      <c r="D281" t="s">
        <v>565</v>
      </c>
      <c r="E281" t="s">
        <v>566</v>
      </c>
      <c r="F281" t="s">
        <v>87</v>
      </c>
      <c r="G281" t="s">
        <v>632</v>
      </c>
      <c r="H281" t="s">
        <v>38</v>
      </c>
      <c r="I281" t="s">
        <v>25</v>
      </c>
      <c r="J281" t="s">
        <v>69</v>
      </c>
      <c r="K281" t="s">
        <v>41</v>
      </c>
      <c r="L281" t="s">
        <v>633</v>
      </c>
      <c r="M281" t="s">
        <v>1004</v>
      </c>
      <c r="N281" t="s">
        <v>634</v>
      </c>
      <c r="O281" t="s">
        <v>512</v>
      </c>
      <c r="R281" t="s">
        <v>1024</v>
      </c>
      <c r="S281" t="s">
        <v>573</v>
      </c>
      <c r="V281" t="s">
        <v>574</v>
      </c>
      <c r="W281" t="s">
        <v>568</v>
      </c>
      <c r="AD281" t="s">
        <v>1025</v>
      </c>
    </row>
    <row r="282" spans="1:30" x14ac:dyDescent="0.25">
      <c r="A282" t="s">
        <v>33</v>
      </c>
      <c r="D282" t="s">
        <v>565</v>
      </c>
      <c r="E282" t="s">
        <v>566</v>
      </c>
      <c r="F282" t="s">
        <v>87</v>
      </c>
      <c r="G282" t="s">
        <v>632</v>
      </c>
      <c r="H282" t="s">
        <v>38</v>
      </c>
      <c r="I282" t="s">
        <v>24</v>
      </c>
      <c r="J282" t="s">
        <v>69</v>
      </c>
      <c r="K282" t="s">
        <v>41</v>
      </c>
      <c r="L282" t="s">
        <v>633</v>
      </c>
      <c r="M282" t="s">
        <v>1004</v>
      </c>
      <c r="N282" t="s">
        <v>634</v>
      </c>
      <c r="O282" t="s">
        <v>509</v>
      </c>
      <c r="R282" t="s">
        <v>1026</v>
      </c>
      <c r="S282" t="s">
        <v>573</v>
      </c>
      <c r="V282" t="s">
        <v>574</v>
      </c>
      <c r="W282" t="s">
        <v>568</v>
      </c>
      <c r="AD282" t="s">
        <v>1027</v>
      </c>
    </row>
    <row r="283" spans="1:30" x14ac:dyDescent="0.25">
      <c r="A283" t="s">
        <v>33</v>
      </c>
      <c r="D283" t="s">
        <v>565</v>
      </c>
      <c r="E283" t="s">
        <v>566</v>
      </c>
      <c r="F283" t="s">
        <v>87</v>
      </c>
      <c r="G283" t="s">
        <v>710</v>
      </c>
      <c r="H283" t="s">
        <v>153</v>
      </c>
      <c r="I283" t="s">
        <v>180</v>
      </c>
      <c r="J283" t="s">
        <v>154</v>
      </c>
      <c r="K283" t="s">
        <v>155</v>
      </c>
      <c r="L283" t="s">
        <v>711</v>
      </c>
      <c r="N283" t="s">
        <v>712</v>
      </c>
      <c r="O283" t="s">
        <v>187</v>
      </c>
      <c r="R283" t="s">
        <v>1028</v>
      </c>
      <c r="S283" t="s">
        <v>573</v>
      </c>
      <c r="V283" t="s">
        <v>574</v>
      </c>
      <c r="W283" t="s">
        <v>568</v>
      </c>
      <c r="AD283" t="s">
        <v>1029</v>
      </c>
    </row>
    <row r="284" spans="1:30" x14ac:dyDescent="0.25">
      <c r="A284" t="s">
        <v>33</v>
      </c>
      <c r="D284" t="s">
        <v>565</v>
      </c>
      <c r="E284" t="s">
        <v>566</v>
      </c>
      <c r="H284" t="s">
        <v>166</v>
      </c>
      <c r="I284" t="s">
        <v>281</v>
      </c>
      <c r="J284" t="s">
        <v>167</v>
      </c>
      <c r="K284" t="s">
        <v>41</v>
      </c>
      <c r="L284" t="s">
        <v>568</v>
      </c>
      <c r="N284" t="s">
        <v>569</v>
      </c>
      <c r="O284" t="s">
        <v>858</v>
      </c>
      <c r="Q284" t="s">
        <v>859</v>
      </c>
      <c r="R284" t="s">
        <v>1030</v>
      </c>
      <c r="S284" t="s">
        <v>573</v>
      </c>
      <c r="V284" t="s">
        <v>574</v>
      </c>
      <c r="W284" t="s">
        <v>568</v>
      </c>
      <c r="AD284" t="s">
        <v>1031</v>
      </c>
    </row>
    <row r="285" spans="1:30" x14ac:dyDescent="0.25">
      <c r="A285" t="s">
        <v>33</v>
      </c>
      <c r="D285" t="s">
        <v>565</v>
      </c>
      <c r="E285" t="s">
        <v>566</v>
      </c>
      <c r="H285" t="s">
        <v>143</v>
      </c>
      <c r="I285" t="s">
        <v>1032</v>
      </c>
      <c r="J285" t="s">
        <v>145</v>
      </c>
      <c r="K285" t="s">
        <v>146</v>
      </c>
      <c r="L285" t="s">
        <v>568</v>
      </c>
      <c r="M285" t="s">
        <v>252</v>
      </c>
      <c r="N285" t="s">
        <v>569</v>
      </c>
      <c r="O285" t="s">
        <v>1033</v>
      </c>
      <c r="R285" t="s">
        <v>1034</v>
      </c>
      <c r="S285" t="s">
        <v>573</v>
      </c>
      <c r="V285" t="s">
        <v>574</v>
      </c>
      <c r="W285" t="s">
        <v>568</v>
      </c>
      <c r="AD285" t="s">
        <v>1035</v>
      </c>
    </row>
    <row r="286" spans="1:30" x14ac:dyDescent="0.25">
      <c r="A286" t="s">
        <v>33</v>
      </c>
      <c r="D286" t="s">
        <v>565</v>
      </c>
      <c r="E286" t="s">
        <v>566</v>
      </c>
      <c r="H286" t="s">
        <v>143</v>
      </c>
      <c r="I286" t="s">
        <v>1036</v>
      </c>
      <c r="J286" t="s">
        <v>145</v>
      </c>
      <c r="K286" t="s">
        <v>146</v>
      </c>
      <c r="L286" t="s">
        <v>568</v>
      </c>
      <c r="M286" t="s">
        <v>252</v>
      </c>
      <c r="N286" t="s">
        <v>569</v>
      </c>
      <c r="O286" t="s">
        <v>1037</v>
      </c>
      <c r="R286" t="s">
        <v>1038</v>
      </c>
      <c r="S286" t="s">
        <v>573</v>
      </c>
      <c r="V286" t="s">
        <v>574</v>
      </c>
      <c r="W286" t="s">
        <v>568</v>
      </c>
      <c r="AD286" t="s">
        <v>1039</v>
      </c>
    </row>
    <row r="287" spans="1:30" x14ac:dyDescent="0.25">
      <c r="A287" t="s">
        <v>33</v>
      </c>
      <c r="D287" t="s">
        <v>565</v>
      </c>
      <c r="E287" t="s">
        <v>566</v>
      </c>
      <c r="H287" t="s">
        <v>143</v>
      </c>
      <c r="I287" t="s">
        <v>1040</v>
      </c>
      <c r="J287" t="s">
        <v>145</v>
      </c>
      <c r="K287" t="s">
        <v>146</v>
      </c>
      <c r="L287" t="s">
        <v>568</v>
      </c>
      <c r="M287" t="s">
        <v>252</v>
      </c>
      <c r="N287" t="s">
        <v>569</v>
      </c>
      <c r="O287" t="s">
        <v>1041</v>
      </c>
      <c r="R287" t="s">
        <v>1042</v>
      </c>
      <c r="S287" t="s">
        <v>573</v>
      </c>
      <c r="V287" t="s">
        <v>574</v>
      </c>
      <c r="W287" t="s">
        <v>568</v>
      </c>
      <c r="AD287" t="s">
        <v>1043</v>
      </c>
    </row>
    <row r="288" spans="1:30" x14ac:dyDescent="0.25">
      <c r="A288" t="s">
        <v>33</v>
      </c>
      <c r="D288" t="s">
        <v>565</v>
      </c>
      <c r="E288" t="s">
        <v>566</v>
      </c>
      <c r="H288" t="s">
        <v>166</v>
      </c>
      <c r="I288" t="s">
        <v>1044</v>
      </c>
      <c r="J288" t="s">
        <v>167</v>
      </c>
      <c r="K288" t="s">
        <v>41</v>
      </c>
      <c r="L288" t="s">
        <v>568</v>
      </c>
      <c r="N288" t="s">
        <v>569</v>
      </c>
      <c r="O288" t="s">
        <v>1045</v>
      </c>
      <c r="Q288" t="s">
        <v>1046</v>
      </c>
      <c r="R288" t="s">
        <v>1047</v>
      </c>
      <c r="S288" t="s">
        <v>573</v>
      </c>
      <c r="V288" t="s">
        <v>574</v>
      </c>
      <c r="W288" t="s">
        <v>568</v>
      </c>
      <c r="AD288" t="s">
        <v>1048</v>
      </c>
    </row>
    <row r="289" spans="1:30" x14ac:dyDescent="0.25">
      <c r="A289" t="s">
        <v>33</v>
      </c>
      <c r="D289" t="s">
        <v>565</v>
      </c>
      <c r="E289" t="s">
        <v>566</v>
      </c>
      <c r="H289" t="s">
        <v>143</v>
      </c>
      <c r="I289" t="s">
        <v>1049</v>
      </c>
      <c r="J289" t="s">
        <v>145</v>
      </c>
      <c r="K289" t="s">
        <v>146</v>
      </c>
      <c r="L289" t="s">
        <v>568</v>
      </c>
      <c r="M289" t="s">
        <v>1004</v>
      </c>
      <c r="N289" t="s">
        <v>569</v>
      </c>
      <c r="O289" t="s">
        <v>1050</v>
      </c>
      <c r="R289" t="s">
        <v>1051</v>
      </c>
      <c r="S289" t="s">
        <v>573</v>
      </c>
      <c r="V289" t="s">
        <v>574</v>
      </c>
      <c r="W289" t="s">
        <v>568</v>
      </c>
      <c r="AD289" t="s">
        <v>1052</v>
      </c>
    </row>
    <row r="290" spans="1:30" x14ac:dyDescent="0.25">
      <c r="A290" t="s">
        <v>33</v>
      </c>
      <c r="D290" t="s">
        <v>565</v>
      </c>
      <c r="E290" t="s">
        <v>566</v>
      </c>
      <c r="H290" t="s">
        <v>143</v>
      </c>
      <c r="I290" t="s">
        <v>1053</v>
      </c>
      <c r="J290" t="s">
        <v>145</v>
      </c>
      <c r="K290" t="s">
        <v>146</v>
      </c>
      <c r="L290" t="s">
        <v>568</v>
      </c>
      <c r="M290" t="s">
        <v>1004</v>
      </c>
      <c r="N290" t="s">
        <v>569</v>
      </c>
      <c r="O290" t="s">
        <v>1054</v>
      </c>
      <c r="R290" t="s">
        <v>1055</v>
      </c>
      <c r="S290" t="s">
        <v>573</v>
      </c>
      <c r="V290" t="s">
        <v>574</v>
      </c>
      <c r="W290" t="s">
        <v>568</v>
      </c>
      <c r="AD290" t="s">
        <v>1056</v>
      </c>
    </row>
    <row r="291" spans="1:30" x14ac:dyDescent="0.25">
      <c r="A291" t="s">
        <v>33</v>
      </c>
      <c r="D291" t="s">
        <v>565</v>
      </c>
      <c r="E291" t="s">
        <v>566</v>
      </c>
      <c r="H291" t="s">
        <v>143</v>
      </c>
      <c r="I291" t="s">
        <v>1057</v>
      </c>
      <c r="J291" t="s">
        <v>145</v>
      </c>
      <c r="K291" t="s">
        <v>146</v>
      </c>
      <c r="L291" t="s">
        <v>568</v>
      </c>
      <c r="M291" t="s">
        <v>1004</v>
      </c>
      <c r="N291" t="s">
        <v>569</v>
      </c>
      <c r="O291" t="s">
        <v>1058</v>
      </c>
      <c r="R291" t="s">
        <v>1059</v>
      </c>
      <c r="S291" t="s">
        <v>573</v>
      </c>
      <c r="V291" t="s">
        <v>574</v>
      </c>
      <c r="W291" t="s">
        <v>568</v>
      </c>
      <c r="AD291" t="s">
        <v>1060</v>
      </c>
    </row>
    <row r="292" spans="1:30" x14ac:dyDescent="0.25">
      <c r="A292" t="s">
        <v>33</v>
      </c>
      <c r="D292" t="s">
        <v>565</v>
      </c>
      <c r="E292" t="s">
        <v>566</v>
      </c>
      <c r="H292" t="s">
        <v>143</v>
      </c>
      <c r="I292" t="s">
        <v>1061</v>
      </c>
      <c r="J292" t="s">
        <v>145</v>
      </c>
      <c r="K292" t="s">
        <v>146</v>
      </c>
      <c r="L292" t="s">
        <v>568</v>
      </c>
      <c r="M292" t="s">
        <v>252</v>
      </c>
      <c r="N292" t="s">
        <v>569</v>
      </c>
      <c r="O292" t="s">
        <v>1062</v>
      </c>
      <c r="R292" t="s">
        <v>1063</v>
      </c>
      <c r="S292" t="s">
        <v>573</v>
      </c>
      <c r="V292" t="s">
        <v>574</v>
      </c>
      <c r="W292" t="s">
        <v>568</v>
      </c>
      <c r="AD292" t="s">
        <v>1064</v>
      </c>
    </row>
    <row r="293" spans="1:30" x14ac:dyDescent="0.25">
      <c r="A293" t="s">
        <v>33</v>
      </c>
      <c r="D293" t="s">
        <v>565</v>
      </c>
      <c r="E293" t="s">
        <v>566</v>
      </c>
      <c r="H293" t="s">
        <v>143</v>
      </c>
      <c r="I293" t="s">
        <v>1065</v>
      </c>
      <c r="J293" t="s">
        <v>145</v>
      </c>
      <c r="K293" t="s">
        <v>146</v>
      </c>
      <c r="L293" t="s">
        <v>568</v>
      </c>
      <c r="M293" t="s">
        <v>252</v>
      </c>
      <c r="N293" t="s">
        <v>569</v>
      </c>
      <c r="O293" t="s">
        <v>1066</v>
      </c>
      <c r="R293" t="s">
        <v>1067</v>
      </c>
      <c r="S293" t="s">
        <v>573</v>
      </c>
      <c r="V293" t="s">
        <v>574</v>
      </c>
      <c r="W293" t="s">
        <v>568</v>
      </c>
      <c r="AD293" t="s">
        <v>1068</v>
      </c>
    </row>
    <row r="294" spans="1:30" x14ac:dyDescent="0.25">
      <c r="A294" t="s">
        <v>33</v>
      </c>
      <c r="D294" t="s">
        <v>565</v>
      </c>
      <c r="E294" t="s">
        <v>566</v>
      </c>
      <c r="H294" t="s">
        <v>143</v>
      </c>
      <c r="I294" t="s">
        <v>1069</v>
      </c>
      <c r="J294" t="s">
        <v>145</v>
      </c>
      <c r="K294" t="s">
        <v>146</v>
      </c>
      <c r="L294" t="s">
        <v>568</v>
      </c>
      <c r="M294" t="s">
        <v>252</v>
      </c>
      <c r="N294" t="s">
        <v>569</v>
      </c>
      <c r="O294" t="s">
        <v>1070</v>
      </c>
      <c r="R294" t="s">
        <v>1071</v>
      </c>
      <c r="S294" t="s">
        <v>573</v>
      </c>
      <c r="V294" t="s">
        <v>574</v>
      </c>
      <c r="W294" t="s">
        <v>568</v>
      </c>
      <c r="AD294" t="s">
        <v>1072</v>
      </c>
    </row>
    <row r="295" spans="1:30" x14ac:dyDescent="0.25">
      <c r="A295" t="s">
        <v>33</v>
      </c>
      <c r="D295" t="s">
        <v>565</v>
      </c>
      <c r="E295" t="s">
        <v>566</v>
      </c>
      <c r="H295" t="s">
        <v>153</v>
      </c>
      <c r="I295" t="s">
        <v>1073</v>
      </c>
      <c r="J295" t="s">
        <v>154</v>
      </c>
      <c r="K295" t="s">
        <v>155</v>
      </c>
      <c r="L295" t="s">
        <v>568</v>
      </c>
      <c r="N295" t="s">
        <v>569</v>
      </c>
      <c r="O295" t="s">
        <v>1074</v>
      </c>
      <c r="R295" t="s">
        <v>1075</v>
      </c>
      <c r="S295" t="s">
        <v>573</v>
      </c>
      <c r="V295" t="s">
        <v>574</v>
      </c>
      <c r="W295" t="s">
        <v>568</v>
      </c>
      <c r="AD295" t="s">
        <v>1076</v>
      </c>
    </row>
    <row r="296" spans="1:30" x14ac:dyDescent="0.25">
      <c r="A296" t="s">
        <v>33</v>
      </c>
      <c r="D296" t="s">
        <v>565</v>
      </c>
      <c r="E296" t="s">
        <v>566</v>
      </c>
      <c r="F296" t="s">
        <v>87</v>
      </c>
      <c r="G296" t="s">
        <v>1077</v>
      </c>
      <c r="H296" t="s">
        <v>153</v>
      </c>
      <c r="I296" t="s">
        <v>180</v>
      </c>
      <c r="J296" t="s">
        <v>154</v>
      </c>
      <c r="K296" t="s">
        <v>155</v>
      </c>
      <c r="L296" t="s">
        <v>1078</v>
      </c>
      <c r="N296" t="s">
        <v>1079</v>
      </c>
      <c r="O296" t="s">
        <v>213</v>
      </c>
      <c r="R296" t="s">
        <v>1080</v>
      </c>
      <c r="S296" t="s">
        <v>573</v>
      </c>
      <c r="V296" t="s">
        <v>574</v>
      </c>
      <c r="W296" t="s">
        <v>568</v>
      </c>
      <c r="AD296" t="s">
        <v>1081</v>
      </c>
    </row>
    <row r="297" spans="1:30" x14ac:dyDescent="0.25">
      <c r="A297" t="s">
        <v>33</v>
      </c>
      <c r="D297" t="s">
        <v>565</v>
      </c>
      <c r="E297" t="s">
        <v>566</v>
      </c>
      <c r="H297" t="s">
        <v>166</v>
      </c>
      <c r="I297" t="s">
        <v>479</v>
      </c>
      <c r="J297" t="s">
        <v>167</v>
      </c>
      <c r="K297" t="s">
        <v>41</v>
      </c>
      <c r="L297" t="s">
        <v>568</v>
      </c>
      <c r="N297" t="s">
        <v>569</v>
      </c>
      <c r="O297" t="s">
        <v>487</v>
      </c>
      <c r="Q297" t="s">
        <v>488</v>
      </c>
      <c r="R297" t="s">
        <v>1082</v>
      </c>
      <c r="S297" t="s">
        <v>573</v>
      </c>
      <c r="V297" t="s">
        <v>574</v>
      </c>
      <c r="W297" t="s">
        <v>568</v>
      </c>
      <c r="AD297" t="s">
        <v>1083</v>
      </c>
    </row>
    <row r="298" spans="1:30" x14ac:dyDescent="0.25">
      <c r="A298" t="s">
        <v>33</v>
      </c>
      <c r="D298" t="s">
        <v>565</v>
      </c>
      <c r="E298" t="s">
        <v>566</v>
      </c>
      <c r="H298" t="s">
        <v>143</v>
      </c>
      <c r="I298" t="s">
        <v>583</v>
      </c>
      <c r="J298" t="s">
        <v>745</v>
      </c>
      <c r="K298" t="s">
        <v>262</v>
      </c>
      <c r="L298" t="s">
        <v>568</v>
      </c>
      <c r="M298" t="s">
        <v>840</v>
      </c>
      <c r="N298" t="s">
        <v>569</v>
      </c>
      <c r="O298" t="s">
        <v>1084</v>
      </c>
      <c r="R298" t="s">
        <v>1085</v>
      </c>
      <c r="S298" t="s">
        <v>573</v>
      </c>
      <c r="V298" t="s">
        <v>574</v>
      </c>
      <c r="W298" t="s">
        <v>568</v>
      </c>
      <c r="AD298" t="s">
        <v>1086</v>
      </c>
    </row>
    <row r="299" spans="1:30" x14ac:dyDescent="0.25">
      <c r="A299" t="s">
        <v>33</v>
      </c>
      <c r="D299" t="s">
        <v>565</v>
      </c>
      <c r="E299" t="s">
        <v>566</v>
      </c>
      <c r="H299" t="s">
        <v>38</v>
      </c>
      <c r="I299" t="s">
        <v>1087</v>
      </c>
      <c r="J299" t="s">
        <v>40</v>
      </c>
      <c r="K299" t="s">
        <v>41</v>
      </c>
      <c r="L299" t="s">
        <v>568</v>
      </c>
      <c r="M299" t="s">
        <v>1004</v>
      </c>
      <c r="N299" t="s">
        <v>569</v>
      </c>
      <c r="O299" t="s">
        <v>1088</v>
      </c>
      <c r="R299" t="s">
        <v>1089</v>
      </c>
      <c r="S299" t="s">
        <v>573</v>
      </c>
      <c r="V299" t="s">
        <v>574</v>
      </c>
      <c r="W299" t="s">
        <v>568</v>
      </c>
      <c r="AD299" t="s">
        <v>1090</v>
      </c>
    </row>
    <row r="300" spans="1:30" x14ac:dyDescent="0.25">
      <c r="A300" t="s">
        <v>33</v>
      </c>
      <c r="D300" t="s">
        <v>565</v>
      </c>
      <c r="E300" t="s">
        <v>566</v>
      </c>
      <c r="H300" t="s">
        <v>143</v>
      </c>
      <c r="I300" t="s">
        <v>1087</v>
      </c>
      <c r="J300" t="s">
        <v>745</v>
      </c>
      <c r="K300" t="s">
        <v>262</v>
      </c>
      <c r="L300" t="s">
        <v>568</v>
      </c>
      <c r="M300" t="s">
        <v>1004</v>
      </c>
      <c r="N300" t="s">
        <v>569</v>
      </c>
      <c r="O300" t="s">
        <v>1091</v>
      </c>
      <c r="R300" t="s">
        <v>1092</v>
      </c>
      <c r="S300" t="s">
        <v>573</v>
      </c>
      <c r="V300" t="s">
        <v>574</v>
      </c>
      <c r="W300" t="s">
        <v>568</v>
      </c>
      <c r="AD300" t="s">
        <v>1093</v>
      </c>
    </row>
    <row r="301" spans="1:30" x14ac:dyDescent="0.25">
      <c r="A301" t="s">
        <v>33</v>
      </c>
      <c r="D301" t="s">
        <v>565</v>
      </c>
      <c r="E301" t="s">
        <v>566</v>
      </c>
      <c r="H301" t="s">
        <v>166</v>
      </c>
      <c r="I301" t="s">
        <v>622</v>
      </c>
      <c r="J301" t="s">
        <v>167</v>
      </c>
      <c r="K301" t="s">
        <v>41</v>
      </c>
      <c r="L301" t="s">
        <v>568</v>
      </c>
      <c r="N301" t="s">
        <v>569</v>
      </c>
      <c r="O301" t="s">
        <v>1094</v>
      </c>
      <c r="Q301" t="s">
        <v>488</v>
      </c>
      <c r="R301" t="s">
        <v>1095</v>
      </c>
      <c r="S301" t="s">
        <v>573</v>
      </c>
      <c r="V301" t="s">
        <v>574</v>
      </c>
      <c r="W301" t="s">
        <v>568</v>
      </c>
      <c r="AD301" t="s">
        <v>1096</v>
      </c>
    </row>
    <row r="302" spans="1:30" x14ac:dyDescent="0.25">
      <c r="A302" t="s">
        <v>33</v>
      </c>
      <c r="D302" t="s">
        <v>565</v>
      </c>
      <c r="E302" t="s">
        <v>566</v>
      </c>
      <c r="H302" t="s">
        <v>166</v>
      </c>
      <c r="I302" t="s">
        <v>834</v>
      </c>
      <c r="J302" t="s">
        <v>167</v>
      </c>
      <c r="K302" t="s">
        <v>41</v>
      </c>
      <c r="L302" t="s">
        <v>568</v>
      </c>
      <c r="N302" t="s">
        <v>569</v>
      </c>
      <c r="O302" t="s">
        <v>1097</v>
      </c>
      <c r="Q302" t="s">
        <v>488</v>
      </c>
      <c r="R302" t="s">
        <v>1098</v>
      </c>
      <c r="S302" t="s">
        <v>573</v>
      </c>
      <c r="V302" t="s">
        <v>574</v>
      </c>
      <c r="W302" t="s">
        <v>568</v>
      </c>
      <c r="AD302" t="s">
        <v>1099</v>
      </c>
    </row>
    <row r="303" spans="1:30" x14ac:dyDescent="0.25">
      <c r="A303" t="s">
        <v>33</v>
      </c>
      <c r="D303" t="s">
        <v>565</v>
      </c>
      <c r="E303" t="s">
        <v>566</v>
      </c>
      <c r="H303" t="s">
        <v>38</v>
      </c>
      <c r="I303" t="s">
        <v>1100</v>
      </c>
      <c r="J303" t="s">
        <v>40</v>
      </c>
      <c r="K303" t="s">
        <v>41</v>
      </c>
      <c r="L303" t="s">
        <v>568</v>
      </c>
      <c r="M303" t="s">
        <v>1101</v>
      </c>
      <c r="N303" t="s">
        <v>569</v>
      </c>
      <c r="O303" t="s">
        <v>1102</v>
      </c>
      <c r="R303" t="s">
        <v>1103</v>
      </c>
      <c r="S303" t="s">
        <v>573</v>
      </c>
      <c r="V303" t="s">
        <v>574</v>
      </c>
      <c r="W303" t="s">
        <v>568</v>
      </c>
      <c r="AD303" t="s">
        <v>1104</v>
      </c>
    </row>
    <row r="304" spans="1:30" x14ac:dyDescent="0.25">
      <c r="A304" t="s">
        <v>33</v>
      </c>
      <c r="D304" t="s">
        <v>565</v>
      </c>
      <c r="E304" t="s">
        <v>566</v>
      </c>
      <c r="H304" t="s">
        <v>166</v>
      </c>
      <c r="I304" t="s">
        <v>1105</v>
      </c>
      <c r="J304" t="s">
        <v>167</v>
      </c>
      <c r="K304" t="s">
        <v>41</v>
      </c>
      <c r="L304" t="s">
        <v>568</v>
      </c>
      <c r="N304" t="s">
        <v>569</v>
      </c>
      <c r="O304" t="s">
        <v>1106</v>
      </c>
      <c r="Q304" t="s">
        <v>1107</v>
      </c>
      <c r="R304" t="s">
        <v>1108</v>
      </c>
      <c r="S304" t="s">
        <v>573</v>
      </c>
      <c r="V304" t="s">
        <v>574</v>
      </c>
      <c r="W304" t="s">
        <v>568</v>
      </c>
      <c r="AD304" t="s">
        <v>1109</v>
      </c>
    </row>
    <row r="305" spans="1:30" x14ac:dyDescent="0.25">
      <c r="A305" t="s">
        <v>33</v>
      </c>
      <c r="D305" t="s">
        <v>565</v>
      </c>
      <c r="E305" t="s">
        <v>566</v>
      </c>
      <c r="H305" t="s">
        <v>166</v>
      </c>
      <c r="I305" t="s">
        <v>80</v>
      </c>
      <c r="J305" t="s">
        <v>167</v>
      </c>
      <c r="K305" t="s">
        <v>41</v>
      </c>
      <c r="L305" t="s">
        <v>568</v>
      </c>
      <c r="N305" t="s">
        <v>569</v>
      </c>
      <c r="O305" t="s">
        <v>862</v>
      </c>
      <c r="Q305" t="s">
        <v>863</v>
      </c>
      <c r="R305" t="s">
        <v>1110</v>
      </c>
      <c r="S305" t="s">
        <v>573</v>
      </c>
      <c r="V305" t="s">
        <v>574</v>
      </c>
      <c r="W305" t="s">
        <v>568</v>
      </c>
      <c r="AD305" t="s">
        <v>1111</v>
      </c>
    </row>
    <row r="306" spans="1:30" x14ac:dyDescent="0.25">
      <c r="A306" t="s">
        <v>33</v>
      </c>
      <c r="D306" t="s">
        <v>565</v>
      </c>
      <c r="E306" t="s">
        <v>566</v>
      </c>
      <c r="H306" t="s">
        <v>166</v>
      </c>
      <c r="I306" t="s">
        <v>216</v>
      </c>
      <c r="J306" t="s">
        <v>167</v>
      </c>
      <c r="K306" t="s">
        <v>41</v>
      </c>
      <c r="L306" t="s">
        <v>568</v>
      </c>
      <c r="N306" t="s">
        <v>569</v>
      </c>
      <c r="O306" t="s">
        <v>872</v>
      </c>
      <c r="Q306" t="s">
        <v>873</v>
      </c>
      <c r="R306" t="s">
        <v>1112</v>
      </c>
      <c r="S306" t="s">
        <v>573</v>
      </c>
      <c r="V306" t="s">
        <v>574</v>
      </c>
      <c r="W306" t="s">
        <v>568</v>
      </c>
      <c r="AD306" t="s">
        <v>1113</v>
      </c>
    </row>
    <row r="307" spans="1:30" x14ac:dyDescent="0.25">
      <c r="A307" t="s">
        <v>33</v>
      </c>
      <c r="D307" t="s">
        <v>565</v>
      </c>
      <c r="E307" t="s">
        <v>566</v>
      </c>
      <c r="H307" t="s">
        <v>38</v>
      </c>
      <c r="I307" t="s">
        <v>1114</v>
      </c>
      <c r="J307" t="s">
        <v>69</v>
      </c>
      <c r="K307" t="s">
        <v>41</v>
      </c>
      <c r="L307" t="s">
        <v>568</v>
      </c>
      <c r="M307" t="s">
        <v>1115</v>
      </c>
      <c r="N307" t="s">
        <v>569</v>
      </c>
      <c r="O307" t="s">
        <v>1116</v>
      </c>
      <c r="R307" t="s">
        <v>1117</v>
      </c>
      <c r="S307" t="s">
        <v>573</v>
      </c>
      <c r="V307" t="s">
        <v>574</v>
      </c>
      <c r="W307" t="s">
        <v>568</v>
      </c>
      <c r="AD307" t="s">
        <v>1118</v>
      </c>
    </row>
    <row r="308" spans="1:30" x14ac:dyDescent="0.25">
      <c r="A308" t="s">
        <v>33</v>
      </c>
      <c r="D308" t="s">
        <v>565</v>
      </c>
      <c r="E308" t="s">
        <v>566</v>
      </c>
      <c r="H308" t="s">
        <v>38</v>
      </c>
      <c r="I308" t="s">
        <v>1119</v>
      </c>
      <c r="J308" t="s">
        <v>69</v>
      </c>
      <c r="K308" t="s">
        <v>41</v>
      </c>
      <c r="L308" t="s">
        <v>568</v>
      </c>
      <c r="M308" t="s">
        <v>1115</v>
      </c>
      <c r="N308" t="s">
        <v>569</v>
      </c>
      <c r="O308" t="s">
        <v>1120</v>
      </c>
      <c r="R308" t="s">
        <v>1121</v>
      </c>
      <c r="S308" t="s">
        <v>573</v>
      </c>
      <c r="V308" t="s">
        <v>574</v>
      </c>
      <c r="W308" t="s">
        <v>568</v>
      </c>
      <c r="AD308" t="s">
        <v>1122</v>
      </c>
    </row>
    <row r="309" spans="1:30" x14ac:dyDescent="0.25">
      <c r="A309" t="s">
        <v>33</v>
      </c>
      <c r="D309" t="s">
        <v>565</v>
      </c>
      <c r="E309" t="s">
        <v>566</v>
      </c>
      <c r="H309" t="s">
        <v>38</v>
      </c>
      <c r="I309" t="s">
        <v>1123</v>
      </c>
      <c r="J309" t="s">
        <v>69</v>
      </c>
      <c r="K309" t="s">
        <v>41</v>
      </c>
      <c r="L309" t="s">
        <v>568</v>
      </c>
      <c r="M309" t="s">
        <v>1124</v>
      </c>
      <c r="N309" t="s">
        <v>569</v>
      </c>
      <c r="O309" t="s">
        <v>1125</v>
      </c>
      <c r="R309" t="s">
        <v>1126</v>
      </c>
      <c r="S309" t="s">
        <v>573</v>
      </c>
      <c r="V309" t="s">
        <v>574</v>
      </c>
      <c r="W309" t="s">
        <v>568</v>
      </c>
      <c r="AD309" t="s">
        <v>1127</v>
      </c>
    </row>
    <row r="310" spans="1:30" x14ac:dyDescent="0.25">
      <c r="A310" t="s">
        <v>33</v>
      </c>
      <c r="D310" t="s">
        <v>565</v>
      </c>
      <c r="E310" t="s">
        <v>566</v>
      </c>
      <c r="H310" t="s">
        <v>143</v>
      </c>
      <c r="I310" t="s">
        <v>1073</v>
      </c>
      <c r="J310" t="s">
        <v>745</v>
      </c>
      <c r="K310" t="s">
        <v>262</v>
      </c>
      <c r="L310" t="s">
        <v>568</v>
      </c>
      <c r="M310" t="s">
        <v>82</v>
      </c>
      <c r="N310" t="s">
        <v>569</v>
      </c>
      <c r="O310" t="s">
        <v>1128</v>
      </c>
      <c r="R310" t="s">
        <v>1129</v>
      </c>
      <c r="S310" t="s">
        <v>573</v>
      </c>
      <c r="V310" t="s">
        <v>574</v>
      </c>
      <c r="W310" t="s">
        <v>568</v>
      </c>
      <c r="AD310" t="s">
        <v>1130</v>
      </c>
    </row>
    <row r="311" spans="1:30" x14ac:dyDescent="0.25">
      <c r="A311" t="s">
        <v>33</v>
      </c>
      <c r="D311" t="s">
        <v>565</v>
      </c>
      <c r="E311" t="s">
        <v>566</v>
      </c>
      <c r="H311" t="s">
        <v>166</v>
      </c>
      <c r="I311" t="s">
        <v>1131</v>
      </c>
      <c r="J311" t="s">
        <v>167</v>
      </c>
      <c r="K311" t="s">
        <v>41</v>
      </c>
      <c r="L311" t="s">
        <v>568</v>
      </c>
      <c r="N311" t="s">
        <v>569</v>
      </c>
      <c r="O311" t="s">
        <v>1132</v>
      </c>
      <c r="Q311" t="s">
        <v>1133</v>
      </c>
      <c r="R311" t="s">
        <v>1134</v>
      </c>
      <c r="S311" t="s">
        <v>573</v>
      </c>
      <c r="V311" t="s">
        <v>574</v>
      </c>
      <c r="W311" t="s">
        <v>568</v>
      </c>
      <c r="AD311" t="s">
        <v>1135</v>
      </c>
    </row>
    <row r="312" spans="1:30" x14ac:dyDescent="0.25">
      <c r="A312" t="s">
        <v>33</v>
      </c>
      <c r="D312" t="s">
        <v>565</v>
      </c>
      <c r="E312" t="s">
        <v>566</v>
      </c>
      <c r="H312" t="s">
        <v>89</v>
      </c>
      <c r="I312" t="s">
        <v>1131</v>
      </c>
      <c r="J312" t="s">
        <v>91</v>
      </c>
      <c r="K312" t="s">
        <v>92</v>
      </c>
      <c r="L312" t="s">
        <v>568</v>
      </c>
      <c r="M312" t="s">
        <v>94</v>
      </c>
      <c r="N312" t="s">
        <v>569</v>
      </c>
      <c r="O312" t="s">
        <v>1136</v>
      </c>
      <c r="P312">
        <v>1E-3</v>
      </c>
      <c r="R312" t="s">
        <v>1137</v>
      </c>
      <c r="S312" t="s">
        <v>573</v>
      </c>
      <c r="V312" t="s">
        <v>574</v>
      </c>
      <c r="W312" t="s">
        <v>568</v>
      </c>
      <c r="AD312" t="s">
        <v>1138</v>
      </c>
    </row>
    <row r="313" spans="1:30" x14ac:dyDescent="0.25">
      <c r="A313" t="s">
        <v>33</v>
      </c>
      <c r="D313" t="s">
        <v>565</v>
      </c>
      <c r="E313" t="s">
        <v>566</v>
      </c>
      <c r="H313" t="s">
        <v>89</v>
      </c>
      <c r="I313" t="s">
        <v>1139</v>
      </c>
      <c r="J313" t="s">
        <v>91</v>
      </c>
      <c r="K313" t="s">
        <v>92</v>
      </c>
      <c r="L313" t="s">
        <v>568</v>
      </c>
      <c r="M313" t="s">
        <v>94</v>
      </c>
      <c r="N313" t="s">
        <v>569</v>
      </c>
      <c r="O313" t="s">
        <v>1140</v>
      </c>
      <c r="P313">
        <v>1E-3</v>
      </c>
      <c r="R313" t="s">
        <v>1141</v>
      </c>
      <c r="S313" t="s">
        <v>573</v>
      </c>
      <c r="V313" t="s">
        <v>574</v>
      </c>
      <c r="W313" t="s">
        <v>568</v>
      </c>
      <c r="AD313" t="s">
        <v>1142</v>
      </c>
    </row>
    <row r="314" spans="1:30" x14ac:dyDescent="0.25">
      <c r="A314" t="s">
        <v>33</v>
      </c>
      <c r="D314" t="s">
        <v>565</v>
      </c>
      <c r="E314" t="s">
        <v>566</v>
      </c>
      <c r="H314" t="s">
        <v>166</v>
      </c>
      <c r="I314" t="s">
        <v>1143</v>
      </c>
      <c r="J314" t="s">
        <v>167</v>
      </c>
      <c r="K314" t="s">
        <v>41</v>
      </c>
      <c r="L314" t="s">
        <v>568</v>
      </c>
      <c r="N314" t="s">
        <v>569</v>
      </c>
      <c r="O314" t="s">
        <v>925</v>
      </c>
      <c r="Q314" t="s">
        <v>1144</v>
      </c>
      <c r="R314" t="s">
        <v>1145</v>
      </c>
      <c r="S314" t="s">
        <v>573</v>
      </c>
      <c r="V314" t="s">
        <v>574</v>
      </c>
      <c r="W314" t="s">
        <v>568</v>
      </c>
      <c r="AD314" t="s">
        <v>1146</v>
      </c>
    </row>
    <row r="315" spans="1:30" x14ac:dyDescent="0.25">
      <c r="A315" t="s">
        <v>33</v>
      </c>
      <c r="D315" t="s">
        <v>565</v>
      </c>
      <c r="E315" t="s">
        <v>566</v>
      </c>
      <c r="H315" t="s">
        <v>280</v>
      </c>
      <c r="I315" t="s">
        <v>1147</v>
      </c>
      <c r="J315" t="s">
        <v>282</v>
      </c>
      <c r="K315" t="s">
        <v>283</v>
      </c>
      <c r="L315" t="s">
        <v>568</v>
      </c>
      <c r="N315" t="s">
        <v>569</v>
      </c>
      <c r="O315" t="s">
        <v>1148</v>
      </c>
      <c r="Q315" t="s">
        <v>1149</v>
      </c>
      <c r="R315" t="s">
        <v>1150</v>
      </c>
      <c r="S315" t="s">
        <v>573</v>
      </c>
      <c r="V315" t="s">
        <v>574</v>
      </c>
      <c r="W315" t="s">
        <v>568</v>
      </c>
      <c r="AD315" t="s">
        <v>1151</v>
      </c>
    </row>
    <row r="316" spans="1:30" x14ac:dyDescent="0.25">
      <c r="A316" t="s">
        <v>33</v>
      </c>
      <c r="D316" t="s">
        <v>565</v>
      </c>
      <c r="E316" t="s">
        <v>566</v>
      </c>
      <c r="F316" t="s">
        <v>78</v>
      </c>
      <c r="G316" t="s">
        <v>1152</v>
      </c>
      <c r="H316" t="s">
        <v>143</v>
      </c>
      <c r="I316" t="s">
        <v>909</v>
      </c>
      <c r="J316" t="s">
        <v>145</v>
      </c>
      <c r="K316" t="s">
        <v>146</v>
      </c>
      <c r="L316" t="s">
        <v>1153</v>
      </c>
      <c r="M316" t="s">
        <v>176</v>
      </c>
      <c r="N316" t="s">
        <v>1154</v>
      </c>
      <c r="O316" t="s">
        <v>1155</v>
      </c>
      <c r="R316" t="s">
        <v>1156</v>
      </c>
      <c r="S316" t="s">
        <v>573</v>
      </c>
      <c r="V316" t="s">
        <v>574</v>
      </c>
      <c r="W316" t="s">
        <v>568</v>
      </c>
      <c r="AD316" t="s">
        <v>1157</v>
      </c>
    </row>
    <row r="317" spans="1:30" x14ac:dyDescent="0.25">
      <c r="A317" t="s">
        <v>33</v>
      </c>
      <c r="D317" t="s">
        <v>565</v>
      </c>
      <c r="E317" t="s">
        <v>566</v>
      </c>
      <c r="F317" t="s">
        <v>78</v>
      </c>
      <c r="G317" t="s">
        <v>1152</v>
      </c>
      <c r="H317" t="s">
        <v>143</v>
      </c>
      <c r="I317" t="s">
        <v>160</v>
      </c>
      <c r="J317" t="s">
        <v>145</v>
      </c>
      <c r="K317" t="s">
        <v>146</v>
      </c>
      <c r="L317" t="s">
        <v>1153</v>
      </c>
      <c r="M317" t="s">
        <v>176</v>
      </c>
      <c r="N317" t="s">
        <v>1154</v>
      </c>
      <c r="O317" t="s">
        <v>1158</v>
      </c>
      <c r="R317" t="s">
        <v>1159</v>
      </c>
      <c r="S317" t="s">
        <v>573</v>
      </c>
      <c r="V317" t="s">
        <v>574</v>
      </c>
      <c r="W317" t="s">
        <v>568</v>
      </c>
      <c r="AD317" t="s">
        <v>1160</v>
      </c>
    </row>
    <row r="318" spans="1:30" x14ac:dyDescent="0.25">
      <c r="A318" t="s">
        <v>33</v>
      </c>
      <c r="D318" t="s">
        <v>565</v>
      </c>
      <c r="E318" t="s">
        <v>566</v>
      </c>
      <c r="F318" t="s">
        <v>78</v>
      </c>
      <c r="G318" t="s">
        <v>1152</v>
      </c>
      <c r="H318" t="s">
        <v>166</v>
      </c>
      <c r="I318" t="s">
        <v>80</v>
      </c>
      <c r="J318" t="s">
        <v>167</v>
      </c>
      <c r="K318" t="s">
        <v>41</v>
      </c>
      <c r="L318" t="s">
        <v>1153</v>
      </c>
      <c r="N318" t="s">
        <v>1154</v>
      </c>
      <c r="O318" t="s">
        <v>84</v>
      </c>
      <c r="Q318" t="s">
        <v>1161</v>
      </c>
      <c r="R318" t="s">
        <v>1162</v>
      </c>
      <c r="S318" t="s">
        <v>573</v>
      </c>
      <c r="V318" t="s">
        <v>574</v>
      </c>
      <c r="W318" t="s">
        <v>568</v>
      </c>
      <c r="AD318" t="s">
        <v>1163</v>
      </c>
    </row>
    <row r="319" spans="1:30" x14ac:dyDescent="0.25">
      <c r="A319" t="s">
        <v>33</v>
      </c>
      <c r="D319" t="s">
        <v>565</v>
      </c>
      <c r="E319" t="s">
        <v>566</v>
      </c>
      <c r="F319" t="s">
        <v>87</v>
      </c>
      <c r="G319" t="s">
        <v>1164</v>
      </c>
      <c r="H319" t="s">
        <v>89</v>
      </c>
      <c r="I319" t="s">
        <v>144</v>
      </c>
      <c r="J319" t="s">
        <v>91</v>
      </c>
      <c r="K319" t="s">
        <v>92</v>
      </c>
      <c r="L319" t="s">
        <v>1165</v>
      </c>
      <c r="M319" t="s">
        <v>94</v>
      </c>
      <c r="N319" t="s">
        <v>1166</v>
      </c>
      <c r="O319" t="s">
        <v>150</v>
      </c>
      <c r="P319">
        <v>1E-3</v>
      </c>
      <c r="R319" t="s">
        <v>1167</v>
      </c>
      <c r="S319" t="s">
        <v>573</v>
      </c>
      <c r="V319" t="s">
        <v>574</v>
      </c>
      <c r="W319" t="s">
        <v>568</v>
      </c>
      <c r="AD319" t="s">
        <v>1168</v>
      </c>
    </row>
    <row r="320" spans="1:30" x14ac:dyDescent="0.25">
      <c r="A320" t="s">
        <v>33</v>
      </c>
      <c r="D320" t="s">
        <v>565</v>
      </c>
      <c r="E320" t="s">
        <v>566</v>
      </c>
      <c r="F320" t="s">
        <v>87</v>
      </c>
      <c r="G320" t="s">
        <v>1164</v>
      </c>
      <c r="H320" t="s">
        <v>143</v>
      </c>
      <c r="I320" t="s">
        <v>144</v>
      </c>
      <c r="J320" t="s">
        <v>145</v>
      </c>
      <c r="K320" t="s">
        <v>146</v>
      </c>
      <c r="L320" t="s">
        <v>1165</v>
      </c>
      <c r="M320" t="s">
        <v>176</v>
      </c>
      <c r="N320" t="s">
        <v>1166</v>
      </c>
      <c r="O320" t="s">
        <v>147</v>
      </c>
      <c r="R320" t="s">
        <v>1169</v>
      </c>
      <c r="S320" t="s">
        <v>573</v>
      </c>
      <c r="V320" t="s">
        <v>574</v>
      </c>
      <c r="W320" t="s">
        <v>568</v>
      </c>
      <c r="AD320" t="s">
        <v>1170</v>
      </c>
    </row>
    <row r="321" spans="1:30" x14ac:dyDescent="0.25">
      <c r="A321" t="s">
        <v>33</v>
      </c>
      <c r="D321" t="s">
        <v>565</v>
      </c>
      <c r="E321" t="s">
        <v>566</v>
      </c>
      <c r="F321" t="s">
        <v>87</v>
      </c>
      <c r="G321" t="s">
        <v>1164</v>
      </c>
      <c r="H321" t="s">
        <v>89</v>
      </c>
      <c r="I321" t="s">
        <v>180</v>
      </c>
      <c r="J321" t="s">
        <v>91</v>
      </c>
      <c r="K321" t="s">
        <v>92</v>
      </c>
      <c r="L321" t="s">
        <v>1165</v>
      </c>
      <c r="M321" t="s">
        <v>94</v>
      </c>
      <c r="N321" t="s">
        <v>1166</v>
      </c>
      <c r="O321" t="s">
        <v>184</v>
      </c>
      <c r="P321">
        <v>1E-3</v>
      </c>
      <c r="R321" t="s">
        <v>1171</v>
      </c>
      <c r="S321" t="s">
        <v>573</v>
      </c>
      <c r="V321" t="s">
        <v>574</v>
      </c>
      <c r="W321" t="s">
        <v>568</v>
      </c>
      <c r="AD321" t="s">
        <v>1172</v>
      </c>
    </row>
    <row r="322" spans="1:30" x14ac:dyDescent="0.25">
      <c r="A322" t="s">
        <v>33</v>
      </c>
      <c r="D322" t="s">
        <v>565</v>
      </c>
      <c r="E322" t="s">
        <v>566</v>
      </c>
      <c r="F322" t="s">
        <v>87</v>
      </c>
      <c r="G322" t="s">
        <v>1164</v>
      </c>
      <c r="H322" t="s">
        <v>143</v>
      </c>
      <c r="I322" t="s">
        <v>180</v>
      </c>
      <c r="J322" t="s">
        <v>145</v>
      </c>
      <c r="K322" t="s">
        <v>146</v>
      </c>
      <c r="L322" t="s">
        <v>1165</v>
      </c>
      <c r="M322" t="s">
        <v>176</v>
      </c>
      <c r="N322" t="s">
        <v>1166</v>
      </c>
      <c r="O322" t="s">
        <v>181</v>
      </c>
      <c r="R322" t="s">
        <v>1173</v>
      </c>
      <c r="S322" t="s">
        <v>573</v>
      </c>
      <c r="V322" t="s">
        <v>574</v>
      </c>
      <c r="W322" t="s">
        <v>568</v>
      </c>
      <c r="AD322" t="s">
        <v>1174</v>
      </c>
    </row>
    <row r="323" spans="1:30" x14ac:dyDescent="0.25">
      <c r="A323" t="s">
        <v>33</v>
      </c>
      <c r="D323" t="s">
        <v>565</v>
      </c>
      <c r="E323" t="s">
        <v>566</v>
      </c>
      <c r="F323" t="s">
        <v>87</v>
      </c>
      <c r="G323" t="s">
        <v>1164</v>
      </c>
      <c r="H323" t="s">
        <v>38</v>
      </c>
      <c r="I323" t="s">
        <v>106</v>
      </c>
      <c r="J323" t="s">
        <v>40</v>
      </c>
      <c r="K323" t="s">
        <v>41</v>
      </c>
      <c r="L323" t="s">
        <v>1165</v>
      </c>
      <c r="M323" t="s">
        <v>176</v>
      </c>
      <c r="N323" t="s">
        <v>1166</v>
      </c>
      <c r="O323" t="s">
        <v>109</v>
      </c>
      <c r="R323" t="s">
        <v>1175</v>
      </c>
      <c r="S323" t="s">
        <v>573</v>
      </c>
      <c r="V323" t="s">
        <v>574</v>
      </c>
      <c r="W323" t="s">
        <v>568</v>
      </c>
      <c r="AD323" t="s">
        <v>1176</v>
      </c>
    </row>
    <row r="324" spans="1:30" x14ac:dyDescent="0.25">
      <c r="A324" t="s">
        <v>33</v>
      </c>
      <c r="D324" t="s">
        <v>565</v>
      </c>
      <c r="E324" t="s">
        <v>566</v>
      </c>
      <c r="F324" t="s">
        <v>87</v>
      </c>
      <c r="G324" t="s">
        <v>1164</v>
      </c>
      <c r="H324" t="s">
        <v>38</v>
      </c>
      <c r="I324" t="s">
        <v>25</v>
      </c>
      <c r="J324" t="s">
        <v>69</v>
      </c>
      <c r="K324" t="s">
        <v>41</v>
      </c>
      <c r="L324" t="s">
        <v>1165</v>
      </c>
      <c r="M324" t="s">
        <v>176</v>
      </c>
      <c r="N324" t="s">
        <v>1166</v>
      </c>
      <c r="O324" t="s">
        <v>512</v>
      </c>
      <c r="R324" t="s">
        <v>533</v>
      </c>
      <c r="S324" t="s">
        <v>573</v>
      </c>
      <c r="V324" t="s">
        <v>574</v>
      </c>
      <c r="W324" t="s">
        <v>568</v>
      </c>
      <c r="AD324" t="s">
        <v>1177</v>
      </c>
    </row>
    <row r="325" spans="1:30" x14ac:dyDescent="0.25">
      <c r="A325" t="s">
        <v>33</v>
      </c>
      <c r="D325" t="s">
        <v>565</v>
      </c>
      <c r="E325" t="s">
        <v>566</v>
      </c>
      <c r="F325" t="s">
        <v>87</v>
      </c>
      <c r="G325" t="s">
        <v>1164</v>
      </c>
      <c r="H325" t="s">
        <v>38</v>
      </c>
      <c r="I325" t="s">
        <v>24</v>
      </c>
      <c r="J325" t="s">
        <v>69</v>
      </c>
      <c r="K325" t="s">
        <v>41</v>
      </c>
      <c r="L325" t="s">
        <v>1165</v>
      </c>
      <c r="M325" t="s">
        <v>176</v>
      </c>
      <c r="N325" t="s">
        <v>1166</v>
      </c>
      <c r="O325" t="s">
        <v>509</v>
      </c>
      <c r="R325" t="s">
        <v>531</v>
      </c>
      <c r="S325" t="s">
        <v>573</v>
      </c>
      <c r="V325" t="s">
        <v>574</v>
      </c>
      <c r="W325" t="s">
        <v>568</v>
      </c>
      <c r="AD325" t="s">
        <v>1178</v>
      </c>
    </row>
    <row r="326" spans="1:30" x14ac:dyDescent="0.25">
      <c r="A326" t="s">
        <v>33</v>
      </c>
      <c r="D326" t="s">
        <v>565</v>
      </c>
      <c r="E326" t="s">
        <v>566</v>
      </c>
      <c r="F326" t="s">
        <v>87</v>
      </c>
      <c r="G326" t="s">
        <v>1179</v>
      </c>
      <c r="H326" t="s">
        <v>89</v>
      </c>
      <c r="I326" t="s">
        <v>144</v>
      </c>
      <c r="J326" t="s">
        <v>91</v>
      </c>
      <c r="K326" t="s">
        <v>92</v>
      </c>
      <c r="L326" t="s">
        <v>1180</v>
      </c>
      <c r="M326" t="s">
        <v>94</v>
      </c>
      <c r="N326" t="s">
        <v>177</v>
      </c>
      <c r="O326" t="s">
        <v>150</v>
      </c>
      <c r="P326">
        <v>1E-3</v>
      </c>
      <c r="R326" t="s">
        <v>1181</v>
      </c>
      <c r="S326" t="s">
        <v>573</v>
      </c>
      <c r="V326" t="s">
        <v>574</v>
      </c>
      <c r="W326" t="s">
        <v>568</v>
      </c>
      <c r="AD326" t="s">
        <v>193</v>
      </c>
    </row>
    <row r="327" spans="1:30" x14ac:dyDescent="0.25">
      <c r="A327" t="s">
        <v>33</v>
      </c>
      <c r="D327" t="s">
        <v>565</v>
      </c>
      <c r="E327" t="s">
        <v>566</v>
      </c>
      <c r="F327" t="s">
        <v>87</v>
      </c>
      <c r="G327" t="s">
        <v>1179</v>
      </c>
      <c r="H327" t="s">
        <v>143</v>
      </c>
      <c r="I327" t="s">
        <v>144</v>
      </c>
      <c r="J327" t="s">
        <v>145</v>
      </c>
      <c r="K327" t="s">
        <v>146</v>
      </c>
      <c r="L327" t="s">
        <v>1180</v>
      </c>
      <c r="M327" t="s">
        <v>176</v>
      </c>
      <c r="N327" t="s">
        <v>177</v>
      </c>
      <c r="O327" t="s">
        <v>147</v>
      </c>
      <c r="R327" t="s">
        <v>1182</v>
      </c>
      <c r="S327" t="s">
        <v>573</v>
      </c>
      <c r="V327" t="s">
        <v>574</v>
      </c>
      <c r="W327" t="s">
        <v>568</v>
      </c>
      <c r="AD327" t="s">
        <v>191</v>
      </c>
    </row>
    <row r="328" spans="1:30" x14ac:dyDescent="0.25">
      <c r="A328" t="s">
        <v>33</v>
      </c>
      <c r="D328" t="s">
        <v>565</v>
      </c>
      <c r="E328" t="s">
        <v>566</v>
      </c>
      <c r="F328" t="s">
        <v>87</v>
      </c>
      <c r="G328" t="s">
        <v>1179</v>
      </c>
      <c r="H328" t="s">
        <v>38</v>
      </c>
      <c r="I328" t="s">
        <v>106</v>
      </c>
      <c r="J328" t="s">
        <v>40</v>
      </c>
      <c r="K328" t="s">
        <v>41</v>
      </c>
      <c r="L328" t="s">
        <v>1180</v>
      </c>
      <c r="M328" t="s">
        <v>176</v>
      </c>
      <c r="N328" t="s">
        <v>177</v>
      </c>
      <c r="O328" t="s">
        <v>109</v>
      </c>
      <c r="R328" t="s">
        <v>1183</v>
      </c>
      <c r="S328" t="s">
        <v>573</v>
      </c>
      <c r="V328" t="s">
        <v>574</v>
      </c>
      <c r="W328" t="s">
        <v>568</v>
      </c>
      <c r="AD328" t="s">
        <v>179</v>
      </c>
    </row>
    <row r="329" spans="1:30" x14ac:dyDescent="0.25">
      <c r="A329" t="s">
        <v>33</v>
      </c>
      <c r="D329" t="s">
        <v>565</v>
      </c>
      <c r="E329" t="s">
        <v>566</v>
      </c>
      <c r="F329" t="s">
        <v>87</v>
      </c>
      <c r="G329" t="s">
        <v>1179</v>
      </c>
      <c r="H329" t="s">
        <v>38</v>
      </c>
      <c r="I329" t="s">
        <v>25</v>
      </c>
      <c r="J329" t="s">
        <v>69</v>
      </c>
      <c r="K329" t="s">
        <v>41</v>
      </c>
      <c r="L329" t="s">
        <v>1180</v>
      </c>
      <c r="M329" t="s">
        <v>176</v>
      </c>
      <c r="N329" t="s">
        <v>177</v>
      </c>
      <c r="O329" t="s">
        <v>512</v>
      </c>
      <c r="R329" t="s">
        <v>1184</v>
      </c>
      <c r="S329" t="s">
        <v>573</v>
      </c>
      <c r="V329" t="s">
        <v>574</v>
      </c>
      <c r="W329" t="s">
        <v>568</v>
      </c>
      <c r="AD329" t="s">
        <v>530</v>
      </c>
    </row>
    <row r="330" spans="1:30" x14ac:dyDescent="0.25">
      <c r="A330" t="s">
        <v>33</v>
      </c>
      <c r="D330" t="s">
        <v>565</v>
      </c>
      <c r="E330" t="s">
        <v>566</v>
      </c>
      <c r="F330" t="s">
        <v>87</v>
      </c>
      <c r="G330" t="s">
        <v>1179</v>
      </c>
      <c r="H330" t="s">
        <v>38</v>
      </c>
      <c r="I330" t="s">
        <v>24</v>
      </c>
      <c r="J330" t="s">
        <v>69</v>
      </c>
      <c r="K330" t="s">
        <v>41</v>
      </c>
      <c r="L330" t="s">
        <v>1180</v>
      </c>
      <c r="M330" t="s">
        <v>176</v>
      </c>
      <c r="N330" t="s">
        <v>177</v>
      </c>
      <c r="O330" t="s">
        <v>509</v>
      </c>
      <c r="R330" t="s">
        <v>1185</v>
      </c>
      <c r="S330" t="s">
        <v>573</v>
      </c>
      <c r="V330" t="s">
        <v>574</v>
      </c>
      <c r="W330" t="s">
        <v>568</v>
      </c>
      <c r="AD330" t="s">
        <v>528</v>
      </c>
    </row>
    <row r="331" spans="1:30" x14ac:dyDescent="0.25">
      <c r="A331" t="s">
        <v>33</v>
      </c>
      <c r="D331" t="s">
        <v>565</v>
      </c>
      <c r="E331" t="s">
        <v>566</v>
      </c>
      <c r="F331" t="s">
        <v>87</v>
      </c>
      <c r="G331" t="s">
        <v>1186</v>
      </c>
      <c r="H331" t="s">
        <v>89</v>
      </c>
      <c r="I331" t="s">
        <v>144</v>
      </c>
      <c r="J331" t="s">
        <v>91</v>
      </c>
      <c r="K331" t="s">
        <v>92</v>
      </c>
      <c r="L331" t="s">
        <v>1187</v>
      </c>
      <c r="M331" t="s">
        <v>94</v>
      </c>
      <c r="N331" t="s">
        <v>1188</v>
      </c>
      <c r="O331" t="s">
        <v>96</v>
      </c>
      <c r="P331">
        <v>1E-3</v>
      </c>
      <c r="R331" t="s">
        <v>1189</v>
      </c>
      <c r="S331" t="s">
        <v>573</v>
      </c>
      <c r="V331" t="s">
        <v>574</v>
      </c>
      <c r="W331" t="s">
        <v>568</v>
      </c>
      <c r="AD331" t="s">
        <v>1190</v>
      </c>
    </row>
    <row r="332" spans="1:30" x14ac:dyDescent="0.25">
      <c r="A332" t="s">
        <v>33</v>
      </c>
      <c r="D332" t="s">
        <v>565</v>
      </c>
      <c r="E332" t="s">
        <v>566</v>
      </c>
      <c r="F332" t="s">
        <v>87</v>
      </c>
      <c r="G332" t="s">
        <v>1186</v>
      </c>
      <c r="H332" t="s">
        <v>38</v>
      </c>
      <c r="I332" t="s">
        <v>106</v>
      </c>
      <c r="J332" t="s">
        <v>40</v>
      </c>
      <c r="K332" t="s">
        <v>41</v>
      </c>
      <c r="L332" t="s">
        <v>1187</v>
      </c>
      <c r="M332" t="s">
        <v>1191</v>
      </c>
      <c r="N332" t="s">
        <v>1188</v>
      </c>
      <c r="O332" t="s">
        <v>109</v>
      </c>
      <c r="R332" t="s">
        <v>1192</v>
      </c>
      <c r="S332" t="s">
        <v>573</v>
      </c>
      <c r="V332" t="s">
        <v>574</v>
      </c>
      <c r="W332" t="s">
        <v>568</v>
      </c>
      <c r="X332" t="s">
        <v>1193</v>
      </c>
      <c r="AD332" t="s">
        <v>1194</v>
      </c>
    </row>
    <row r="333" spans="1:30" x14ac:dyDescent="0.25">
      <c r="A333" t="s">
        <v>33</v>
      </c>
      <c r="D333" t="s">
        <v>565</v>
      </c>
      <c r="E333" t="s">
        <v>566</v>
      </c>
      <c r="F333" t="s">
        <v>87</v>
      </c>
      <c r="G333" t="s">
        <v>1186</v>
      </c>
      <c r="H333" t="s">
        <v>38</v>
      </c>
      <c r="I333" t="s">
        <v>25</v>
      </c>
      <c r="J333" t="s">
        <v>69</v>
      </c>
      <c r="K333" t="s">
        <v>41</v>
      </c>
      <c r="L333" t="s">
        <v>1187</v>
      </c>
      <c r="M333" t="s">
        <v>1191</v>
      </c>
      <c r="N333" t="s">
        <v>1188</v>
      </c>
      <c r="O333" t="s">
        <v>512</v>
      </c>
      <c r="R333" t="s">
        <v>525</v>
      </c>
      <c r="S333" t="s">
        <v>573</v>
      </c>
      <c r="V333" t="s">
        <v>574</v>
      </c>
      <c r="W333" t="s">
        <v>568</v>
      </c>
      <c r="X333" t="s">
        <v>1193</v>
      </c>
      <c r="AD333" t="s">
        <v>1195</v>
      </c>
    </row>
    <row r="334" spans="1:30" x14ac:dyDescent="0.25">
      <c r="A334" t="s">
        <v>33</v>
      </c>
      <c r="D334" t="s">
        <v>565</v>
      </c>
      <c r="E334" t="s">
        <v>566</v>
      </c>
      <c r="F334" t="s">
        <v>87</v>
      </c>
      <c r="G334" t="s">
        <v>1186</v>
      </c>
      <c r="H334" t="s">
        <v>38</v>
      </c>
      <c r="I334" t="s">
        <v>24</v>
      </c>
      <c r="J334" t="s">
        <v>69</v>
      </c>
      <c r="K334" t="s">
        <v>41</v>
      </c>
      <c r="L334" t="s">
        <v>1187</v>
      </c>
      <c r="M334" t="s">
        <v>1191</v>
      </c>
      <c r="N334" t="s">
        <v>1188</v>
      </c>
      <c r="O334" t="s">
        <v>509</v>
      </c>
      <c r="R334" t="s">
        <v>523</v>
      </c>
      <c r="S334" t="s">
        <v>573</v>
      </c>
      <c r="V334" t="s">
        <v>574</v>
      </c>
      <c r="W334" t="s">
        <v>568</v>
      </c>
      <c r="X334" t="s">
        <v>1193</v>
      </c>
      <c r="AD334" t="s">
        <v>1196</v>
      </c>
    </row>
    <row r="335" spans="1:30" x14ac:dyDescent="0.25">
      <c r="A335" t="s">
        <v>33</v>
      </c>
      <c r="D335" t="s">
        <v>565</v>
      </c>
      <c r="E335" t="s">
        <v>566</v>
      </c>
      <c r="F335" t="s">
        <v>87</v>
      </c>
      <c r="G335" t="s">
        <v>641</v>
      </c>
      <c r="H335" t="s">
        <v>89</v>
      </c>
      <c r="I335" t="s">
        <v>90</v>
      </c>
      <c r="J335" t="s">
        <v>91</v>
      </c>
      <c r="K335" t="s">
        <v>92</v>
      </c>
      <c r="L335" t="s">
        <v>642</v>
      </c>
      <c r="M335" t="s">
        <v>94</v>
      </c>
      <c r="N335" t="s">
        <v>643</v>
      </c>
      <c r="O335" t="s">
        <v>96</v>
      </c>
      <c r="P335">
        <v>1E-3</v>
      </c>
      <c r="R335" t="s">
        <v>1197</v>
      </c>
      <c r="S335" t="s">
        <v>573</v>
      </c>
      <c r="V335" t="s">
        <v>574</v>
      </c>
      <c r="W335" t="s">
        <v>568</v>
      </c>
      <c r="AD335" t="s">
        <v>1198</v>
      </c>
    </row>
    <row r="336" spans="1:30" x14ac:dyDescent="0.25">
      <c r="A336" t="s">
        <v>33</v>
      </c>
      <c r="D336" t="s">
        <v>565</v>
      </c>
      <c r="E336" t="s">
        <v>566</v>
      </c>
      <c r="F336" t="s">
        <v>87</v>
      </c>
      <c r="G336" t="s">
        <v>641</v>
      </c>
      <c r="H336" t="s">
        <v>166</v>
      </c>
      <c r="I336" t="s">
        <v>216</v>
      </c>
      <c r="J336" t="s">
        <v>167</v>
      </c>
      <c r="K336" t="s">
        <v>41</v>
      </c>
      <c r="L336" t="s">
        <v>642</v>
      </c>
      <c r="N336" t="s">
        <v>643</v>
      </c>
      <c r="O336" t="s">
        <v>217</v>
      </c>
      <c r="Q336" t="s">
        <v>1199</v>
      </c>
      <c r="R336" t="s">
        <v>1200</v>
      </c>
      <c r="S336" t="s">
        <v>573</v>
      </c>
      <c r="V336" t="s">
        <v>574</v>
      </c>
      <c r="W336" t="s">
        <v>568</v>
      </c>
      <c r="AD336" t="s">
        <v>1201</v>
      </c>
    </row>
    <row r="337" spans="1:30" x14ac:dyDescent="0.25">
      <c r="A337" t="s">
        <v>33</v>
      </c>
      <c r="D337" t="s">
        <v>565</v>
      </c>
      <c r="E337" t="s">
        <v>566</v>
      </c>
      <c r="F337" t="s">
        <v>87</v>
      </c>
      <c r="G337" t="s">
        <v>646</v>
      </c>
      <c r="H337" t="s">
        <v>89</v>
      </c>
      <c r="I337" t="s">
        <v>90</v>
      </c>
      <c r="J337" t="s">
        <v>91</v>
      </c>
      <c r="K337" t="s">
        <v>92</v>
      </c>
      <c r="L337" t="s">
        <v>647</v>
      </c>
      <c r="M337" t="s">
        <v>94</v>
      </c>
      <c r="N337" t="s">
        <v>648</v>
      </c>
      <c r="O337" t="s">
        <v>96</v>
      </c>
      <c r="P337">
        <v>1E-3</v>
      </c>
      <c r="R337" t="s">
        <v>1202</v>
      </c>
      <c r="S337" t="s">
        <v>573</v>
      </c>
      <c r="V337" t="s">
        <v>574</v>
      </c>
      <c r="W337" t="s">
        <v>568</v>
      </c>
      <c r="AD337" t="s">
        <v>1203</v>
      </c>
    </row>
    <row r="338" spans="1:30" x14ac:dyDescent="0.25">
      <c r="A338" t="s">
        <v>33</v>
      </c>
      <c r="D338" t="s">
        <v>565</v>
      </c>
      <c r="E338" t="s">
        <v>566</v>
      </c>
      <c r="F338" t="s">
        <v>87</v>
      </c>
      <c r="G338" t="s">
        <v>646</v>
      </c>
      <c r="H338" t="s">
        <v>166</v>
      </c>
      <c r="I338" t="s">
        <v>216</v>
      </c>
      <c r="J338" t="s">
        <v>167</v>
      </c>
      <c r="K338" t="s">
        <v>41</v>
      </c>
      <c r="L338" t="s">
        <v>647</v>
      </c>
      <c r="N338" t="s">
        <v>648</v>
      </c>
      <c r="O338" t="s">
        <v>217</v>
      </c>
      <c r="Q338" t="s">
        <v>1199</v>
      </c>
      <c r="R338" t="s">
        <v>1204</v>
      </c>
      <c r="S338" t="s">
        <v>573</v>
      </c>
      <c r="V338" t="s">
        <v>574</v>
      </c>
      <c r="W338" t="s">
        <v>568</v>
      </c>
      <c r="AD338" t="s">
        <v>1205</v>
      </c>
    </row>
    <row r="339" spans="1:30" x14ac:dyDescent="0.25">
      <c r="A339" t="s">
        <v>33</v>
      </c>
      <c r="D339" t="s">
        <v>565</v>
      </c>
      <c r="E339" t="s">
        <v>566</v>
      </c>
      <c r="F339" t="s">
        <v>87</v>
      </c>
      <c r="G339" t="s">
        <v>651</v>
      </c>
      <c r="H339" t="s">
        <v>166</v>
      </c>
      <c r="I339" t="s">
        <v>216</v>
      </c>
      <c r="J339" t="s">
        <v>167</v>
      </c>
      <c r="K339" t="s">
        <v>41</v>
      </c>
      <c r="L339" t="s">
        <v>652</v>
      </c>
      <c r="N339" t="s">
        <v>653</v>
      </c>
      <c r="O339" t="s">
        <v>217</v>
      </c>
      <c r="Q339" t="s">
        <v>1199</v>
      </c>
      <c r="R339" t="s">
        <v>1206</v>
      </c>
      <c r="S339" t="s">
        <v>573</v>
      </c>
      <c r="V339" t="s">
        <v>574</v>
      </c>
      <c r="W339" t="s">
        <v>568</v>
      </c>
      <c r="AD339" t="s">
        <v>1207</v>
      </c>
    </row>
    <row r="340" spans="1:30" x14ac:dyDescent="0.25">
      <c r="A340" t="s">
        <v>33</v>
      </c>
      <c r="D340" t="s">
        <v>565</v>
      </c>
      <c r="E340" t="s">
        <v>566</v>
      </c>
      <c r="F340" t="s">
        <v>87</v>
      </c>
      <c r="G340" t="s">
        <v>656</v>
      </c>
      <c r="H340" t="s">
        <v>89</v>
      </c>
      <c r="I340" t="s">
        <v>90</v>
      </c>
      <c r="J340" t="s">
        <v>91</v>
      </c>
      <c r="K340" t="s">
        <v>92</v>
      </c>
      <c r="L340" t="s">
        <v>657</v>
      </c>
      <c r="M340" t="s">
        <v>94</v>
      </c>
      <c r="N340" t="s">
        <v>658</v>
      </c>
      <c r="O340" t="s">
        <v>96</v>
      </c>
      <c r="P340">
        <v>1E-3</v>
      </c>
      <c r="R340" t="s">
        <v>1208</v>
      </c>
      <c r="S340" t="s">
        <v>573</v>
      </c>
      <c r="V340" t="s">
        <v>574</v>
      </c>
      <c r="W340" t="s">
        <v>568</v>
      </c>
      <c r="AD340" t="s">
        <v>1209</v>
      </c>
    </row>
    <row r="341" spans="1:30" x14ac:dyDescent="0.25">
      <c r="A341" t="s">
        <v>33</v>
      </c>
      <c r="D341" t="s">
        <v>565</v>
      </c>
      <c r="E341" t="s">
        <v>566</v>
      </c>
      <c r="F341" t="s">
        <v>87</v>
      </c>
      <c r="G341" t="s">
        <v>656</v>
      </c>
      <c r="H341" t="s">
        <v>166</v>
      </c>
      <c r="I341" t="s">
        <v>216</v>
      </c>
      <c r="J341" t="s">
        <v>167</v>
      </c>
      <c r="K341" t="s">
        <v>41</v>
      </c>
      <c r="L341" t="s">
        <v>657</v>
      </c>
      <c r="N341" t="s">
        <v>658</v>
      </c>
      <c r="O341" t="s">
        <v>217</v>
      </c>
      <c r="Q341" t="s">
        <v>1199</v>
      </c>
      <c r="R341" t="s">
        <v>1210</v>
      </c>
      <c r="S341" t="s">
        <v>573</v>
      </c>
      <c r="V341" t="s">
        <v>574</v>
      </c>
      <c r="W341" t="s">
        <v>568</v>
      </c>
      <c r="AD341" t="s">
        <v>1211</v>
      </c>
    </row>
    <row r="342" spans="1:30" x14ac:dyDescent="0.25">
      <c r="A342" t="s">
        <v>33</v>
      </c>
      <c r="D342" t="s">
        <v>565</v>
      </c>
      <c r="E342" t="s">
        <v>566</v>
      </c>
      <c r="F342" t="s">
        <v>87</v>
      </c>
      <c r="G342" t="s">
        <v>1013</v>
      </c>
      <c r="H342" t="s">
        <v>89</v>
      </c>
      <c r="I342" t="s">
        <v>90</v>
      </c>
      <c r="J342" t="s">
        <v>91</v>
      </c>
      <c r="K342" t="s">
        <v>92</v>
      </c>
      <c r="L342" t="s">
        <v>1014</v>
      </c>
      <c r="M342" t="s">
        <v>94</v>
      </c>
      <c r="N342" t="s">
        <v>1015</v>
      </c>
      <c r="O342" t="s">
        <v>96</v>
      </c>
      <c r="P342">
        <v>1E-3</v>
      </c>
      <c r="R342" t="s">
        <v>1212</v>
      </c>
      <c r="S342" t="s">
        <v>573</v>
      </c>
      <c r="V342" t="s">
        <v>574</v>
      </c>
      <c r="W342" t="s">
        <v>568</v>
      </c>
      <c r="AD342" t="s">
        <v>1213</v>
      </c>
    </row>
    <row r="343" spans="1:30" x14ac:dyDescent="0.25">
      <c r="A343" t="s">
        <v>33</v>
      </c>
      <c r="D343" t="s">
        <v>565</v>
      </c>
      <c r="E343" t="s">
        <v>566</v>
      </c>
      <c r="F343" t="s">
        <v>87</v>
      </c>
      <c r="G343" t="s">
        <v>1013</v>
      </c>
      <c r="H343" t="s">
        <v>166</v>
      </c>
      <c r="I343" t="s">
        <v>216</v>
      </c>
      <c r="J343" t="s">
        <v>167</v>
      </c>
      <c r="K343" t="s">
        <v>41</v>
      </c>
      <c r="L343" t="s">
        <v>1014</v>
      </c>
      <c r="N343" t="s">
        <v>1015</v>
      </c>
      <c r="O343" t="s">
        <v>217</v>
      </c>
      <c r="Q343" t="s">
        <v>1199</v>
      </c>
      <c r="R343" t="s">
        <v>1214</v>
      </c>
      <c r="S343" t="s">
        <v>573</v>
      </c>
      <c r="V343" t="s">
        <v>574</v>
      </c>
      <c r="W343" t="s">
        <v>568</v>
      </c>
      <c r="AD343" t="s">
        <v>1215</v>
      </c>
    </row>
    <row r="344" spans="1:30" x14ac:dyDescent="0.25">
      <c r="A344" t="s">
        <v>33</v>
      </c>
      <c r="D344" t="s">
        <v>565</v>
      </c>
      <c r="E344" t="s">
        <v>566</v>
      </c>
      <c r="F344" t="s">
        <v>87</v>
      </c>
      <c r="G344" t="s">
        <v>661</v>
      </c>
      <c r="H344" t="s">
        <v>89</v>
      </c>
      <c r="I344" t="s">
        <v>90</v>
      </c>
      <c r="J344" t="s">
        <v>91</v>
      </c>
      <c r="K344" t="s">
        <v>92</v>
      </c>
      <c r="L344" t="s">
        <v>662</v>
      </c>
      <c r="M344" t="s">
        <v>94</v>
      </c>
      <c r="N344" t="s">
        <v>95</v>
      </c>
      <c r="O344" t="s">
        <v>96</v>
      </c>
      <c r="P344">
        <v>1E-3</v>
      </c>
      <c r="R344" t="s">
        <v>1216</v>
      </c>
      <c r="S344" t="s">
        <v>573</v>
      </c>
      <c r="V344" t="s">
        <v>574</v>
      </c>
      <c r="W344" t="s">
        <v>568</v>
      </c>
      <c r="AD344" t="s">
        <v>98</v>
      </c>
    </row>
    <row r="345" spans="1:30" x14ac:dyDescent="0.25">
      <c r="A345" t="s">
        <v>33</v>
      </c>
      <c r="D345" t="s">
        <v>565</v>
      </c>
      <c r="E345" t="s">
        <v>566</v>
      </c>
      <c r="F345" t="s">
        <v>87</v>
      </c>
      <c r="G345" t="s">
        <v>661</v>
      </c>
      <c r="H345" t="s">
        <v>38</v>
      </c>
      <c r="I345" t="s">
        <v>106</v>
      </c>
      <c r="J345" t="s">
        <v>40</v>
      </c>
      <c r="K345" t="s">
        <v>41</v>
      </c>
      <c r="L345" t="s">
        <v>662</v>
      </c>
      <c r="M345" t="s">
        <v>1191</v>
      </c>
      <c r="N345" t="s">
        <v>95</v>
      </c>
      <c r="O345" t="s">
        <v>109</v>
      </c>
      <c r="R345" t="s">
        <v>1217</v>
      </c>
      <c r="S345" t="s">
        <v>573</v>
      </c>
      <c r="V345" t="s">
        <v>574</v>
      </c>
      <c r="W345" t="s">
        <v>568</v>
      </c>
      <c r="X345" t="s">
        <v>1193</v>
      </c>
      <c r="AD345" t="s">
        <v>1218</v>
      </c>
    </row>
    <row r="346" spans="1:30" x14ac:dyDescent="0.25">
      <c r="A346" t="s">
        <v>33</v>
      </c>
      <c r="D346" t="s">
        <v>565</v>
      </c>
      <c r="E346" t="s">
        <v>566</v>
      </c>
      <c r="F346" t="s">
        <v>87</v>
      </c>
      <c r="G346" t="s">
        <v>661</v>
      </c>
      <c r="H346" t="s">
        <v>38</v>
      </c>
      <c r="I346" t="s">
        <v>25</v>
      </c>
      <c r="J346" t="s">
        <v>69</v>
      </c>
      <c r="K346" t="s">
        <v>41</v>
      </c>
      <c r="L346" t="s">
        <v>662</v>
      </c>
      <c r="M346" t="s">
        <v>1191</v>
      </c>
      <c r="N346" t="s">
        <v>95</v>
      </c>
      <c r="O346" t="s">
        <v>512</v>
      </c>
      <c r="R346" t="s">
        <v>1219</v>
      </c>
      <c r="S346" t="s">
        <v>573</v>
      </c>
      <c r="V346" t="s">
        <v>574</v>
      </c>
      <c r="W346" t="s">
        <v>568</v>
      </c>
      <c r="X346" t="s">
        <v>1193</v>
      </c>
      <c r="AD346" t="s">
        <v>1220</v>
      </c>
    </row>
    <row r="347" spans="1:30" x14ac:dyDescent="0.25">
      <c r="A347" t="s">
        <v>33</v>
      </c>
      <c r="D347" t="s">
        <v>565</v>
      </c>
      <c r="E347" t="s">
        <v>566</v>
      </c>
      <c r="F347" t="s">
        <v>87</v>
      </c>
      <c r="G347" t="s">
        <v>661</v>
      </c>
      <c r="H347" t="s">
        <v>38</v>
      </c>
      <c r="I347" t="s">
        <v>24</v>
      </c>
      <c r="J347" t="s">
        <v>69</v>
      </c>
      <c r="K347" t="s">
        <v>41</v>
      </c>
      <c r="L347" t="s">
        <v>662</v>
      </c>
      <c r="M347" t="s">
        <v>1191</v>
      </c>
      <c r="N347" t="s">
        <v>95</v>
      </c>
      <c r="O347" t="s">
        <v>509</v>
      </c>
      <c r="R347" t="s">
        <v>1221</v>
      </c>
      <c r="S347" t="s">
        <v>573</v>
      </c>
      <c r="V347" t="s">
        <v>574</v>
      </c>
      <c r="W347" t="s">
        <v>568</v>
      </c>
      <c r="X347" t="s">
        <v>1193</v>
      </c>
      <c r="AD347" t="s">
        <v>1222</v>
      </c>
    </row>
    <row r="348" spans="1:30" x14ac:dyDescent="0.25">
      <c r="A348" t="s">
        <v>33</v>
      </c>
      <c r="D348" t="s">
        <v>565</v>
      </c>
      <c r="E348" t="s">
        <v>566</v>
      </c>
      <c r="F348" t="s">
        <v>87</v>
      </c>
      <c r="G348" t="s">
        <v>457</v>
      </c>
      <c r="H348" t="s">
        <v>153</v>
      </c>
      <c r="I348" t="s">
        <v>144</v>
      </c>
      <c r="J348" t="s">
        <v>154</v>
      </c>
      <c r="K348" t="s">
        <v>155</v>
      </c>
      <c r="L348" t="s">
        <v>458</v>
      </c>
      <c r="N348" t="s">
        <v>694</v>
      </c>
      <c r="O348" t="s">
        <v>156</v>
      </c>
      <c r="R348" t="s">
        <v>1223</v>
      </c>
      <c r="S348" t="s">
        <v>573</v>
      </c>
      <c r="V348" t="s">
        <v>574</v>
      </c>
      <c r="W348" t="s">
        <v>568</v>
      </c>
      <c r="AD348" t="s">
        <v>1224</v>
      </c>
    </row>
    <row r="349" spans="1:30" x14ac:dyDescent="0.25">
      <c r="A349" t="s">
        <v>33</v>
      </c>
      <c r="D349" t="s">
        <v>565</v>
      </c>
      <c r="E349" t="s">
        <v>566</v>
      </c>
      <c r="F349" t="s">
        <v>87</v>
      </c>
      <c r="G349" t="s">
        <v>843</v>
      </c>
      <c r="H349" t="s">
        <v>89</v>
      </c>
      <c r="I349" t="s">
        <v>180</v>
      </c>
      <c r="J349" t="s">
        <v>91</v>
      </c>
      <c r="K349" t="s">
        <v>92</v>
      </c>
      <c r="L349" t="s">
        <v>844</v>
      </c>
      <c r="M349" t="s">
        <v>94</v>
      </c>
      <c r="N349" t="s">
        <v>845</v>
      </c>
      <c r="O349" t="s">
        <v>96</v>
      </c>
      <c r="P349">
        <v>1E-3</v>
      </c>
      <c r="R349" t="s">
        <v>1225</v>
      </c>
      <c r="S349" t="s">
        <v>573</v>
      </c>
      <c r="V349" t="s">
        <v>574</v>
      </c>
      <c r="W349" t="s">
        <v>568</v>
      </c>
      <c r="AD349" t="s">
        <v>1226</v>
      </c>
    </row>
    <row r="350" spans="1:30" x14ac:dyDescent="0.25">
      <c r="A350" t="s">
        <v>33</v>
      </c>
      <c r="D350" t="s">
        <v>565</v>
      </c>
      <c r="E350" t="s">
        <v>566</v>
      </c>
      <c r="F350" t="s">
        <v>87</v>
      </c>
      <c r="G350" t="s">
        <v>843</v>
      </c>
      <c r="H350" t="s">
        <v>166</v>
      </c>
      <c r="I350" t="s">
        <v>216</v>
      </c>
      <c r="J350" t="s">
        <v>167</v>
      </c>
      <c r="K350" t="s">
        <v>41</v>
      </c>
      <c r="L350" t="s">
        <v>844</v>
      </c>
      <c r="N350" t="s">
        <v>845</v>
      </c>
      <c r="O350" t="s">
        <v>217</v>
      </c>
      <c r="Q350" t="s">
        <v>1227</v>
      </c>
      <c r="R350" t="s">
        <v>1228</v>
      </c>
      <c r="S350" t="s">
        <v>573</v>
      </c>
      <c r="V350" t="s">
        <v>574</v>
      </c>
      <c r="W350" t="s">
        <v>568</v>
      </c>
      <c r="AD350" t="s">
        <v>1229</v>
      </c>
    </row>
    <row r="351" spans="1:30" x14ac:dyDescent="0.25">
      <c r="A351" t="s">
        <v>33</v>
      </c>
      <c r="D351" t="s">
        <v>565</v>
      </c>
      <c r="E351" t="s">
        <v>566</v>
      </c>
      <c r="F351" t="s">
        <v>87</v>
      </c>
      <c r="G351" t="s">
        <v>701</v>
      </c>
      <c r="H351" t="s">
        <v>153</v>
      </c>
      <c r="I351" t="s">
        <v>144</v>
      </c>
      <c r="J351" t="s">
        <v>154</v>
      </c>
      <c r="K351" t="s">
        <v>155</v>
      </c>
      <c r="L351" t="s">
        <v>702</v>
      </c>
      <c r="N351" t="s">
        <v>703</v>
      </c>
      <c r="O351" t="s">
        <v>156</v>
      </c>
      <c r="R351" t="s">
        <v>1230</v>
      </c>
      <c r="S351" t="s">
        <v>573</v>
      </c>
      <c r="V351" t="s">
        <v>574</v>
      </c>
      <c r="W351" t="s">
        <v>568</v>
      </c>
      <c r="AD351" t="s">
        <v>1231</v>
      </c>
    </row>
    <row r="352" spans="1:30" x14ac:dyDescent="0.25">
      <c r="A352" t="s">
        <v>33</v>
      </c>
      <c r="D352" t="s">
        <v>565</v>
      </c>
      <c r="E352" t="s">
        <v>566</v>
      </c>
      <c r="F352" t="s">
        <v>87</v>
      </c>
      <c r="G352" t="s">
        <v>664</v>
      </c>
      <c r="H352" t="s">
        <v>89</v>
      </c>
      <c r="I352" t="s">
        <v>100</v>
      </c>
      <c r="J352" t="s">
        <v>91</v>
      </c>
      <c r="K352" t="s">
        <v>92</v>
      </c>
      <c r="L352" t="s">
        <v>665</v>
      </c>
      <c r="M352" t="s">
        <v>94</v>
      </c>
      <c r="N352" t="s">
        <v>666</v>
      </c>
      <c r="O352" t="s">
        <v>96</v>
      </c>
      <c r="P352">
        <v>1E-3</v>
      </c>
      <c r="R352" t="s">
        <v>1232</v>
      </c>
      <c r="S352" t="s">
        <v>573</v>
      </c>
      <c r="V352" t="s">
        <v>574</v>
      </c>
      <c r="W352" t="s">
        <v>568</v>
      </c>
      <c r="AD352" t="s">
        <v>1233</v>
      </c>
    </row>
    <row r="353" spans="1:30" x14ac:dyDescent="0.25">
      <c r="A353" t="s">
        <v>33</v>
      </c>
      <c r="D353" t="s">
        <v>565</v>
      </c>
      <c r="E353" t="s">
        <v>566</v>
      </c>
      <c r="F353" t="s">
        <v>87</v>
      </c>
      <c r="G353" t="s">
        <v>664</v>
      </c>
      <c r="H353" t="s">
        <v>166</v>
      </c>
      <c r="I353" t="s">
        <v>216</v>
      </c>
      <c r="J353" t="s">
        <v>167</v>
      </c>
      <c r="K353" t="s">
        <v>41</v>
      </c>
      <c r="L353" t="s">
        <v>665</v>
      </c>
      <c r="N353" t="s">
        <v>666</v>
      </c>
      <c r="O353" t="s">
        <v>217</v>
      </c>
      <c r="Q353" t="s">
        <v>1227</v>
      </c>
      <c r="R353" t="s">
        <v>1234</v>
      </c>
      <c r="S353" t="s">
        <v>573</v>
      </c>
      <c r="V353" t="s">
        <v>574</v>
      </c>
      <c r="W353" t="s">
        <v>568</v>
      </c>
      <c r="AD353" t="s">
        <v>1235</v>
      </c>
    </row>
    <row r="354" spans="1:30" x14ac:dyDescent="0.25">
      <c r="A354" t="s">
        <v>33</v>
      </c>
      <c r="D354" t="s">
        <v>565</v>
      </c>
      <c r="E354" t="s">
        <v>566</v>
      </c>
      <c r="F354" t="s">
        <v>87</v>
      </c>
      <c r="G354" t="s">
        <v>726</v>
      </c>
      <c r="H354" t="s">
        <v>153</v>
      </c>
      <c r="I354" t="s">
        <v>144</v>
      </c>
      <c r="J354" t="s">
        <v>154</v>
      </c>
      <c r="K354" t="s">
        <v>155</v>
      </c>
      <c r="L354" t="s">
        <v>727</v>
      </c>
      <c r="N354" t="s">
        <v>728</v>
      </c>
      <c r="O354" t="s">
        <v>156</v>
      </c>
      <c r="R354" t="s">
        <v>1236</v>
      </c>
      <c r="S354" t="s">
        <v>573</v>
      </c>
      <c r="V354" t="s">
        <v>574</v>
      </c>
      <c r="W354" t="s">
        <v>568</v>
      </c>
      <c r="AD354" t="s">
        <v>1237</v>
      </c>
    </row>
    <row r="355" spans="1:30" x14ac:dyDescent="0.25">
      <c r="A355" t="s">
        <v>33</v>
      </c>
      <c r="D355" t="s">
        <v>565</v>
      </c>
      <c r="E355" t="s">
        <v>566</v>
      </c>
      <c r="F355" t="s">
        <v>87</v>
      </c>
      <c r="G355" t="s">
        <v>1238</v>
      </c>
      <c r="H355" t="s">
        <v>89</v>
      </c>
      <c r="I355" t="s">
        <v>100</v>
      </c>
      <c r="J355" t="s">
        <v>91</v>
      </c>
      <c r="K355" t="s">
        <v>92</v>
      </c>
      <c r="L355" t="s">
        <v>1239</v>
      </c>
      <c r="M355" t="s">
        <v>94</v>
      </c>
      <c r="N355" t="s">
        <v>1240</v>
      </c>
      <c r="O355" t="s">
        <v>96</v>
      </c>
      <c r="P355">
        <v>1E-3</v>
      </c>
      <c r="R355" t="s">
        <v>1241</v>
      </c>
      <c r="S355" t="s">
        <v>573</v>
      </c>
      <c r="V355" t="s">
        <v>574</v>
      </c>
      <c r="W355" t="s">
        <v>568</v>
      </c>
      <c r="AD355" t="s">
        <v>1242</v>
      </c>
    </row>
    <row r="356" spans="1:30" x14ac:dyDescent="0.25">
      <c r="A356" t="s">
        <v>33</v>
      </c>
      <c r="D356" t="s">
        <v>565</v>
      </c>
      <c r="E356" t="s">
        <v>566</v>
      </c>
      <c r="F356" t="s">
        <v>87</v>
      </c>
      <c r="G356" t="s">
        <v>1238</v>
      </c>
      <c r="H356" t="s">
        <v>38</v>
      </c>
      <c r="I356" t="s">
        <v>106</v>
      </c>
      <c r="J356" t="s">
        <v>40</v>
      </c>
      <c r="K356" t="s">
        <v>41</v>
      </c>
      <c r="L356" t="s">
        <v>1239</v>
      </c>
      <c r="M356" t="s">
        <v>1191</v>
      </c>
      <c r="N356" t="s">
        <v>1240</v>
      </c>
      <c r="O356" t="s">
        <v>109</v>
      </c>
      <c r="R356" t="s">
        <v>1243</v>
      </c>
      <c r="S356" t="s">
        <v>573</v>
      </c>
      <c r="V356" t="s">
        <v>574</v>
      </c>
      <c r="W356" t="s">
        <v>568</v>
      </c>
      <c r="X356" t="s">
        <v>1193</v>
      </c>
      <c r="AD356" t="s">
        <v>1244</v>
      </c>
    </row>
    <row r="357" spans="1:30" x14ac:dyDescent="0.25">
      <c r="A357" t="s">
        <v>33</v>
      </c>
      <c r="D357" t="s">
        <v>565</v>
      </c>
      <c r="E357" t="s">
        <v>566</v>
      </c>
      <c r="F357" t="s">
        <v>87</v>
      </c>
      <c r="G357" t="s">
        <v>1238</v>
      </c>
      <c r="H357" t="s">
        <v>38</v>
      </c>
      <c r="I357" t="s">
        <v>25</v>
      </c>
      <c r="J357" t="s">
        <v>69</v>
      </c>
      <c r="K357" t="s">
        <v>41</v>
      </c>
      <c r="L357" t="s">
        <v>1239</v>
      </c>
      <c r="M357" t="s">
        <v>1191</v>
      </c>
      <c r="N357" t="s">
        <v>1240</v>
      </c>
      <c r="O357" t="s">
        <v>512</v>
      </c>
      <c r="R357" t="s">
        <v>1245</v>
      </c>
      <c r="S357" t="s">
        <v>573</v>
      </c>
      <c r="V357" t="s">
        <v>574</v>
      </c>
      <c r="W357" t="s">
        <v>568</v>
      </c>
      <c r="X357" t="s">
        <v>1193</v>
      </c>
      <c r="AD357" t="s">
        <v>1246</v>
      </c>
    </row>
    <row r="358" spans="1:30" x14ac:dyDescent="0.25">
      <c r="A358" t="s">
        <v>33</v>
      </c>
      <c r="D358" t="s">
        <v>565</v>
      </c>
      <c r="E358" t="s">
        <v>566</v>
      </c>
      <c r="F358" t="s">
        <v>87</v>
      </c>
      <c r="G358" t="s">
        <v>1238</v>
      </c>
      <c r="H358" t="s">
        <v>38</v>
      </c>
      <c r="I358" t="s">
        <v>24</v>
      </c>
      <c r="J358" t="s">
        <v>69</v>
      </c>
      <c r="K358" t="s">
        <v>41</v>
      </c>
      <c r="L358" t="s">
        <v>1239</v>
      </c>
      <c r="M358" t="s">
        <v>1191</v>
      </c>
      <c r="N358" t="s">
        <v>1240</v>
      </c>
      <c r="O358" t="s">
        <v>509</v>
      </c>
      <c r="R358" t="s">
        <v>1247</v>
      </c>
      <c r="S358" t="s">
        <v>573</v>
      </c>
      <c r="V358" t="s">
        <v>574</v>
      </c>
      <c r="W358" t="s">
        <v>568</v>
      </c>
      <c r="X358" t="s">
        <v>1193</v>
      </c>
      <c r="AD358" t="s">
        <v>1248</v>
      </c>
    </row>
    <row r="359" spans="1:30" x14ac:dyDescent="0.25">
      <c r="A359" t="s">
        <v>33</v>
      </c>
      <c r="D359" t="s">
        <v>565</v>
      </c>
      <c r="E359" t="s">
        <v>566</v>
      </c>
      <c r="F359" t="s">
        <v>87</v>
      </c>
      <c r="G359" t="s">
        <v>763</v>
      </c>
      <c r="H359" t="s">
        <v>153</v>
      </c>
      <c r="I359" t="s">
        <v>144</v>
      </c>
      <c r="J359" t="s">
        <v>154</v>
      </c>
      <c r="K359" t="s">
        <v>155</v>
      </c>
      <c r="L359" t="s">
        <v>764</v>
      </c>
      <c r="N359" t="s">
        <v>765</v>
      </c>
      <c r="O359" t="s">
        <v>156</v>
      </c>
      <c r="R359" t="s">
        <v>1249</v>
      </c>
      <c r="S359" t="s">
        <v>573</v>
      </c>
      <c r="V359" t="s">
        <v>574</v>
      </c>
      <c r="W359" t="s">
        <v>568</v>
      </c>
      <c r="AD359" t="s">
        <v>1250</v>
      </c>
    </row>
    <row r="360" spans="1:30" x14ac:dyDescent="0.25">
      <c r="A360" t="s">
        <v>33</v>
      </c>
      <c r="D360" t="s">
        <v>565</v>
      </c>
      <c r="E360" t="s">
        <v>566</v>
      </c>
      <c r="F360" t="s">
        <v>866</v>
      </c>
      <c r="G360" t="s">
        <v>867</v>
      </c>
      <c r="H360" t="s">
        <v>166</v>
      </c>
      <c r="I360" t="s">
        <v>281</v>
      </c>
      <c r="J360" t="s">
        <v>167</v>
      </c>
      <c r="K360" t="s">
        <v>41</v>
      </c>
      <c r="L360" t="s">
        <v>868</v>
      </c>
      <c r="N360" t="s">
        <v>869</v>
      </c>
      <c r="O360" t="s">
        <v>858</v>
      </c>
      <c r="Q360" t="s">
        <v>859</v>
      </c>
      <c r="R360" t="s">
        <v>1251</v>
      </c>
      <c r="S360" t="s">
        <v>573</v>
      </c>
      <c r="V360" t="s">
        <v>574</v>
      </c>
      <c r="W360" t="s">
        <v>568</v>
      </c>
      <c r="AD360" t="s">
        <v>1252</v>
      </c>
    </row>
    <row r="361" spans="1:30" x14ac:dyDescent="0.25">
      <c r="A361" t="s">
        <v>33</v>
      </c>
      <c r="D361" t="s">
        <v>565</v>
      </c>
      <c r="E361" t="s">
        <v>566</v>
      </c>
      <c r="F361" t="s">
        <v>866</v>
      </c>
      <c r="G361" t="s">
        <v>867</v>
      </c>
      <c r="H361" t="s">
        <v>166</v>
      </c>
      <c r="I361" t="s">
        <v>80</v>
      </c>
      <c r="J361" t="s">
        <v>167</v>
      </c>
      <c r="K361" t="s">
        <v>41</v>
      </c>
      <c r="L361" t="s">
        <v>868</v>
      </c>
      <c r="N361" t="s">
        <v>869</v>
      </c>
      <c r="O361" t="s">
        <v>862</v>
      </c>
      <c r="Q361" t="s">
        <v>863</v>
      </c>
      <c r="R361" t="s">
        <v>1253</v>
      </c>
      <c r="S361" t="s">
        <v>573</v>
      </c>
      <c r="V361" t="s">
        <v>574</v>
      </c>
      <c r="W361" t="s">
        <v>568</v>
      </c>
      <c r="AD361" t="s">
        <v>1254</v>
      </c>
    </row>
    <row r="362" spans="1:30" x14ac:dyDescent="0.25">
      <c r="A362" t="s">
        <v>33</v>
      </c>
      <c r="D362" t="s">
        <v>565</v>
      </c>
      <c r="E362" t="s">
        <v>566</v>
      </c>
      <c r="F362" t="s">
        <v>87</v>
      </c>
      <c r="G362" t="s">
        <v>781</v>
      </c>
      <c r="H362" t="s">
        <v>153</v>
      </c>
      <c r="I362" t="s">
        <v>144</v>
      </c>
      <c r="J362" t="s">
        <v>154</v>
      </c>
      <c r="K362" t="s">
        <v>155</v>
      </c>
      <c r="L362" t="s">
        <v>782</v>
      </c>
      <c r="N362" t="s">
        <v>783</v>
      </c>
      <c r="O362" t="s">
        <v>156</v>
      </c>
      <c r="R362" t="s">
        <v>1255</v>
      </c>
      <c r="S362" t="s">
        <v>573</v>
      </c>
      <c r="V362" t="s">
        <v>574</v>
      </c>
      <c r="W362" t="s">
        <v>568</v>
      </c>
      <c r="AD362" t="s">
        <v>1256</v>
      </c>
    </row>
    <row r="363" spans="1:30" x14ac:dyDescent="0.25">
      <c r="A363" t="s">
        <v>33</v>
      </c>
      <c r="D363" t="s">
        <v>565</v>
      </c>
      <c r="E363" t="s">
        <v>566</v>
      </c>
      <c r="F363" t="s">
        <v>866</v>
      </c>
      <c r="G363" t="s">
        <v>867</v>
      </c>
      <c r="H363" t="s">
        <v>166</v>
      </c>
      <c r="I363" t="s">
        <v>216</v>
      </c>
      <c r="J363" t="s">
        <v>167</v>
      </c>
      <c r="K363" t="s">
        <v>41</v>
      </c>
      <c r="L363" t="s">
        <v>868</v>
      </c>
      <c r="N363" t="s">
        <v>869</v>
      </c>
      <c r="O363" t="s">
        <v>872</v>
      </c>
      <c r="Q363" t="s">
        <v>873</v>
      </c>
      <c r="R363" t="s">
        <v>1257</v>
      </c>
      <c r="S363" t="s">
        <v>573</v>
      </c>
      <c r="V363" t="s">
        <v>574</v>
      </c>
      <c r="W363" t="s">
        <v>568</v>
      </c>
      <c r="AD363" t="s">
        <v>1258</v>
      </c>
    </row>
    <row r="364" spans="1:30" x14ac:dyDescent="0.25">
      <c r="A364" t="s">
        <v>33</v>
      </c>
      <c r="D364" t="s">
        <v>565</v>
      </c>
      <c r="E364" t="s">
        <v>566</v>
      </c>
      <c r="F364" t="s">
        <v>866</v>
      </c>
      <c r="G364" t="s">
        <v>969</v>
      </c>
      <c r="H364" t="s">
        <v>166</v>
      </c>
      <c r="I364" t="s">
        <v>281</v>
      </c>
      <c r="J364" t="s">
        <v>167</v>
      </c>
      <c r="K364" t="s">
        <v>41</v>
      </c>
      <c r="L364" t="s">
        <v>970</v>
      </c>
      <c r="N364" t="s">
        <v>971</v>
      </c>
      <c r="O364" t="s">
        <v>858</v>
      </c>
      <c r="Q364" t="s">
        <v>859</v>
      </c>
      <c r="R364" t="s">
        <v>1259</v>
      </c>
      <c r="S364" t="s">
        <v>573</v>
      </c>
      <c r="V364" t="s">
        <v>574</v>
      </c>
      <c r="W364" t="s">
        <v>568</v>
      </c>
      <c r="AD364" t="s">
        <v>1260</v>
      </c>
    </row>
    <row r="365" spans="1:30" x14ac:dyDescent="0.25">
      <c r="A365" t="s">
        <v>33</v>
      </c>
      <c r="D365" t="s">
        <v>565</v>
      </c>
      <c r="E365" t="s">
        <v>566</v>
      </c>
      <c r="F365" t="s">
        <v>87</v>
      </c>
      <c r="G365" t="s">
        <v>772</v>
      </c>
      <c r="H365" t="s">
        <v>153</v>
      </c>
      <c r="I365" t="s">
        <v>144</v>
      </c>
      <c r="J365" t="s">
        <v>154</v>
      </c>
      <c r="K365" t="s">
        <v>155</v>
      </c>
      <c r="L365" t="s">
        <v>773</v>
      </c>
      <c r="N365" t="s">
        <v>774</v>
      </c>
      <c r="O365" t="s">
        <v>156</v>
      </c>
      <c r="R365" t="s">
        <v>1261</v>
      </c>
      <c r="S365" t="s">
        <v>573</v>
      </c>
      <c r="V365" t="s">
        <v>574</v>
      </c>
      <c r="W365" t="s">
        <v>568</v>
      </c>
      <c r="AD365" t="s">
        <v>1262</v>
      </c>
    </row>
    <row r="366" spans="1:30" x14ac:dyDescent="0.25">
      <c r="A366" t="s">
        <v>33</v>
      </c>
      <c r="D366" t="s">
        <v>565</v>
      </c>
      <c r="E366" t="s">
        <v>566</v>
      </c>
      <c r="F366" t="s">
        <v>866</v>
      </c>
      <c r="G366" t="s">
        <v>969</v>
      </c>
      <c r="H366" t="s">
        <v>280</v>
      </c>
      <c r="I366" t="s">
        <v>1263</v>
      </c>
      <c r="J366" t="s">
        <v>282</v>
      </c>
      <c r="K366" t="s">
        <v>283</v>
      </c>
      <c r="L366" t="s">
        <v>970</v>
      </c>
      <c r="N366" t="s">
        <v>971</v>
      </c>
      <c r="O366" t="s">
        <v>1264</v>
      </c>
      <c r="Q366" t="s">
        <v>1265</v>
      </c>
      <c r="R366" t="s">
        <v>1266</v>
      </c>
      <c r="S366" t="s">
        <v>573</v>
      </c>
      <c r="V366" t="s">
        <v>574</v>
      </c>
      <c r="W366" t="s">
        <v>568</v>
      </c>
      <c r="AD366" t="s">
        <v>1267</v>
      </c>
    </row>
    <row r="367" spans="1:30" x14ac:dyDescent="0.25">
      <c r="A367" t="s">
        <v>33</v>
      </c>
      <c r="D367" t="s">
        <v>565</v>
      </c>
      <c r="E367" t="s">
        <v>566</v>
      </c>
      <c r="F367" t="s">
        <v>866</v>
      </c>
      <c r="G367" t="s">
        <v>969</v>
      </c>
      <c r="H367" t="s">
        <v>166</v>
      </c>
      <c r="I367" t="s">
        <v>80</v>
      </c>
      <c r="J367" t="s">
        <v>167</v>
      </c>
      <c r="K367" t="s">
        <v>41</v>
      </c>
      <c r="L367" t="s">
        <v>970</v>
      </c>
      <c r="N367" t="s">
        <v>971</v>
      </c>
      <c r="O367" t="s">
        <v>862</v>
      </c>
      <c r="Q367" t="s">
        <v>863</v>
      </c>
      <c r="R367" t="s">
        <v>1268</v>
      </c>
      <c r="S367" t="s">
        <v>573</v>
      </c>
      <c r="V367" t="s">
        <v>574</v>
      </c>
      <c r="W367" t="s">
        <v>568</v>
      </c>
      <c r="AD367" t="s">
        <v>1269</v>
      </c>
    </row>
    <row r="368" spans="1:30" x14ac:dyDescent="0.25">
      <c r="A368" t="s">
        <v>33</v>
      </c>
      <c r="D368" t="s">
        <v>565</v>
      </c>
      <c r="E368" t="s">
        <v>566</v>
      </c>
      <c r="F368" t="s">
        <v>87</v>
      </c>
      <c r="G368" t="s">
        <v>1270</v>
      </c>
      <c r="H368" t="s">
        <v>153</v>
      </c>
      <c r="I368" t="s">
        <v>144</v>
      </c>
      <c r="J368" t="s">
        <v>154</v>
      </c>
      <c r="K368" t="s">
        <v>155</v>
      </c>
      <c r="L368" t="s">
        <v>1271</v>
      </c>
      <c r="N368" t="s">
        <v>1272</v>
      </c>
      <c r="O368" t="s">
        <v>156</v>
      </c>
      <c r="R368" t="s">
        <v>1273</v>
      </c>
      <c r="S368" t="s">
        <v>573</v>
      </c>
      <c r="V368" t="s">
        <v>574</v>
      </c>
      <c r="W368" t="s">
        <v>568</v>
      </c>
      <c r="AD368" t="s">
        <v>1274</v>
      </c>
    </row>
    <row r="369" spans="1:30" x14ac:dyDescent="0.25">
      <c r="A369" t="s">
        <v>33</v>
      </c>
      <c r="D369" t="s">
        <v>565</v>
      </c>
      <c r="E369" t="s">
        <v>566</v>
      </c>
      <c r="F369" t="s">
        <v>866</v>
      </c>
      <c r="G369" t="s">
        <v>969</v>
      </c>
      <c r="H369" t="s">
        <v>166</v>
      </c>
      <c r="I369" t="s">
        <v>216</v>
      </c>
      <c r="J369" t="s">
        <v>167</v>
      </c>
      <c r="K369" t="s">
        <v>41</v>
      </c>
      <c r="L369" t="s">
        <v>970</v>
      </c>
      <c r="N369" t="s">
        <v>971</v>
      </c>
      <c r="O369" t="s">
        <v>872</v>
      </c>
      <c r="Q369" t="s">
        <v>1275</v>
      </c>
      <c r="R369" t="s">
        <v>1276</v>
      </c>
      <c r="S369" t="s">
        <v>573</v>
      </c>
      <c r="V369" t="s">
        <v>574</v>
      </c>
      <c r="W369" t="s">
        <v>568</v>
      </c>
      <c r="AD369" t="s">
        <v>1277</v>
      </c>
    </row>
    <row r="370" spans="1:30" x14ac:dyDescent="0.25">
      <c r="A370" t="s">
        <v>33</v>
      </c>
      <c r="D370" t="s">
        <v>565</v>
      </c>
      <c r="E370" t="s">
        <v>566</v>
      </c>
      <c r="F370" t="s">
        <v>866</v>
      </c>
      <c r="G370" t="s">
        <v>1278</v>
      </c>
      <c r="H370" t="s">
        <v>166</v>
      </c>
      <c r="I370" t="s">
        <v>1279</v>
      </c>
      <c r="J370" t="s">
        <v>167</v>
      </c>
      <c r="K370" t="s">
        <v>41</v>
      </c>
      <c r="L370" t="s">
        <v>1280</v>
      </c>
      <c r="N370" t="s">
        <v>1281</v>
      </c>
      <c r="O370" t="s">
        <v>1282</v>
      </c>
      <c r="Q370" t="s">
        <v>1133</v>
      </c>
      <c r="R370" t="s">
        <v>1283</v>
      </c>
      <c r="S370" t="s">
        <v>573</v>
      </c>
      <c r="V370" t="s">
        <v>574</v>
      </c>
      <c r="W370" t="s">
        <v>568</v>
      </c>
      <c r="AD370" t="s">
        <v>1284</v>
      </c>
    </row>
    <row r="371" spans="1:30" x14ac:dyDescent="0.25">
      <c r="A371" t="s">
        <v>33</v>
      </c>
      <c r="D371" t="s">
        <v>565</v>
      </c>
      <c r="E371" t="s">
        <v>566</v>
      </c>
      <c r="F371" t="s">
        <v>866</v>
      </c>
      <c r="G371" t="s">
        <v>1278</v>
      </c>
      <c r="H371" t="s">
        <v>143</v>
      </c>
      <c r="I371" t="s">
        <v>1285</v>
      </c>
      <c r="J371" t="s">
        <v>145</v>
      </c>
      <c r="K371" t="s">
        <v>146</v>
      </c>
      <c r="L371" t="s">
        <v>1280</v>
      </c>
      <c r="M371" t="s">
        <v>176</v>
      </c>
      <c r="N371" t="s">
        <v>1281</v>
      </c>
      <c r="O371" t="s">
        <v>1286</v>
      </c>
      <c r="R371" t="s">
        <v>1287</v>
      </c>
      <c r="S371" t="s">
        <v>573</v>
      </c>
      <c r="V371" t="s">
        <v>574</v>
      </c>
      <c r="W371" t="s">
        <v>568</v>
      </c>
      <c r="AD371" t="s">
        <v>1288</v>
      </c>
    </row>
    <row r="372" spans="1:30" x14ac:dyDescent="0.25">
      <c r="A372" t="s">
        <v>33</v>
      </c>
      <c r="D372" t="s">
        <v>565</v>
      </c>
      <c r="E372" t="s">
        <v>566</v>
      </c>
      <c r="F372" t="s">
        <v>866</v>
      </c>
      <c r="G372" t="s">
        <v>1278</v>
      </c>
      <c r="H372" t="s">
        <v>143</v>
      </c>
      <c r="I372" t="s">
        <v>1289</v>
      </c>
      <c r="J372" t="s">
        <v>145</v>
      </c>
      <c r="K372" t="s">
        <v>146</v>
      </c>
      <c r="L372" t="s">
        <v>1280</v>
      </c>
      <c r="M372" t="s">
        <v>176</v>
      </c>
      <c r="N372" t="s">
        <v>1281</v>
      </c>
      <c r="O372" t="s">
        <v>1290</v>
      </c>
      <c r="R372" t="s">
        <v>1291</v>
      </c>
      <c r="S372" t="s">
        <v>573</v>
      </c>
      <c r="V372" t="s">
        <v>574</v>
      </c>
      <c r="W372" t="s">
        <v>568</v>
      </c>
      <c r="AD372" t="s">
        <v>1292</v>
      </c>
    </row>
    <row r="373" spans="1:30" x14ac:dyDescent="0.25">
      <c r="A373" t="s">
        <v>33</v>
      </c>
      <c r="D373" t="s">
        <v>565</v>
      </c>
      <c r="E373" t="s">
        <v>566</v>
      </c>
      <c r="F373" t="s">
        <v>866</v>
      </c>
      <c r="G373" t="s">
        <v>980</v>
      </c>
      <c r="H373" t="s">
        <v>166</v>
      </c>
      <c r="I373" t="s">
        <v>281</v>
      </c>
      <c r="J373" t="s">
        <v>167</v>
      </c>
      <c r="K373" t="s">
        <v>41</v>
      </c>
      <c r="L373" t="s">
        <v>981</v>
      </c>
      <c r="N373" t="s">
        <v>971</v>
      </c>
      <c r="O373" t="s">
        <v>858</v>
      </c>
      <c r="Q373" t="s">
        <v>859</v>
      </c>
      <c r="R373" t="s">
        <v>1293</v>
      </c>
      <c r="S373" t="s">
        <v>573</v>
      </c>
      <c r="V373" t="s">
        <v>574</v>
      </c>
      <c r="W373" t="s">
        <v>568</v>
      </c>
      <c r="AD373" t="s">
        <v>1260</v>
      </c>
    </row>
    <row r="374" spans="1:30" x14ac:dyDescent="0.25">
      <c r="A374" t="s">
        <v>33</v>
      </c>
      <c r="D374" t="s">
        <v>565</v>
      </c>
      <c r="E374" t="s">
        <v>566</v>
      </c>
      <c r="F374" t="s">
        <v>87</v>
      </c>
      <c r="G374" t="s">
        <v>632</v>
      </c>
      <c r="H374" t="s">
        <v>153</v>
      </c>
      <c r="I374" t="s">
        <v>144</v>
      </c>
      <c r="J374" t="s">
        <v>154</v>
      </c>
      <c r="K374" t="s">
        <v>155</v>
      </c>
      <c r="L374" t="s">
        <v>633</v>
      </c>
      <c r="N374" t="s">
        <v>634</v>
      </c>
      <c r="O374" t="s">
        <v>156</v>
      </c>
      <c r="R374" t="s">
        <v>1294</v>
      </c>
      <c r="S374" t="s">
        <v>573</v>
      </c>
      <c r="V374" t="s">
        <v>574</v>
      </c>
      <c r="W374" t="s">
        <v>568</v>
      </c>
      <c r="AD374" t="s">
        <v>1295</v>
      </c>
    </row>
    <row r="375" spans="1:30" x14ac:dyDescent="0.25">
      <c r="A375" t="s">
        <v>33</v>
      </c>
      <c r="D375" t="s">
        <v>565</v>
      </c>
      <c r="E375" t="s">
        <v>566</v>
      </c>
      <c r="F375" t="s">
        <v>866</v>
      </c>
      <c r="G375" t="s">
        <v>980</v>
      </c>
      <c r="H375" t="s">
        <v>280</v>
      </c>
      <c r="I375" t="s">
        <v>1263</v>
      </c>
      <c r="J375" t="s">
        <v>282</v>
      </c>
      <c r="K375" t="s">
        <v>283</v>
      </c>
      <c r="L375" t="s">
        <v>981</v>
      </c>
      <c r="N375" t="s">
        <v>971</v>
      </c>
      <c r="O375" t="s">
        <v>1264</v>
      </c>
      <c r="Q375" t="s">
        <v>1265</v>
      </c>
      <c r="R375" t="s">
        <v>1296</v>
      </c>
      <c r="S375" t="s">
        <v>573</v>
      </c>
      <c r="V375" t="s">
        <v>574</v>
      </c>
      <c r="W375" t="s">
        <v>568</v>
      </c>
      <c r="AD375" t="s">
        <v>1267</v>
      </c>
    </row>
    <row r="376" spans="1:30" x14ac:dyDescent="0.25">
      <c r="A376" t="s">
        <v>33</v>
      </c>
      <c r="D376" t="s">
        <v>565</v>
      </c>
      <c r="E376" t="s">
        <v>566</v>
      </c>
      <c r="F376" t="s">
        <v>866</v>
      </c>
      <c r="G376" t="s">
        <v>980</v>
      </c>
      <c r="H376" t="s">
        <v>166</v>
      </c>
      <c r="I376" t="s">
        <v>80</v>
      </c>
      <c r="J376" t="s">
        <v>167</v>
      </c>
      <c r="K376" t="s">
        <v>41</v>
      </c>
      <c r="L376" t="s">
        <v>981</v>
      </c>
      <c r="N376" t="s">
        <v>971</v>
      </c>
      <c r="O376" t="s">
        <v>862</v>
      </c>
      <c r="Q376" t="s">
        <v>863</v>
      </c>
      <c r="R376" t="s">
        <v>1297</v>
      </c>
      <c r="S376" t="s">
        <v>573</v>
      </c>
      <c r="V376" t="s">
        <v>574</v>
      </c>
      <c r="W376" t="s">
        <v>568</v>
      </c>
      <c r="AD376" t="s">
        <v>1269</v>
      </c>
    </row>
    <row r="377" spans="1:30" x14ac:dyDescent="0.25">
      <c r="A377" t="s">
        <v>33</v>
      </c>
      <c r="D377" t="s">
        <v>565</v>
      </c>
      <c r="E377" t="s">
        <v>566</v>
      </c>
      <c r="F377" t="s">
        <v>87</v>
      </c>
      <c r="G377" t="s">
        <v>790</v>
      </c>
      <c r="H377" t="s">
        <v>153</v>
      </c>
      <c r="I377" t="s">
        <v>144</v>
      </c>
      <c r="J377" t="s">
        <v>154</v>
      </c>
      <c r="K377" t="s">
        <v>155</v>
      </c>
      <c r="L377" t="s">
        <v>791</v>
      </c>
      <c r="N377" t="s">
        <v>792</v>
      </c>
      <c r="O377" t="s">
        <v>156</v>
      </c>
      <c r="R377" t="s">
        <v>1298</v>
      </c>
      <c r="S377" t="s">
        <v>573</v>
      </c>
      <c r="V377" t="s">
        <v>574</v>
      </c>
      <c r="W377" t="s">
        <v>568</v>
      </c>
      <c r="AD377" t="s">
        <v>1299</v>
      </c>
    </row>
    <row r="378" spans="1:30" x14ac:dyDescent="0.25">
      <c r="A378" t="s">
        <v>33</v>
      </c>
      <c r="D378" t="s">
        <v>565</v>
      </c>
      <c r="E378" t="s">
        <v>566</v>
      </c>
      <c r="F378" t="s">
        <v>866</v>
      </c>
      <c r="G378" t="s">
        <v>980</v>
      </c>
      <c r="H378" t="s">
        <v>166</v>
      </c>
      <c r="I378" t="s">
        <v>216</v>
      </c>
      <c r="J378" t="s">
        <v>167</v>
      </c>
      <c r="K378" t="s">
        <v>41</v>
      </c>
      <c r="L378" t="s">
        <v>981</v>
      </c>
      <c r="N378" t="s">
        <v>971</v>
      </c>
      <c r="O378" t="s">
        <v>872</v>
      </c>
      <c r="Q378" t="s">
        <v>873</v>
      </c>
      <c r="R378" t="s">
        <v>1300</v>
      </c>
      <c r="S378" t="s">
        <v>573</v>
      </c>
      <c r="V378" t="s">
        <v>574</v>
      </c>
      <c r="W378" t="s">
        <v>568</v>
      </c>
      <c r="AD378" t="s">
        <v>1277</v>
      </c>
    </row>
    <row r="379" spans="1:30" x14ac:dyDescent="0.25">
      <c r="A379" t="s">
        <v>33</v>
      </c>
      <c r="D379" t="s">
        <v>565</v>
      </c>
      <c r="E379" t="s">
        <v>566</v>
      </c>
      <c r="F379" t="s">
        <v>78</v>
      </c>
      <c r="G379" t="s">
        <v>1301</v>
      </c>
      <c r="H379" t="s">
        <v>280</v>
      </c>
      <c r="I379" t="s">
        <v>281</v>
      </c>
      <c r="J379" t="s">
        <v>282</v>
      </c>
      <c r="K379" t="s">
        <v>283</v>
      </c>
      <c r="L379" t="s">
        <v>1302</v>
      </c>
      <c r="N379" t="s">
        <v>1303</v>
      </c>
      <c r="O379" t="s">
        <v>284</v>
      </c>
      <c r="Q379" t="s">
        <v>285</v>
      </c>
      <c r="R379" t="s">
        <v>1304</v>
      </c>
      <c r="S379" t="s">
        <v>573</v>
      </c>
      <c r="V379" t="s">
        <v>574</v>
      </c>
      <c r="W379" t="s">
        <v>568</v>
      </c>
      <c r="AD379" t="s">
        <v>1305</v>
      </c>
    </row>
    <row r="380" spans="1:30" x14ac:dyDescent="0.25">
      <c r="A380" t="s">
        <v>33</v>
      </c>
      <c r="D380" t="s">
        <v>565</v>
      </c>
      <c r="E380" t="s">
        <v>566</v>
      </c>
      <c r="F380" t="s">
        <v>78</v>
      </c>
      <c r="G380" t="s">
        <v>1301</v>
      </c>
      <c r="H380" t="s">
        <v>38</v>
      </c>
      <c r="I380" t="s">
        <v>257</v>
      </c>
      <c r="J380" t="s">
        <v>40</v>
      </c>
      <c r="K380" t="s">
        <v>41</v>
      </c>
      <c r="L380" t="s">
        <v>1302</v>
      </c>
      <c r="M380" t="s">
        <v>82</v>
      </c>
      <c r="N380" t="s">
        <v>1303</v>
      </c>
      <c r="O380" t="s">
        <v>258</v>
      </c>
      <c r="R380" t="s">
        <v>1306</v>
      </c>
      <c r="S380" t="s">
        <v>573</v>
      </c>
      <c r="V380" t="s">
        <v>574</v>
      </c>
      <c r="W380" t="s">
        <v>568</v>
      </c>
      <c r="AD380" t="s">
        <v>1307</v>
      </c>
    </row>
    <row r="381" spans="1:30" x14ac:dyDescent="0.25">
      <c r="A381" t="s">
        <v>33</v>
      </c>
      <c r="D381" t="s">
        <v>565</v>
      </c>
      <c r="E381" t="s">
        <v>566</v>
      </c>
      <c r="F381" t="s">
        <v>78</v>
      </c>
      <c r="G381" t="s">
        <v>1301</v>
      </c>
      <c r="H381" t="s">
        <v>143</v>
      </c>
      <c r="I381" t="s">
        <v>276</v>
      </c>
      <c r="J381" t="s">
        <v>145</v>
      </c>
      <c r="K381" t="s">
        <v>146</v>
      </c>
      <c r="L381" t="s">
        <v>1302</v>
      </c>
      <c r="N381" t="s">
        <v>1303</v>
      </c>
      <c r="O381" t="s">
        <v>277</v>
      </c>
      <c r="R381" t="s">
        <v>1308</v>
      </c>
      <c r="S381" t="s">
        <v>573</v>
      </c>
      <c r="V381" t="s">
        <v>574</v>
      </c>
      <c r="W381" t="s">
        <v>568</v>
      </c>
      <c r="X381" t="s">
        <v>270</v>
      </c>
      <c r="AD381" t="s">
        <v>1309</v>
      </c>
    </row>
    <row r="382" spans="1:30" x14ac:dyDescent="0.25">
      <c r="A382" t="s">
        <v>33</v>
      </c>
      <c r="D382" t="s">
        <v>565</v>
      </c>
      <c r="E382" t="s">
        <v>566</v>
      </c>
      <c r="F382" t="s">
        <v>78</v>
      </c>
      <c r="G382" t="s">
        <v>1301</v>
      </c>
      <c r="H382" t="s">
        <v>143</v>
      </c>
      <c r="I382" t="s">
        <v>272</v>
      </c>
      <c r="J382" t="s">
        <v>145</v>
      </c>
      <c r="K382" t="s">
        <v>146</v>
      </c>
      <c r="L382" t="s">
        <v>1302</v>
      </c>
      <c r="N382" t="s">
        <v>1303</v>
      </c>
      <c r="O382" t="s">
        <v>273</v>
      </c>
      <c r="R382" t="s">
        <v>1310</v>
      </c>
      <c r="S382" t="s">
        <v>573</v>
      </c>
      <c r="V382" t="s">
        <v>574</v>
      </c>
      <c r="W382" t="s">
        <v>568</v>
      </c>
      <c r="X382" t="s">
        <v>270</v>
      </c>
      <c r="AD382" t="s">
        <v>1311</v>
      </c>
    </row>
    <row r="383" spans="1:30" x14ac:dyDescent="0.25">
      <c r="A383" t="s">
        <v>33</v>
      </c>
      <c r="D383" t="s">
        <v>565</v>
      </c>
      <c r="E383" t="s">
        <v>566</v>
      </c>
      <c r="F383" t="s">
        <v>78</v>
      </c>
      <c r="G383" t="s">
        <v>1301</v>
      </c>
      <c r="H383" t="s">
        <v>143</v>
      </c>
      <c r="I383" t="s">
        <v>257</v>
      </c>
      <c r="J383" t="s">
        <v>145</v>
      </c>
      <c r="K383" t="s">
        <v>146</v>
      </c>
      <c r="L383" t="s">
        <v>1302</v>
      </c>
      <c r="M383" t="s">
        <v>82</v>
      </c>
      <c r="N383" t="s">
        <v>1303</v>
      </c>
      <c r="O383" t="s">
        <v>292</v>
      </c>
      <c r="R383" t="s">
        <v>1312</v>
      </c>
      <c r="S383" t="s">
        <v>573</v>
      </c>
      <c r="V383" t="s">
        <v>574</v>
      </c>
      <c r="W383" t="s">
        <v>568</v>
      </c>
      <c r="AD383" t="s">
        <v>1313</v>
      </c>
    </row>
    <row r="384" spans="1:30" x14ac:dyDescent="0.25">
      <c r="A384" t="s">
        <v>33</v>
      </c>
      <c r="D384" t="s">
        <v>565</v>
      </c>
      <c r="E384" t="s">
        <v>566</v>
      </c>
      <c r="F384" t="s">
        <v>78</v>
      </c>
      <c r="G384" t="s">
        <v>1301</v>
      </c>
      <c r="H384" t="s">
        <v>143</v>
      </c>
      <c r="I384" t="s">
        <v>295</v>
      </c>
      <c r="J384" t="s">
        <v>145</v>
      </c>
      <c r="K384" t="s">
        <v>146</v>
      </c>
      <c r="L384" t="s">
        <v>1302</v>
      </c>
      <c r="M384" t="s">
        <v>82</v>
      </c>
      <c r="N384" t="s">
        <v>1303</v>
      </c>
      <c r="O384" t="s">
        <v>296</v>
      </c>
      <c r="R384" t="s">
        <v>1314</v>
      </c>
      <c r="S384" t="s">
        <v>573</v>
      </c>
      <c r="V384" t="s">
        <v>574</v>
      </c>
      <c r="W384" t="s">
        <v>568</v>
      </c>
      <c r="AD384" t="s">
        <v>1315</v>
      </c>
    </row>
    <row r="385" spans="1:30" x14ac:dyDescent="0.25">
      <c r="A385" t="s">
        <v>33</v>
      </c>
      <c r="D385" t="s">
        <v>565</v>
      </c>
      <c r="E385" t="s">
        <v>566</v>
      </c>
      <c r="F385" t="s">
        <v>78</v>
      </c>
      <c r="G385" t="s">
        <v>1301</v>
      </c>
      <c r="H385" t="s">
        <v>143</v>
      </c>
      <c r="I385" t="s">
        <v>299</v>
      </c>
      <c r="J385" t="s">
        <v>145</v>
      </c>
      <c r="K385" t="s">
        <v>146</v>
      </c>
      <c r="L385" t="s">
        <v>1302</v>
      </c>
      <c r="M385" t="s">
        <v>82</v>
      </c>
      <c r="N385" t="s">
        <v>1303</v>
      </c>
      <c r="O385" t="s">
        <v>300</v>
      </c>
      <c r="R385" t="s">
        <v>1316</v>
      </c>
      <c r="S385" t="s">
        <v>573</v>
      </c>
      <c r="V385" t="s">
        <v>574</v>
      </c>
      <c r="W385" t="s">
        <v>568</v>
      </c>
      <c r="AD385" t="s">
        <v>1317</v>
      </c>
    </row>
    <row r="386" spans="1:30" x14ac:dyDescent="0.25">
      <c r="A386" t="s">
        <v>33</v>
      </c>
      <c r="D386" t="s">
        <v>565</v>
      </c>
      <c r="E386" t="s">
        <v>566</v>
      </c>
      <c r="F386" t="s">
        <v>78</v>
      </c>
      <c r="G386" t="s">
        <v>1301</v>
      </c>
      <c r="H386" t="s">
        <v>38</v>
      </c>
      <c r="I386" t="s">
        <v>250</v>
      </c>
      <c r="J386" t="s">
        <v>40</v>
      </c>
      <c r="K386" t="s">
        <v>41</v>
      </c>
      <c r="L386" t="s">
        <v>1302</v>
      </c>
      <c r="M386" t="s">
        <v>252</v>
      </c>
      <c r="N386" t="s">
        <v>1303</v>
      </c>
      <c r="O386" t="s">
        <v>254</v>
      </c>
      <c r="R386" t="s">
        <v>1318</v>
      </c>
      <c r="S386" t="s">
        <v>573</v>
      </c>
      <c r="V386" t="s">
        <v>574</v>
      </c>
      <c r="W386" t="s">
        <v>568</v>
      </c>
      <c r="AD386" t="s">
        <v>1319</v>
      </c>
    </row>
    <row r="387" spans="1:30" x14ac:dyDescent="0.25">
      <c r="A387" t="s">
        <v>33</v>
      </c>
      <c r="D387" t="s">
        <v>565</v>
      </c>
      <c r="E387" t="s">
        <v>566</v>
      </c>
      <c r="F387" t="s">
        <v>78</v>
      </c>
      <c r="G387" t="s">
        <v>1301</v>
      </c>
      <c r="H387" t="s">
        <v>143</v>
      </c>
      <c r="I387" t="s">
        <v>267</v>
      </c>
      <c r="J387" t="s">
        <v>145</v>
      </c>
      <c r="K387" t="s">
        <v>146</v>
      </c>
      <c r="L387" t="s">
        <v>1302</v>
      </c>
      <c r="N387" t="s">
        <v>1303</v>
      </c>
      <c r="O387" t="s">
        <v>268</v>
      </c>
      <c r="R387" t="s">
        <v>1320</v>
      </c>
      <c r="S387" t="s">
        <v>573</v>
      </c>
      <c r="V387" t="s">
        <v>574</v>
      </c>
      <c r="W387" t="s">
        <v>568</v>
      </c>
      <c r="X387" t="s">
        <v>270</v>
      </c>
      <c r="AD387" t="s">
        <v>1321</v>
      </c>
    </row>
    <row r="388" spans="1:30" x14ac:dyDescent="0.25">
      <c r="A388" t="s">
        <v>33</v>
      </c>
      <c r="D388" t="s">
        <v>565</v>
      </c>
      <c r="E388" t="s">
        <v>566</v>
      </c>
      <c r="F388" t="s">
        <v>78</v>
      </c>
      <c r="G388" t="s">
        <v>1301</v>
      </c>
      <c r="H388" t="s">
        <v>143</v>
      </c>
      <c r="I388" t="s">
        <v>261</v>
      </c>
      <c r="J388" t="s">
        <v>145</v>
      </c>
      <c r="K388" t="s">
        <v>146</v>
      </c>
      <c r="L388" t="s">
        <v>1302</v>
      </c>
      <c r="M388" t="s">
        <v>252</v>
      </c>
      <c r="N388" t="s">
        <v>1303</v>
      </c>
      <c r="O388" t="s">
        <v>263</v>
      </c>
      <c r="R388" t="s">
        <v>1322</v>
      </c>
      <c r="S388" t="s">
        <v>573</v>
      </c>
      <c r="V388" t="s">
        <v>574</v>
      </c>
      <c r="W388" t="s">
        <v>568</v>
      </c>
      <c r="AD388" t="s">
        <v>1323</v>
      </c>
    </row>
    <row r="389" spans="1:30" x14ac:dyDescent="0.25">
      <c r="A389" t="s">
        <v>33</v>
      </c>
      <c r="D389" t="s">
        <v>565</v>
      </c>
      <c r="E389" t="s">
        <v>566</v>
      </c>
      <c r="F389" t="s">
        <v>78</v>
      </c>
      <c r="G389" t="s">
        <v>1324</v>
      </c>
      <c r="H389" t="s">
        <v>280</v>
      </c>
      <c r="I389" t="s">
        <v>281</v>
      </c>
      <c r="J389" t="s">
        <v>282</v>
      </c>
      <c r="K389" t="s">
        <v>283</v>
      </c>
      <c r="L389" t="s">
        <v>1325</v>
      </c>
      <c r="N389" t="s">
        <v>1326</v>
      </c>
      <c r="O389" t="s">
        <v>284</v>
      </c>
      <c r="Q389" t="s">
        <v>285</v>
      </c>
      <c r="R389" t="s">
        <v>1327</v>
      </c>
      <c r="S389" t="s">
        <v>573</v>
      </c>
      <c r="V389" t="s">
        <v>574</v>
      </c>
      <c r="W389" t="s">
        <v>568</v>
      </c>
      <c r="AD389" t="s">
        <v>1328</v>
      </c>
    </row>
    <row r="390" spans="1:30" x14ac:dyDescent="0.25">
      <c r="A390" t="s">
        <v>33</v>
      </c>
      <c r="D390" t="s">
        <v>565</v>
      </c>
      <c r="E390" t="s">
        <v>566</v>
      </c>
      <c r="F390" t="s">
        <v>78</v>
      </c>
      <c r="G390" t="s">
        <v>1324</v>
      </c>
      <c r="H390" t="s">
        <v>38</v>
      </c>
      <c r="I390" t="s">
        <v>257</v>
      </c>
      <c r="J390" t="s">
        <v>40</v>
      </c>
      <c r="K390" t="s">
        <v>41</v>
      </c>
      <c r="L390" t="s">
        <v>1325</v>
      </c>
      <c r="M390" t="s">
        <v>82</v>
      </c>
      <c r="N390" t="s">
        <v>1326</v>
      </c>
      <c r="O390" t="s">
        <v>258</v>
      </c>
      <c r="R390" t="s">
        <v>1329</v>
      </c>
      <c r="S390" t="s">
        <v>573</v>
      </c>
      <c r="V390" t="s">
        <v>574</v>
      </c>
      <c r="W390" t="s">
        <v>568</v>
      </c>
      <c r="AD390" t="s">
        <v>1330</v>
      </c>
    </row>
    <row r="391" spans="1:30" x14ac:dyDescent="0.25">
      <c r="A391" t="s">
        <v>33</v>
      </c>
      <c r="D391" t="s">
        <v>565</v>
      </c>
      <c r="E391" t="s">
        <v>566</v>
      </c>
      <c r="F391" t="s">
        <v>78</v>
      </c>
      <c r="G391" t="s">
        <v>1324</v>
      </c>
      <c r="H391" t="s">
        <v>143</v>
      </c>
      <c r="I391" t="s">
        <v>276</v>
      </c>
      <c r="J391" t="s">
        <v>145</v>
      </c>
      <c r="K391" t="s">
        <v>146</v>
      </c>
      <c r="L391" t="s">
        <v>1325</v>
      </c>
      <c r="N391" t="s">
        <v>1326</v>
      </c>
      <c r="O391" t="s">
        <v>277</v>
      </c>
      <c r="R391" t="s">
        <v>1331</v>
      </c>
      <c r="S391" t="s">
        <v>573</v>
      </c>
      <c r="V391" t="s">
        <v>574</v>
      </c>
      <c r="W391" t="s">
        <v>568</v>
      </c>
      <c r="X391" t="s">
        <v>270</v>
      </c>
      <c r="AD391" t="s">
        <v>1332</v>
      </c>
    </row>
    <row r="392" spans="1:30" x14ac:dyDescent="0.25">
      <c r="A392" t="s">
        <v>33</v>
      </c>
      <c r="D392" t="s">
        <v>565</v>
      </c>
      <c r="E392" t="s">
        <v>566</v>
      </c>
      <c r="F392" t="s">
        <v>78</v>
      </c>
      <c r="G392" t="s">
        <v>1324</v>
      </c>
      <c r="H392" t="s">
        <v>143</v>
      </c>
      <c r="I392" t="s">
        <v>272</v>
      </c>
      <c r="J392" t="s">
        <v>145</v>
      </c>
      <c r="K392" t="s">
        <v>146</v>
      </c>
      <c r="L392" t="s">
        <v>1325</v>
      </c>
      <c r="N392" t="s">
        <v>1326</v>
      </c>
      <c r="O392" t="s">
        <v>273</v>
      </c>
      <c r="R392" t="s">
        <v>1333</v>
      </c>
      <c r="S392" t="s">
        <v>573</v>
      </c>
      <c r="V392" t="s">
        <v>574</v>
      </c>
      <c r="W392" t="s">
        <v>568</v>
      </c>
      <c r="X392" t="s">
        <v>270</v>
      </c>
      <c r="AD392" t="s">
        <v>1334</v>
      </c>
    </row>
    <row r="393" spans="1:30" x14ac:dyDescent="0.25">
      <c r="A393" t="s">
        <v>33</v>
      </c>
      <c r="D393" t="s">
        <v>565</v>
      </c>
      <c r="E393" t="s">
        <v>566</v>
      </c>
      <c r="F393" t="s">
        <v>78</v>
      </c>
      <c r="G393" t="s">
        <v>1324</v>
      </c>
      <c r="H393" t="s">
        <v>143</v>
      </c>
      <c r="I393" t="s">
        <v>257</v>
      </c>
      <c r="J393" t="s">
        <v>145</v>
      </c>
      <c r="K393" t="s">
        <v>146</v>
      </c>
      <c r="L393" t="s">
        <v>1325</v>
      </c>
      <c r="M393" t="s">
        <v>82</v>
      </c>
      <c r="N393" t="s">
        <v>1326</v>
      </c>
      <c r="O393" t="s">
        <v>292</v>
      </c>
      <c r="R393" t="s">
        <v>1335</v>
      </c>
      <c r="S393" t="s">
        <v>573</v>
      </c>
      <c r="V393" t="s">
        <v>574</v>
      </c>
      <c r="W393" t="s">
        <v>568</v>
      </c>
      <c r="AD393" t="s">
        <v>1336</v>
      </c>
    </row>
    <row r="394" spans="1:30" x14ac:dyDescent="0.25">
      <c r="A394" t="s">
        <v>33</v>
      </c>
      <c r="D394" t="s">
        <v>565</v>
      </c>
      <c r="E394" t="s">
        <v>566</v>
      </c>
      <c r="F394" t="s">
        <v>78</v>
      </c>
      <c r="G394" t="s">
        <v>1324</v>
      </c>
      <c r="H394" t="s">
        <v>143</v>
      </c>
      <c r="I394" t="s">
        <v>295</v>
      </c>
      <c r="J394" t="s">
        <v>145</v>
      </c>
      <c r="K394" t="s">
        <v>146</v>
      </c>
      <c r="L394" t="s">
        <v>1325</v>
      </c>
      <c r="M394" t="s">
        <v>82</v>
      </c>
      <c r="N394" t="s">
        <v>1326</v>
      </c>
      <c r="O394" t="s">
        <v>296</v>
      </c>
      <c r="R394" t="s">
        <v>1337</v>
      </c>
      <c r="S394" t="s">
        <v>573</v>
      </c>
      <c r="V394" t="s">
        <v>574</v>
      </c>
      <c r="W394" t="s">
        <v>568</v>
      </c>
      <c r="AD394" t="s">
        <v>1338</v>
      </c>
    </row>
    <row r="395" spans="1:30" x14ac:dyDescent="0.25">
      <c r="A395" t="s">
        <v>33</v>
      </c>
      <c r="D395" t="s">
        <v>565</v>
      </c>
      <c r="E395" t="s">
        <v>566</v>
      </c>
      <c r="F395" t="s">
        <v>78</v>
      </c>
      <c r="G395" t="s">
        <v>1324</v>
      </c>
      <c r="H395" t="s">
        <v>143</v>
      </c>
      <c r="I395" t="s">
        <v>299</v>
      </c>
      <c r="J395" t="s">
        <v>145</v>
      </c>
      <c r="K395" t="s">
        <v>146</v>
      </c>
      <c r="L395" t="s">
        <v>1325</v>
      </c>
      <c r="M395" t="s">
        <v>82</v>
      </c>
      <c r="N395" t="s">
        <v>1326</v>
      </c>
      <c r="O395" t="s">
        <v>300</v>
      </c>
      <c r="R395" t="s">
        <v>1339</v>
      </c>
      <c r="S395" t="s">
        <v>573</v>
      </c>
      <c r="V395" t="s">
        <v>574</v>
      </c>
      <c r="W395" t="s">
        <v>568</v>
      </c>
      <c r="AD395" t="s">
        <v>1340</v>
      </c>
    </row>
    <row r="396" spans="1:30" x14ac:dyDescent="0.25">
      <c r="A396" t="s">
        <v>33</v>
      </c>
      <c r="D396" t="s">
        <v>565</v>
      </c>
      <c r="E396" t="s">
        <v>566</v>
      </c>
      <c r="F396" t="s">
        <v>78</v>
      </c>
      <c r="G396" t="s">
        <v>1324</v>
      </c>
      <c r="H396" t="s">
        <v>38</v>
      </c>
      <c r="I396" t="s">
        <v>250</v>
      </c>
      <c r="J396" t="s">
        <v>40</v>
      </c>
      <c r="K396" t="s">
        <v>41</v>
      </c>
      <c r="L396" t="s">
        <v>1325</v>
      </c>
      <c r="M396" t="s">
        <v>252</v>
      </c>
      <c r="N396" t="s">
        <v>1326</v>
      </c>
      <c r="O396" t="s">
        <v>254</v>
      </c>
      <c r="R396" t="s">
        <v>1341</v>
      </c>
      <c r="S396" t="s">
        <v>573</v>
      </c>
      <c r="V396" t="s">
        <v>574</v>
      </c>
      <c r="W396" t="s">
        <v>568</v>
      </c>
      <c r="AD396" t="s">
        <v>1342</v>
      </c>
    </row>
    <row r="397" spans="1:30" x14ac:dyDescent="0.25">
      <c r="A397" t="s">
        <v>33</v>
      </c>
      <c r="D397" t="s">
        <v>565</v>
      </c>
      <c r="E397" t="s">
        <v>566</v>
      </c>
      <c r="F397" t="s">
        <v>78</v>
      </c>
      <c r="G397" t="s">
        <v>1324</v>
      </c>
      <c r="H397" t="s">
        <v>143</v>
      </c>
      <c r="I397" t="s">
        <v>267</v>
      </c>
      <c r="J397" t="s">
        <v>145</v>
      </c>
      <c r="K397" t="s">
        <v>146</v>
      </c>
      <c r="L397" t="s">
        <v>1325</v>
      </c>
      <c r="N397" t="s">
        <v>1326</v>
      </c>
      <c r="O397" t="s">
        <v>268</v>
      </c>
      <c r="R397" t="s">
        <v>1343</v>
      </c>
      <c r="S397" t="s">
        <v>573</v>
      </c>
      <c r="V397" t="s">
        <v>574</v>
      </c>
      <c r="W397" t="s">
        <v>568</v>
      </c>
      <c r="X397" t="s">
        <v>270</v>
      </c>
      <c r="AD397" t="s">
        <v>1344</v>
      </c>
    </row>
    <row r="398" spans="1:30" x14ac:dyDescent="0.25">
      <c r="A398" t="s">
        <v>33</v>
      </c>
      <c r="D398" t="s">
        <v>565</v>
      </c>
      <c r="E398" t="s">
        <v>566</v>
      </c>
      <c r="F398" t="s">
        <v>78</v>
      </c>
      <c r="G398" t="s">
        <v>1324</v>
      </c>
      <c r="H398" t="s">
        <v>143</v>
      </c>
      <c r="I398" t="s">
        <v>261</v>
      </c>
      <c r="J398" t="s">
        <v>145</v>
      </c>
      <c r="K398" t="s">
        <v>146</v>
      </c>
      <c r="L398" t="s">
        <v>1325</v>
      </c>
      <c r="M398" t="s">
        <v>252</v>
      </c>
      <c r="N398" t="s">
        <v>1326</v>
      </c>
      <c r="O398" t="s">
        <v>263</v>
      </c>
      <c r="R398" t="s">
        <v>1345</v>
      </c>
      <c r="S398" t="s">
        <v>573</v>
      </c>
      <c r="V398" t="s">
        <v>574</v>
      </c>
      <c r="W398" t="s">
        <v>568</v>
      </c>
      <c r="AD398" t="s">
        <v>1346</v>
      </c>
    </row>
    <row r="399" spans="1:30" x14ac:dyDescent="0.25">
      <c r="A399" t="s">
        <v>33</v>
      </c>
      <c r="D399" t="s">
        <v>565</v>
      </c>
      <c r="E399" t="s">
        <v>566</v>
      </c>
      <c r="F399" t="s">
        <v>87</v>
      </c>
      <c r="G399" t="s">
        <v>796</v>
      </c>
      <c r="H399" t="s">
        <v>153</v>
      </c>
      <c r="I399" t="s">
        <v>144</v>
      </c>
      <c r="J399" t="s">
        <v>154</v>
      </c>
      <c r="K399" t="s">
        <v>155</v>
      </c>
      <c r="L399" t="s">
        <v>797</v>
      </c>
      <c r="N399" t="s">
        <v>798</v>
      </c>
      <c r="O399" t="s">
        <v>156</v>
      </c>
      <c r="R399" t="s">
        <v>1347</v>
      </c>
      <c r="S399" t="s">
        <v>573</v>
      </c>
      <c r="V399" t="s">
        <v>574</v>
      </c>
      <c r="W399" t="s">
        <v>568</v>
      </c>
      <c r="AD399" t="s">
        <v>1348</v>
      </c>
    </row>
    <row r="400" spans="1:30" x14ac:dyDescent="0.25">
      <c r="A400" t="s">
        <v>33</v>
      </c>
      <c r="D400" t="s">
        <v>565</v>
      </c>
      <c r="E400" t="s">
        <v>566</v>
      </c>
      <c r="F400" t="s">
        <v>87</v>
      </c>
      <c r="G400" t="s">
        <v>675</v>
      </c>
      <c r="H400" t="s">
        <v>89</v>
      </c>
      <c r="I400" t="s">
        <v>144</v>
      </c>
      <c r="J400" t="s">
        <v>91</v>
      </c>
      <c r="K400" t="s">
        <v>92</v>
      </c>
      <c r="L400" t="s">
        <v>676</v>
      </c>
      <c r="M400" t="s">
        <v>94</v>
      </c>
      <c r="N400" t="s">
        <v>677</v>
      </c>
      <c r="O400" t="s">
        <v>150</v>
      </c>
      <c r="P400">
        <v>1E-3</v>
      </c>
      <c r="R400" t="s">
        <v>1349</v>
      </c>
      <c r="S400" t="s">
        <v>573</v>
      </c>
      <c r="V400" t="s">
        <v>574</v>
      </c>
      <c r="W400" t="s">
        <v>568</v>
      </c>
      <c r="AD400" t="s">
        <v>1350</v>
      </c>
    </row>
    <row r="401" spans="1:30" x14ac:dyDescent="0.25">
      <c r="A401" t="s">
        <v>33</v>
      </c>
      <c r="D401" t="s">
        <v>565</v>
      </c>
      <c r="E401" t="s">
        <v>566</v>
      </c>
      <c r="F401" t="s">
        <v>87</v>
      </c>
      <c r="G401" t="s">
        <v>675</v>
      </c>
      <c r="H401" t="s">
        <v>143</v>
      </c>
      <c r="I401" t="s">
        <v>144</v>
      </c>
      <c r="J401" t="s">
        <v>145</v>
      </c>
      <c r="K401" t="s">
        <v>146</v>
      </c>
      <c r="L401" t="s">
        <v>676</v>
      </c>
      <c r="M401" t="s">
        <v>840</v>
      </c>
      <c r="N401" t="s">
        <v>677</v>
      </c>
      <c r="O401" t="s">
        <v>147</v>
      </c>
      <c r="R401" t="s">
        <v>1351</v>
      </c>
      <c r="S401" t="s">
        <v>573</v>
      </c>
      <c r="V401" t="s">
        <v>574</v>
      </c>
      <c r="W401" t="s">
        <v>568</v>
      </c>
      <c r="AD401" t="s">
        <v>1352</v>
      </c>
    </row>
    <row r="402" spans="1:30" x14ac:dyDescent="0.25">
      <c r="A402" t="s">
        <v>33</v>
      </c>
      <c r="D402" t="s">
        <v>565</v>
      </c>
      <c r="E402" t="s">
        <v>566</v>
      </c>
      <c r="F402" t="s">
        <v>87</v>
      </c>
      <c r="G402" t="s">
        <v>1353</v>
      </c>
      <c r="H402" t="s">
        <v>153</v>
      </c>
      <c r="I402" t="s">
        <v>144</v>
      </c>
      <c r="J402" t="s">
        <v>154</v>
      </c>
      <c r="K402" t="s">
        <v>155</v>
      </c>
      <c r="L402" t="s">
        <v>1354</v>
      </c>
      <c r="N402" t="s">
        <v>459</v>
      </c>
      <c r="O402" t="s">
        <v>156</v>
      </c>
      <c r="R402" t="s">
        <v>1355</v>
      </c>
      <c r="S402" t="s">
        <v>573</v>
      </c>
      <c r="V402" t="s">
        <v>574</v>
      </c>
      <c r="W402" t="s">
        <v>568</v>
      </c>
      <c r="AD402" t="s">
        <v>1356</v>
      </c>
    </row>
    <row r="403" spans="1:30" x14ac:dyDescent="0.25">
      <c r="A403" t="s">
        <v>33</v>
      </c>
      <c r="D403" t="s">
        <v>565</v>
      </c>
      <c r="E403" t="s">
        <v>566</v>
      </c>
      <c r="F403" t="s">
        <v>87</v>
      </c>
      <c r="G403" t="s">
        <v>675</v>
      </c>
      <c r="H403" t="s">
        <v>89</v>
      </c>
      <c r="I403" t="s">
        <v>90</v>
      </c>
      <c r="J403" t="s">
        <v>91</v>
      </c>
      <c r="K403" t="s">
        <v>92</v>
      </c>
      <c r="L403" t="s">
        <v>676</v>
      </c>
      <c r="M403" t="s">
        <v>94</v>
      </c>
      <c r="N403" t="s">
        <v>677</v>
      </c>
      <c r="O403" t="s">
        <v>383</v>
      </c>
      <c r="P403">
        <v>1E-3</v>
      </c>
      <c r="R403" t="s">
        <v>1357</v>
      </c>
      <c r="S403" t="s">
        <v>573</v>
      </c>
      <c r="V403" t="s">
        <v>574</v>
      </c>
      <c r="W403" t="s">
        <v>568</v>
      </c>
      <c r="AD403" t="s">
        <v>1358</v>
      </c>
    </row>
    <row r="404" spans="1:30" x14ac:dyDescent="0.25">
      <c r="A404" t="s">
        <v>33</v>
      </c>
      <c r="D404" t="s">
        <v>565</v>
      </c>
      <c r="E404" t="s">
        <v>566</v>
      </c>
      <c r="F404" t="s">
        <v>87</v>
      </c>
      <c r="G404" t="s">
        <v>675</v>
      </c>
      <c r="H404" t="s">
        <v>143</v>
      </c>
      <c r="I404" t="s">
        <v>90</v>
      </c>
      <c r="J404" t="s">
        <v>145</v>
      </c>
      <c r="K404" t="s">
        <v>146</v>
      </c>
      <c r="L404" t="s">
        <v>676</v>
      </c>
      <c r="M404" t="s">
        <v>840</v>
      </c>
      <c r="N404" t="s">
        <v>677</v>
      </c>
      <c r="O404" t="s">
        <v>380</v>
      </c>
      <c r="R404" t="s">
        <v>1359</v>
      </c>
      <c r="S404" t="s">
        <v>573</v>
      </c>
      <c r="V404" t="s">
        <v>574</v>
      </c>
      <c r="W404" t="s">
        <v>568</v>
      </c>
      <c r="AD404" t="s">
        <v>1360</v>
      </c>
    </row>
    <row r="405" spans="1:30" x14ac:dyDescent="0.25">
      <c r="A405" t="s">
        <v>33</v>
      </c>
      <c r="D405" t="s">
        <v>565</v>
      </c>
      <c r="E405" t="s">
        <v>566</v>
      </c>
      <c r="F405" t="s">
        <v>87</v>
      </c>
      <c r="G405" t="s">
        <v>675</v>
      </c>
      <c r="H405" t="s">
        <v>38</v>
      </c>
      <c r="I405" t="s">
        <v>106</v>
      </c>
      <c r="J405" t="s">
        <v>40</v>
      </c>
      <c r="K405" t="s">
        <v>41</v>
      </c>
      <c r="L405" t="s">
        <v>676</v>
      </c>
      <c r="M405" t="s">
        <v>840</v>
      </c>
      <c r="N405" t="s">
        <v>677</v>
      </c>
      <c r="O405" t="s">
        <v>109</v>
      </c>
      <c r="R405" t="s">
        <v>1361</v>
      </c>
      <c r="S405" t="s">
        <v>573</v>
      </c>
      <c r="V405" t="s">
        <v>574</v>
      </c>
      <c r="W405" t="s">
        <v>568</v>
      </c>
      <c r="AD405" t="s">
        <v>1362</v>
      </c>
    </row>
    <row r="406" spans="1:30" x14ac:dyDescent="0.25">
      <c r="A406" t="s">
        <v>33</v>
      </c>
      <c r="D406" t="s">
        <v>565</v>
      </c>
      <c r="E406" t="s">
        <v>566</v>
      </c>
      <c r="F406" t="s">
        <v>87</v>
      </c>
      <c r="G406" t="s">
        <v>1363</v>
      </c>
      <c r="H406" t="s">
        <v>153</v>
      </c>
      <c r="I406" t="s">
        <v>144</v>
      </c>
      <c r="J406" t="s">
        <v>154</v>
      </c>
      <c r="K406" t="s">
        <v>155</v>
      </c>
      <c r="L406" t="s">
        <v>1364</v>
      </c>
      <c r="N406" t="s">
        <v>1365</v>
      </c>
      <c r="O406" t="s">
        <v>156</v>
      </c>
      <c r="R406" t="s">
        <v>1366</v>
      </c>
      <c r="S406" t="s">
        <v>573</v>
      </c>
      <c r="V406" t="s">
        <v>574</v>
      </c>
      <c r="W406" t="s">
        <v>568</v>
      </c>
      <c r="AD406" t="s">
        <v>1367</v>
      </c>
    </row>
    <row r="407" spans="1:30" x14ac:dyDescent="0.25">
      <c r="A407" t="s">
        <v>33</v>
      </c>
      <c r="D407" t="s">
        <v>565</v>
      </c>
      <c r="E407" t="s">
        <v>566</v>
      </c>
      <c r="F407" t="s">
        <v>87</v>
      </c>
      <c r="G407" t="s">
        <v>942</v>
      </c>
      <c r="H407" t="s">
        <v>89</v>
      </c>
      <c r="I407" t="s">
        <v>144</v>
      </c>
      <c r="J407" t="s">
        <v>91</v>
      </c>
      <c r="K407" t="s">
        <v>92</v>
      </c>
      <c r="L407" t="s">
        <v>943</v>
      </c>
      <c r="M407" t="s">
        <v>94</v>
      </c>
      <c r="N407" t="s">
        <v>944</v>
      </c>
      <c r="O407" t="s">
        <v>96</v>
      </c>
      <c r="P407">
        <v>1E-3</v>
      </c>
      <c r="R407" t="s">
        <v>1368</v>
      </c>
      <c r="S407" t="s">
        <v>573</v>
      </c>
      <c r="V407" t="s">
        <v>574</v>
      </c>
      <c r="W407" t="s">
        <v>568</v>
      </c>
      <c r="AD407" t="s">
        <v>1369</v>
      </c>
    </row>
    <row r="408" spans="1:30" x14ac:dyDescent="0.25">
      <c r="A408" t="s">
        <v>33</v>
      </c>
      <c r="D408" t="s">
        <v>565</v>
      </c>
      <c r="E408" t="s">
        <v>566</v>
      </c>
      <c r="F408" t="s">
        <v>87</v>
      </c>
      <c r="G408" t="s">
        <v>942</v>
      </c>
      <c r="H408" t="s">
        <v>166</v>
      </c>
      <c r="I408" t="s">
        <v>216</v>
      </c>
      <c r="J408" t="s">
        <v>167</v>
      </c>
      <c r="K408" t="s">
        <v>41</v>
      </c>
      <c r="L408" t="s">
        <v>943</v>
      </c>
      <c r="N408" t="s">
        <v>944</v>
      </c>
      <c r="O408" t="s">
        <v>217</v>
      </c>
      <c r="Q408" t="s">
        <v>1370</v>
      </c>
      <c r="R408" t="s">
        <v>1371</v>
      </c>
      <c r="S408" t="s">
        <v>573</v>
      </c>
      <c r="V408" t="s">
        <v>574</v>
      </c>
      <c r="W408" t="s">
        <v>568</v>
      </c>
      <c r="AD408" t="s">
        <v>1372</v>
      </c>
    </row>
    <row r="409" spans="1:30" x14ac:dyDescent="0.25">
      <c r="A409" t="s">
        <v>33</v>
      </c>
      <c r="D409" t="s">
        <v>565</v>
      </c>
      <c r="E409" t="s">
        <v>566</v>
      </c>
      <c r="F409" t="s">
        <v>87</v>
      </c>
      <c r="G409" t="s">
        <v>1373</v>
      </c>
      <c r="H409" t="s">
        <v>153</v>
      </c>
      <c r="I409" t="s">
        <v>144</v>
      </c>
      <c r="J409" t="s">
        <v>154</v>
      </c>
      <c r="K409" t="s">
        <v>155</v>
      </c>
      <c r="L409" t="s">
        <v>1374</v>
      </c>
      <c r="N409" t="s">
        <v>1375</v>
      </c>
      <c r="O409" t="s">
        <v>156</v>
      </c>
      <c r="R409" t="s">
        <v>1376</v>
      </c>
      <c r="S409" t="s">
        <v>573</v>
      </c>
      <c r="V409" t="s">
        <v>574</v>
      </c>
      <c r="W409" t="s">
        <v>568</v>
      </c>
      <c r="AD409" t="s">
        <v>1377</v>
      </c>
    </row>
    <row r="410" spans="1:30" x14ac:dyDescent="0.25">
      <c r="A410" t="s">
        <v>33</v>
      </c>
      <c r="D410" t="s">
        <v>565</v>
      </c>
      <c r="E410" t="s">
        <v>566</v>
      </c>
      <c r="F410" t="s">
        <v>87</v>
      </c>
      <c r="G410" t="s">
        <v>1363</v>
      </c>
      <c r="H410" t="s">
        <v>89</v>
      </c>
      <c r="I410" t="s">
        <v>144</v>
      </c>
      <c r="J410" t="s">
        <v>91</v>
      </c>
      <c r="K410" t="s">
        <v>92</v>
      </c>
      <c r="L410" t="s">
        <v>1364</v>
      </c>
      <c r="M410" t="s">
        <v>94</v>
      </c>
      <c r="N410" t="s">
        <v>1365</v>
      </c>
      <c r="O410" t="s">
        <v>150</v>
      </c>
      <c r="P410">
        <v>1E-3</v>
      </c>
      <c r="R410" t="s">
        <v>1378</v>
      </c>
      <c r="S410" t="s">
        <v>573</v>
      </c>
      <c r="V410" t="s">
        <v>574</v>
      </c>
      <c r="W410" t="s">
        <v>568</v>
      </c>
      <c r="AD410" t="s">
        <v>1379</v>
      </c>
    </row>
    <row r="411" spans="1:30" x14ac:dyDescent="0.25">
      <c r="A411" t="s">
        <v>33</v>
      </c>
      <c r="D411" t="s">
        <v>565</v>
      </c>
      <c r="E411" t="s">
        <v>566</v>
      </c>
      <c r="F411" t="s">
        <v>87</v>
      </c>
      <c r="G411" t="s">
        <v>1363</v>
      </c>
      <c r="H411" t="s">
        <v>143</v>
      </c>
      <c r="I411" t="s">
        <v>144</v>
      </c>
      <c r="J411" t="s">
        <v>145</v>
      </c>
      <c r="K411" t="s">
        <v>146</v>
      </c>
      <c r="L411" t="s">
        <v>1364</v>
      </c>
      <c r="M411" t="s">
        <v>840</v>
      </c>
      <c r="N411" t="s">
        <v>1365</v>
      </c>
      <c r="O411" t="s">
        <v>147</v>
      </c>
      <c r="R411" t="s">
        <v>1380</v>
      </c>
      <c r="S411" t="s">
        <v>573</v>
      </c>
      <c r="V411" t="s">
        <v>574</v>
      </c>
      <c r="W411" t="s">
        <v>568</v>
      </c>
      <c r="AD411" t="s">
        <v>1381</v>
      </c>
    </row>
    <row r="412" spans="1:30" x14ac:dyDescent="0.25">
      <c r="A412" t="s">
        <v>33</v>
      </c>
      <c r="D412" t="s">
        <v>565</v>
      </c>
      <c r="E412" t="s">
        <v>566</v>
      </c>
      <c r="F412" t="s">
        <v>87</v>
      </c>
      <c r="G412" t="s">
        <v>1363</v>
      </c>
      <c r="H412" t="s">
        <v>38</v>
      </c>
      <c r="I412" t="s">
        <v>106</v>
      </c>
      <c r="J412" t="s">
        <v>40</v>
      </c>
      <c r="K412" t="s">
        <v>41</v>
      </c>
      <c r="L412" t="s">
        <v>1364</v>
      </c>
      <c r="M412" t="s">
        <v>840</v>
      </c>
      <c r="N412" t="s">
        <v>1365</v>
      </c>
      <c r="O412" t="s">
        <v>109</v>
      </c>
      <c r="R412" t="s">
        <v>1382</v>
      </c>
      <c r="S412" t="s">
        <v>573</v>
      </c>
      <c r="V412" t="s">
        <v>574</v>
      </c>
      <c r="W412" t="s">
        <v>568</v>
      </c>
      <c r="AD412" t="s">
        <v>1383</v>
      </c>
    </row>
    <row r="413" spans="1:30" x14ac:dyDescent="0.25">
      <c r="A413" t="s">
        <v>33</v>
      </c>
      <c r="D413" t="s">
        <v>565</v>
      </c>
      <c r="E413" t="s">
        <v>566</v>
      </c>
      <c r="F413" t="s">
        <v>87</v>
      </c>
      <c r="G413" t="s">
        <v>1363</v>
      </c>
      <c r="H413" t="s">
        <v>38</v>
      </c>
      <c r="I413" t="s">
        <v>25</v>
      </c>
      <c r="J413" t="s">
        <v>69</v>
      </c>
      <c r="K413" t="s">
        <v>41</v>
      </c>
      <c r="L413" t="s">
        <v>1364</v>
      </c>
      <c r="M413" t="s">
        <v>840</v>
      </c>
      <c r="N413" t="s">
        <v>1365</v>
      </c>
      <c r="O413" t="s">
        <v>512</v>
      </c>
      <c r="R413" t="s">
        <v>537</v>
      </c>
      <c r="S413" t="s">
        <v>573</v>
      </c>
      <c r="V413" t="s">
        <v>574</v>
      </c>
      <c r="W413" t="s">
        <v>568</v>
      </c>
      <c r="AD413" t="s">
        <v>1384</v>
      </c>
    </row>
    <row r="414" spans="1:30" x14ac:dyDescent="0.25">
      <c r="A414" t="s">
        <v>33</v>
      </c>
      <c r="D414" t="s">
        <v>565</v>
      </c>
      <c r="E414" t="s">
        <v>566</v>
      </c>
      <c r="F414" t="s">
        <v>87</v>
      </c>
      <c r="G414" t="s">
        <v>1363</v>
      </c>
      <c r="H414" t="s">
        <v>38</v>
      </c>
      <c r="I414" t="s">
        <v>24</v>
      </c>
      <c r="J414" t="s">
        <v>69</v>
      </c>
      <c r="K414" t="s">
        <v>41</v>
      </c>
      <c r="L414" t="s">
        <v>1364</v>
      </c>
      <c r="M414" t="s">
        <v>840</v>
      </c>
      <c r="N414" t="s">
        <v>1365</v>
      </c>
      <c r="O414" t="s">
        <v>509</v>
      </c>
      <c r="R414" t="s">
        <v>535</v>
      </c>
      <c r="S414" t="s">
        <v>573</v>
      </c>
      <c r="V414" t="s">
        <v>574</v>
      </c>
      <c r="W414" t="s">
        <v>568</v>
      </c>
      <c r="AD414" t="s">
        <v>1385</v>
      </c>
    </row>
    <row r="415" spans="1:30" x14ac:dyDescent="0.25">
      <c r="A415" t="s">
        <v>33</v>
      </c>
      <c r="D415" t="s">
        <v>565</v>
      </c>
      <c r="E415" t="s">
        <v>566</v>
      </c>
      <c r="F415" t="s">
        <v>87</v>
      </c>
      <c r="G415" t="s">
        <v>1386</v>
      </c>
      <c r="H415" t="s">
        <v>153</v>
      </c>
      <c r="I415" t="s">
        <v>144</v>
      </c>
      <c r="J415" t="s">
        <v>154</v>
      </c>
      <c r="K415" t="s">
        <v>155</v>
      </c>
      <c r="L415" t="s">
        <v>1387</v>
      </c>
      <c r="N415" t="s">
        <v>1388</v>
      </c>
      <c r="O415" t="s">
        <v>156</v>
      </c>
      <c r="R415" t="s">
        <v>1389</v>
      </c>
      <c r="S415" t="s">
        <v>573</v>
      </c>
      <c r="V415" t="s">
        <v>574</v>
      </c>
      <c r="W415" t="s">
        <v>568</v>
      </c>
      <c r="AD415" t="s">
        <v>1390</v>
      </c>
    </row>
    <row r="416" spans="1:30" x14ac:dyDescent="0.25">
      <c r="A416" t="s">
        <v>33</v>
      </c>
      <c r="D416" t="s">
        <v>565</v>
      </c>
      <c r="E416" t="s">
        <v>566</v>
      </c>
      <c r="F416" t="s">
        <v>87</v>
      </c>
      <c r="G416" t="s">
        <v>681</v>
      </c>
      <c r="H416" t="s">
        <v>153</v>
      </c>
      <c r="I416" t="s">
        <v>144</v>
      </c>
      <c r="J416" t="s">
        <v>154</v>
      </c>
      <c r="K416" t="s">
        <v>155</v>
      </c>
      <c r="L416" t="s">
        <v>682</v>
      </c>
      <c r="N416" t="s">
        <v>683</v>
      </c>
      <c r="O416" t="s">
        <v>156</v>
      </c>
      <c r="R416" t="s">
        <v>1391</v>
      </c>
      <c r="S416" t="s">
        <v>573</v>
      </c>
      <c r="V416" t="s">
        <v>574</v>
      </c>
      <c r="W416" t="s">
        <v>568</v>
      </c>
      <c r="AD416" t="s">
        <v>1392</v>
      </c>
    </row>
    <row r="417" spans="1:30" x14ac:dyDescent="0.25">
      <c r="A417" t="s">
        <v>33</v>
      </c>
      <c r="D417" t="s">
        <v>565</v>
      </c>
      <c r="E417" t="s">
        <v>566</v>
      </c>
      <c r="F417" t="s">
        <v>87</v>
      </c>
      <c r="G417" t="s">
        <v>681</v>
      </c>
      <c r="H417" t="s">
        <v>89</v>
      </c>
      <c r="I417" t="s">
        <v>144</v>
      </c>
      <c r="J417" t="s">
        <v>91</v>
      </c>
      <c r="K417" t="s">
        <v>92</v>
      </c>
      <c r="L417" t="s">
        <v>682</v>
      </c>
      <c r="M417" t="s">
        <v>94</v>
      </c>
      <c r="N417" t="s">
        <v>683</v>
      </c>
      <c r="O417" t="s">
        <v>150</v>
      </c>
      <c r="P417">
        <v>1E-3</v>
      </c>
      <c r="R417" t="s">
        <v>1393</v>
      </c>
      <c r="S417" t="s">
        <v>573</v>
      </c>
      <c r="V417" t="s">
        <v>574</v>
      </c>
      <c r="W417" t="s">
        <v>568</v>
      </c>
      <c r="AD417" t="s">
        <v>1394</v>
      </c>
    </row>
    <row r="418" spans="1:30" x14ac:dyDescent="0.25">
      <c r="A418" t="s">
        <v>33</v>
      </c>
      <c r="D418" t="s">
        <v>565</v>
      </c>
      <c r="E418" t="s">
        <v>566</v>
      </c>
      <c r="F418" t="s">
        <v>87</v>
      </c>
      <c r="G418" t="s">
        <v>681</v>
      </c>
      <c r="H418" t="s">
        <v>143</v>
      </c>
      <c r="I418" t="s">
        <v>144</v>
      </c>
      <c r="J418" t="s">
        <v>145</v>
      </c>
      <c r="K418" t="s">
        <v>146</v>
      </c>
      <c r="L418" t="s">
        <v>682</v>
      </c>
      <c r="M418" t="s">
        <v>840</v>
      </c>
      <c r="N418" t="s">
        <v>683</v>
      </c>
      <c r="O418" t="s">
        <v>147</v>
      </c>
      <c r="R418" t="s">
        <v>1395</v>
      </c>
      <c r="S418" t="s">
        <v>573</v>
      </c>
      <c r="V418" t="s">
        <v>574</v>
      </c>
      <c r="W418" t="s">
        <v>568</v>
      </c>
      <c r="AD418" t="s">
        <v>1396</v>
      </c>
    </row>
    <row r="419" spans="1:30" x14ac:dyDescent="0.25">
      <c r="A419" t="s">
        <v>33</v>
      </c>
      <c r="D419" t="s">
        <v>565</v>
      </c>
      <c r="E419" t="s">
        <v>566</v>
      </c>
      <c r="F419" t="s">
        <v>87</v>
      </c>
      <c r="G419" t="s">
        <v>369</v>
      </c>
      <c r="H419" t="s">
        <v>153</v>
      </c>
      <c r="I419" t="s">
        <v>144</v>
      </c>
      <c r="J419" t="s">
        <v>154</v>
      </c>
      <c r="K419" t="s">
        <v>155</v>
      </c>
      <c r="L419" t="s">
        <v>370</v>
      </c>
      <c r="N419" t="s">
        <v>687</v>
      </c>
      <c r="O419" t="s">
        <v>156</v>
      </c>
      <c r="R419" t="s">
        <v>1397</v>
      </c>
      <c r="S419" t="s">
        <v>573</v>
      </c>
      <c r="V419" t="s">
        <v>574</v>
      </c>
      <c r="W419" t="s">
        <v>568</v>
      </c>
      <c r="AD419" t="s">
        <v>1398</v>
      </c>
    </row>
    <row r="420" spans="1:30" x14ac:dyDescent="0.25">
      <c r="A420" t="s">
        <v>33</v>
      </c>
      <c r="D420" t="s">
        <v>565</v>
      </c>
      <c r="E420" t="s">
        <v>566</v>
      </c>
      <c r="F420" t="s">
        <v>87</v>
      </c>
      <c r="G420" t="s">
        <v>681</v>
      </c>
      <c r="H420" t="s">
        <v>89</v>
      </c>
      <c r="I420" t="s">
        <v>90</v>
      </c>
      <c r="J420" t="s">
        <v>91</v>
      </c>
      <c r="K420" t="s">
        <v>92</v>
      </c>
      <c r="L420" t="s">
        <v>682</v>
      </c>
      <c r="M420" t="s">
        <v>94</v>
      </c>
      <c r="N420" t="s">
        <v>683</v>
      </c>
      <c r="O420" t="s">
        <v>383</v>
      </c>
      <c r="P420">
        <v>1E-3</v>
      </c>
      <c r="R420" t="s">
        <v>1399</v>
      </c>
      <c r="S420" t="s">
        <v>573</v>
      </c>
      <c r="V420" t="s">
        <v>574</v>
      </c>
      <c r="W420" t="s">
        <v>568</v>
      </c>
      <c r="AD420" t="s">
        <v>1400</v>
      </c>
    </row>
    <row r="421" spans="1:30" x14ac:dyDescent="0.25">
      <c r="A421" t="s">
        <v>33</v>
      </c>
      <c r="D421" t="s">
        <v>565</v>
      </c>
      <c r="E421" t="s">
        <v>566</v>
      </c>
      <c r="F421" t="s">
        <v>87</v>
      </c>
      <c r="G421" t="s">
        <v>681</v>
      </c>
      <c r="H421" t="s">
        <v>143</v>
      </c>
      <c r="I421" t="s">
        <v>90</v>
      </c>
      <c r="J421" t="s">
        <v>145</v>
      </c>
      <c r="K421" t="s">
        <v>146</v>
      </c>
      <c r="L421" t="s">
        <v>682</v>
      </c>
      <c r="M421" t="s">
        <v>840</v>
      </c>
      <c r="N421" t="s">
        <v>683</v>
      </c>
      <c r="O421" t="s">
        <v>380</v>
      </c>
      <c r="R421" t="s">
        <v>1401</v>
      </c>
      <c r="S421" t="s">
        <v>573</v>
      </c>
      <c r="V421" t="s">
        <v>574</v>
      </c>
      <c r="W421" t="s">
        <v>568</v>
      </c>
      <c r="AD421" t="s">
        <v>1402</v>
      </c>
    </row>
    <row r="422" spans="1:30" x14ac:dyDescent="0.25">
      <c r="A422" t="s">
        <v>33</v>
      </c>
      <c r="D422" t="s">
        <v>565</v>
      </c>
      <c r="E422" t="s">
        <v>566</v>
      </c>
      <c r="F422" t="s">
        <v>87</v>
      </c>
      <c r="G422" t="s">
        <v>681</v>
      </c>
      <c r="H422" t="s">
        <v>38</v>
      </c>
      <c r="I422" t="s">
        <v>106</v>
      </c>
      <c r="J422" t="s">
        <v>40</v>
      </c>
      <c r="K422" t="s">
        <v>41</v>
      </c>
      <c r="L422" t="s">
        <v>682</v>
      </c>
      <c r="M422" t="s">
        <v>840</v>
      </c>
      <c r="N422" t="s">
        <v>683</v>
      </c>
      <c r="O422" t="s">
        <v>109</v>
      </c>
      <c r="R422" t="s">
        <v>1403</v>
      </c>
      <c r="S422" t="s">
        <v>573</v>
      </c>
      <c r="V422" t="s">
        <v>574</v>
      </c>
      <c r="W422" t="s">
        <v>568</v>
      </c>
      <c r="AD422" t="s">
        <v>1404</v>
      </c>
    </row>
    <row r="423" spans="1:30" x14ac:dyDescent="0.25">
      <c r="A423" t="s">
        <v>33</v>
      </c>
      <c r="D423" t="s">
        <v>565</v>
      </c>
      <c r="E423" t="s">
        <v>566</v>
      </c>
      <c r="F423" t="s">
        <v>87</v>
      </c>
      <c r="G423" t="s">
        <v>681</v>
      </c>
      <c r="H423" t="s">
        <v>38</v>
      </c>
      <c r="I423" t="s">
        <v>25</v>
      </c>
      <c r="J423" t="s">
        <v>69</v>
      </c>
      <c r="K423" t="s">
        <v>41</v>
      </c>
      <c r="L423" t="s">
        <v>682</v>
      </c>
      <c r="M423" t="s">
        <v>840</v>
      </c>
      <c r="N423" t="s">
        <v>683</v>
      </c>
      <c r="O423" t="s">
        <v>512</v>
      </c>
      <c r="R423" t="s">
        <v>1405</v>
      </c>
      <c r="S423" t="s">
        <v>573</v>
      </c>
      <c r="V423" t="s">
        <v>574</v>
      </c>
      <c r="W423" t="s">
        <v>568</v>
      </c>
      <c r="AD423" t="s">
        <v>1406</v>
      </c>
    </row>
    <row r="424" spans="1:30" x14ac:dyDescent="0.25">
      <c r="A424" t="s">
        <v>33</v>
      </c>
      <c r="D424" t="s">
        <v>565</v>
      </c>
      <c r="E424" t="s">
        <v>566</v>
      </c>
      <c r="F424" t="s">
        <v>87</v>
      </c>
      <c r="G424" t="s">
        <v>681</v>
      </c>
      <c r="H424" t="s">
        <v>38</v>
      </c>
      <c r="I424" t="s">
        <v>24</v>
      </c>
      <c r="J424" t="s">
        <v>69</v>
      </c>
      <c r="K424" t="s">
        <v>41</v>
      </c>
      <c r="L424" t="s">
        <v>682</v>
      </c>
      <c r="M424" t="s">
        <v>840</v>
      </c>
      <c r="N424" t="s">
        <v>683</v>
      </c>
      <c r="O424" t="s">
        <v>509</v>
      </c>
      <c r="R424" t="s">
        <v>1407</v>
      </c>
      <c r="S424" t="s">
        <v>573</v>
      </c>
      <c r="V424" t="s">
        <v>574</v>
      </c>
      <c r="W424" t="s">
        <v>568</v>
      </c>
      <c r="AD424" t="s">
        <v>1408</v>
      </c>
    </row>
    <row r="425" spans="1:30" x14ac:dyDescent="0.25">
      <c r="A425" t="s">
        <v>33</v>
      </c>
      <c r="D425" t="s">
        <v>565</v>
      </c>
      <c r="E425" t="s">
        <v>566</v>
      </c>
      <c r="F425" t="s">
        <v>87</v>
      </c>
      <c r="G425" t="s">
        <v>1164</v>
      </c>
      <c r="H425" t="s">
        <v>153</v>
      </c>
      <c r="I425" t="s">
        <v>144</v>
      </c>
      <c r="J425" t="s">
        <v>154</v>
      </c>
      <c r="K425" t="s">
        <v>155</v>
      </c>
      <c r="L425" t="s">
        <v>1165</v>
      </c>
      <c r="N425" t="s">
        <v>1166</v>
      </c>
      <c r="O425" t="s">
        <v>156</v>
      </c>
      <c r="R425" t="s">
        <v>1409</v>
      </c>
      <c r="S425" t="s">
        <v>573</v>
      </c>
      <c r="V425" t="s">
        <v>574</v>
      </c>
      <c r="W425" t="s">
        <v>568</v>
      </c>
      <c r="AD425" t="s">
        <v>1410</v>
      </c>
    </row>
    <row r="426" spans="1:30" x14ac:dyDescent="0.25">
      <c r="A426" t="s">
        <v>33</v>
      </c>
      <c r="D426" t="s">
        <v>565</v>
      </c>
      <c r="E426" t="s">
        <v>566</v>
      </c>
      <c r="F426" t="s">
        <v>87</v>
      </c>
      <c r="G426" t="s">
        <v>1179</v>
      </c>
      <c r="H426" t="s">
        <v>153</v>
      </c>
      <c r="I426" t="s">
        <v>144</v>
      </c>
      <c r="J426" t="s">
        <v>154</v>
      </c>
      <c r="K426" t="s">
        <v>155</v>
      </c>
      <c r="L426" t="s">
        <v>1180</v>
      </c>
      <c r="N426" t="s">
        <v>177</v>
      </c>
      <c r="O426" t="s">
        <v>156</v>
      </c>
      <c r="R426" t="s">
        <v>1411</v>
      </c>
      <c r="S426" t="s">
        <v>573</v>
      </c>
      <c r="V426" t="s">
        <v>574</v>
      </c>
      <c r="W426" t="s">
        <v>568</v>
      </c>
      <c r="AD426" t="s">
        <v>195</v>
      </c>
    </row>
    <row r="427" spans="1:30" x14ac:dyDescent="0.25">
      <c r="A427" t="s">
        <v>33</v>
      </c>
      <c r="D427" t="s">
        <v>565</v>
      </c>
      <c r="E427" t="s">
        <v>566</v>
      </c>
      <c r="F427" t="s">
        <v>87</v>
      </c>
      <c r="G427" t="s">
        <v>369</v>
      </c>
      <c r="H427" t="s">
        <v>89</v>
      </c>
      <c r="I427" t="s">
        <v>144</v>
      </c>
      <c r="J427" t="s">
        <v>91</v>
      </c>
      <c r="K427" t="s">
        <v>92</v>
      </c>
      <c r="L427" t="s">
        <v>370</v>
      </c>
      <c r="M427" t="s">
        <v>94</v>
      </c>
      <c r="N427" t="s">
        <v>687</v>
      </c>
      <c r="O427" t="s">
        <v>150</v>
      </c>
      <c r="P427">
        <v>1E-3</v>
      </c>
      <c r="R427" t="s">
        <v>1412</v>
      </c>
      <c r="S427" t="s">
        <v>573</v>
      </c>
      <c r="V427" t="s">
        <v>574</v>
      </c>
      <c r="W427" t="s">
        <v>568</v>
      </c>
      <c r="AD427" t="s">
        <v>1413</v>
      </c>
    </row>
    <row r="428" spans="1:30" x14ac:dyDescent="0.25">
      <c r="A428" t="s">
        <v>33</v>
      </c>
      <c r="D428" t="s">
        <v>565</v>
      </c>
      <c r="E428" t="s">
        <v>566</v>
      </c>
      <c r="F428" t="s">
        <v>87</v>
      </c>
      <c r="G428" t="s">
        <v>369</v>
      </c>
      <c r="H428" t="s">
        <v>143</v>
      </c>
      <c r="I428" t="s">
        <v>144</v>
      </c>
      <c r="J428" t="s">
        <v>145</v>
      </c>
      <c r="K428" t="s">
        <v>146</v>
      </c>
      <c r="L428" t="s">
        <v>370</v>
      </c>
      <c r="M428" t="s">
        <v>252</v>
      </c>
      <c r="N428" t="s">
        <v>687</v>
      </c>
      <c r="O428" t="s">
        <v>147</v>
      </c>
      <c r="R428" t="s">
        <v>1414</v>
      </c>
      <c r="S428" t="s">
        <v>573</v>
      </c>
      <c r="V428" t="s">
        <v>574</v>
      </c>
      <c r="W428" t="s">
        <v>568</v>
      </c>
      <c r="AD428" t="s">
        <v>1415</v>
      </c>
    </row>
    <row r="429" spans="1:30" x14ac:dyDescent="0.25">
      <c r="A429" t="s">
        <v>33</v>
      </c>
      <c r="D429" t="s">
        <v>565</v>
      </c>
      <c r="E429" t="s">
        <v>566</v>
      </c>
      <c r="F429" t="s">
        <v>87</v>
      </c>
      <c r="G429" t="s">
        <v>1186</v>
      </c>
      <c r="H429" t="s">
        <v>153</v>
      </c>
      <c r="I429" t="s">
        <v>144</v>
      </c>
      <c r="J429" t="s">
        <v>154</v>
      </c>
      <c r="K429" t="s">
        <v>155</v>
      </c>
      <c r="L429" t="s">
        <v>1187</v>
      </c>
      <c r="N429" t="s">
        <v>1188</v>
      </c>
      <c r="O429" t="s">
        <v>213</v>
      </c>
      <c r="R429" t="s">
        <v>1416</v>
      </c>
      <c r="S429" t="s">
        <v>573</v>
      </c>
      <c r="V429" t="s">
        <v>574</v>
      </c>
      <c r="W429" t="s">
        <v>568</v>
      </c>
      <c r="AD429" t="s">
        <v>1417</v>
      </c>
    </row>
    <row r="430" spans="1:30" x14ac:dyDescent="0.25">
      <c r="A430" t="s">
        <v>33</v>
      </c>
      <c r="D430" t="s">
        <v>565</v>
      </c>
      <c r="E430" t="s">
        <v>566</v>
      </c>
      <c r="F430" t="s">
        <v>87</v>
      </c>
      <c r="G430" t="s">
        <v>369</v>
      </c>
      <c r="H430" t="s">
        <v>89</v>
      </c>
      <c r="I430" t="s">
        <v>90</v>
      </c>
      <c r="J430" t="s">
        <v>91</v>
      </c>
      <c r="K430" t="s">
        <v>92</v>
      </c>
      <c r="L430" t="s">
        <v>370</v>
      </c>
      <c r="M430" t="s">
        <v>94</v>
      </c>
      <c r="N430" t="s">
        <v>687</v>
      </c>
      <c r="O430" t="s">
        <v>383</v>
      </c>
      <c r="P430">
        <v>1E-3</v>
      </c>
      <c r="R430" t="s">
        <v>1418</v>
      </c>
      <c r="S430" t="s">
        <v>573</v>
      </c>
      <c r="V430" t="s">
        <v>574</v>
      </c>
      <c r="W430" t="s">
        <v>568</v>
      </c>
      <c r="AD430" t="s">
        <v>1419</v>
      </c>
    </row>
    <row r="431" spans="1:30" x14ac:dyDescent="0.25">
      <c r="A431" t="s">
        <v>33</v>
      </c>
      <c r="D431" t="s">
        <v>565</v>
      </c>
      <c r="E431" t="s">
        <v>566</v>
      </c>
      <c r="F431" t="s">
        <v>87</v>
      </c>
      <c r="G431" t="s">
        <v>369</v>
      </c>
      <c r="H431" t="s">
        <v>143</v>
      </c>
      <c r="I431" t="s">
        <v>90</v>
      </c>
      <c r="J431" t="s">
        <v>145</v>
      </c>
      <c r="K431" t="s">
        <v>146</v>
      </c>
      <c r="L431" t="s">
        <v>370</v>
      </c>
      <c r="M431" t="s">
        <v>252</v>
      </c>
      <c r="N431" t="s">
        <v>687</v>
      </c>
      <c r="O431" t="s">
        <v>380</v>
      </c>
      <c r="R431" t="s">
        <v>1420</v>
      </c>
      <c r="S431" t="s">
        <v>573</v>
      </c>
      <c r="V431" t="s">
        <v>574</v>
      </c>
      <c r="W431" t="s">
        <v>568</v>
      </c>
      <c r="AD431" t="s">
        <v>1421</v>
      </c>
    </row>
    <row r="432" spans="1:30" x14ac:dyDescent="0.25">
      <c r="A432" t="s">
        <v>33</v>
      </c>
      <c r="D432" t="s">
        <v>565</v>
      </c>
      <c r="E432" t="s">
        <v>566</v>
      </c>
      <c r="F432" t="s">
        <v>87</v>
      </c>
      <c r="G432" t="s">
        <v>755</v>
      </c>
      <c r="H432" t="s">
        <v>89</v>
      </c>
      <c r="I432" t="s">
        <v>144</v>
      </c>
      <c r="J432" t="s">
        <v>91</v>
      </c>
      <c r="K432" t="s">
        <v>92</v>
      </c>
      <c r="L432" t="s">
        <v>756</v>
      </c>
      <c r="M432" t="s">
        <v>94</v>
      </c>
      <c r="N432" t="s">
        <v>757</v>
      </c>
      <c r="O432" t="s">
        <v>150</v>
      </c>
      <c r="P432">
        <v>1E-3</v>
      </c>
      <c r="R432" t="s">
        <v>1422</v>
      </c>
      <c r="S432" t="s">
        <v>573</v>
      </c>
      <c r="V432" t="s">
        <v>574</v>
      </c>
      <c r="W432" t="s">
        <v>568</v>
      </c>
      <c r="AD432" t="s">
        <v>1423</v>
      </c>
    </row>
    <row r="433" spans="1:30" x14ac:dyDescent="0.25">
      <c r="A433" t="s">
        <v>33</v>
      </c>
      <c r="D433" t="s">
        <v>565</v>
      </c>
      <c r="E433" t="s">
        <v>566</v>
      </c>
      <c r="F433" t="s">
        <v>87</v>
      </c>
      <c r="G433" t="s">
        <v>369</v>
      </c>
      <c r="H433" t="s">
        <v>89</v>
      </c>
      <c r="I433" t="s">
        <v>180</v>
      </c>
      <c r="J433" t="s">
        <v>91</v>
      </c>
      <c r="K433" t="s">
        <v>92</v>
      </c>
      <c r="L433" t="s">
        <v>370</v>
      </c>
      <c r="M433" t="s">
        <v>94</v>
      </c>
      <c r="N433" t="s">
        <v>687</v>
      </c>
      <c r="O433" t="s">
        <v>184</v>
      </c>
      <c r="P433">
        <v>1E-3</v>
      </c>
      <c r="R433" t="s">
        <v>1424</v>
      </c>
      <c r="S433" t="s">
        <v>573</v>
      </c>
      <c r="V433" t="s">
        <v>574</v>
      </c>
      <c r="W433" t="s">
        <v>568</v>
      </c>
      <c r="AD433" t="s">
        <v>1425</v>
      </c>
    </row>
    <row r="434" spans="1:30" x14ac:dyDescent="0.25">
      <c r="A434" t="s">
        <v>33</v>
      </c>
      <c r="D434" t="s">
        <v>565</v>
      </c>
      <c r="E434" t="s">
        <v>566</v>
      </c>
      <c r="F434" t="s">
        <v>87</v>
      </c>
      <c r="G434" t="s">
        <v>369</v>
      </c>
      <c r="H434" t="s">
        <v>143</v>
      </c>
      <c r="I434" t="s">
        <v>180</v>
      </c>
      <c r="J434" t="s">
        <v>145</v>
      </c>
      <c r="K434" t="s">
        <v>146</v>
      </c>
      <c r="L434" t="s">
        <v>370</v>
      </c>
      <c r="M434" t="s">
        <v>252</v>
      </c>
      <c r="N434" t="s">
        <v>687</v>
      </c>
      <c r="O434" t="s">
        <v>181</v>
      </c>
      <c r="R434" t="s">
        <v>1426</v>
      </c>
      <c r="S434" t="s">
        <v>573</v>
      </c>
      <c r="V434" t="s">
        <v>574</v>
      </c>
      <c r="W434" t="s">
        <v>568</v>
      </c>
      <c r="AD434" t="s">
        <v>1427</v>
      </c>
    </row>
    <row r="435" spans="1:30" x14ac:dyDescent="0.25">
      <c r="A435" t="s">
        <v>33</v>
      </c>
      <c r="D435" t="s">
        <v>565</v>
      </c>
      <c r="E435" t="s">
        <v>566</v>
      </c>
      <c r="F435" t="s">
        <v>87</v>
      </c>
      <c r="G435" t="s">
        <v>755</v>
      </c>
      <c r="H435" t="s">
        <v>143</v>
      </c>
      <c r="I435" t="s">
        <v>144</v>
      </c>
      <c r="J435" t="s">
        <v>745</v>
      </c>
      <c r="K435" t="s">
        <v>262</v>
      </c>
      <c r="L435" t="s">
        <v>756</v>
      </c>
      <c r="M435" t="s">
        <v>746</v>
      </c>
      <c r="N435" t="s">
        <v>757</v>
      </c>
      <c r="O435" t="s">
        <v>147</v>
      </c>
      <c r="R435" t="s">
        <v>1428</v>
      </c>
      <c r="S435" t="s">
        <v>573</v>
      </c>
      <c r="V435" t="s">
        <v>574</v>
      </c>
      <c r="W435" t="s">
        <v>568</v>
      </c>
      <c r="AD435" t="s">
        <v>1429</v>
      </c>
    </row>
    <row r="436" spans="1:30" x14ac:dyDescent="0.25">
      <c r="A436" t="s">
        <v>33</v>
      </c>
      <c r="D436" t="s">
        <v>565</v>
      </c>
      <c r="E436" t="s">
        <v>566</v>
      </c>
      <c r="F436" t="s">
        <v>87</v>
      </c>
      <c r="G436" t="s">
        <v>369</v>
      </c>
      <c r="H436" t="s">
        <v>89</v>
      </c>
      <c r="I436" t="s">
        <v>100</v>
      </c>
      <c r="J436" t="s">
        <v>91</v>
      </c>
      <c r="K436" t="s">
        <v>92</v>
      </c>
      <c r="L436" t="s">
        <v>370</v>
      </c>
      <c r="M436" t="s">
        <v>94</v>
      </c>
      <c r="N436" t="s">
        <v>687</v>
      </c>
      <c r="O436" t="s">
        <v>445</v>
      </c>
      <c r="P436">
        <v>1E-3</v>
      </c>
      <c r="R436" t="s">
        <v>1430</v>
      </c>
      <c r="S436" t="s">
        <v>573</v>
      </c>
      <c r="V436" t="s">
        <v>574</v>
      </c>
      <c r="W436" t="s">
        <v>568</v>
      </c>
      <c r="AD436" t="s">
        <v>1431</v>
      </c>
    </row>
    <row r="437" spans="1:30" x14ac:dyDescent="0.25">
      <c r="A437" t="s">
        <v>33</v>
      </c>
      <c r="D437" t="s">
        <v>565</v>
      </c>
      <c r="E437" t="s">
        <v>566</v>
      </c>
      <c r="F437" t="s">
        <v>87</v>
      </c>
      <c r="G437" t="s">
        <v>369</v>
      </c>
      <c r="H437" t="s">
        <v>143</v>
      </c>
      <c r="I437" t="s">
        <v>100</v>
      </c>
      <c r="J437" t="s">
        <v>145</v>
      </c>
      <c r="K437" t="s">
        <v>146</v>
      </c>
      <c r="L437" t="s">
        <v>370</v>
      </c>
      <c r="M437" t="s">
        <v>252</v>
      </c>
      <c r="N437" t="s">
        <v>687</v>
      </c>
      <c r="O437" t="s">
        <v>442</v>
      </c>
      <c r="R437" t="s">
        <v>1432</v>
      </c>
      <c r="S437" t="s">
        <v>573</v>
      </c>
      <c r="V437" t="s">
        <v>574</v>
      </c>
      <c r="W437" t="s">
        <v>568</v>
      </c>
      <c r="AD437" t="s">
        <v>1433</v>
      </c>
    </row>
    <row r="438" spans="1:30" x14ac:dyDescent="0.25">
      <c r="A438" t="s">
        <v>33</v>
      </c>
      <c r="D438" t="s">
        <v>565</v>
      </c>
      <c r="E438" t="s">
        <v>566</v>
      </c>
      <c r="F438" t="s">
        <v>87</v>
      </c>
      <c r="G438" t="s">
        <v>369</v>
      </c>
      <c r="H438" t="s">
        <v>38</v>
      </c>
      <c r="I438" t="s">
        <v>106</v>
      </c>
      <c r="J438" t="s">
        <v>40</v>
      </c>
      <c r="K438" t="s">
        <v>41</v>
      </c>
      <c r="L438" t="s">
        <v>370</v>
      </c>
      <c r="M438" t="s">
        <v>252</v>
      </c>
      <c r="N438" t="s">
        <v>687</v>
      </c>
      <c r="O438" t="s">
        <v>109</v>
      </c>
      <c r="R438" t="s">
        <v>1434</v>
      </c>
      <c r="S438" t="s">
        <v>573</v>
      </c>
      <c r="V438" t="s">
        <v>574</v>
      </c>
      <c r="W438" t="s">
        <v>568</v>
      </c>
      <c r="AD438" t="s">
        <v>1435</v>
      </c>
    </row>
    <row r="439" spans="1:30" x14ac:dyDescent="0.25">
      <c r="A439" t="s">
        <v>33</v>
      </c>
      <c r="D439" t="s">
        <v>565</v>
      </c>
      <c r="E439" t="s">
        <v>566</v>
      </c>
      <c r="F439" t="s">
        <v>87</v>
      </c>
      <c r="G439" t="s">
        <v>369</v>
      </c>
      <c r="H439" t="s">
        <v>38</v>
      </c>
      <c r="I439" t="s">
        <v>25</v>
      </c>
      <c r="J439" t="s">
        <v>69</v>
      </c>
      <c r="K439" t="s">
        <v>41</v>
      </c>
      <c r="L439" t="s">
        <v>370</v>
      </c>
      <c r="M439" t="s">
        <v>252</v>
      </c>
      <c r="N439" t="s">
        <v>687</v>
      </c>
      <c r="O439" t="s">
        <v>512</v>
      </c>
      <c r="R439" t="s">
        <v>1436</v>
      </c>
      <c r="S439" t="s">
        <v>573</v>
      </c>
      <c r="V439" t="s">
        <v>574</v>
      </c>
      <c r="W439" t="s">
        <v>568</v>
      </c>
      <c r="AD439" t="s">
        <v>1437</v>
      </c>
    </row>
    <row r="440" spans="1:30" x14ac:dyDescent="0.25">
      <c r="A440" t="s">
        <v>33</v>
      </c>
      <c r="D440" t="s">
        <v>565</v>
      </c>
      <c r="E440" t="s">
        <v>566</v>
      </c>
      <c r="F440" t="s">
        <v>87</v>
      </c>
      <c r="G440" t="s">
        <v>369</v>
      </c>
      <c r="H440" t="s">
        <v>38</v>
      </c>
      <c r="I440" t="s">
        <v>24</v>
      </c>
      <c r="J440" t="s">
        <v>69</v>
      </c>
      <c r="K440" t="s">
        <v>41</v>
      </c>
      <c r="L440" t="s">
        <v>370</v>
      </c>
      <c r="M440" t="s">
        <v>252</v>
      </c>
      <c r="N440" t="s">
        <v>687</v>
      </c>
      <c r="O440" t="s">
        <v>509</v>
      </c>
      <c r="R440" t="s">
        <v>1438</v>
      </c>
      <c r="S440" t="s">
        <v>573</v>
      </c>
      <c r="V440" t="s">
        <v>574</v>
      </c>
      <c r="W440" t="s">
        <v>568</v>
      </c>
      <c r="AD440" t="s">
        <v>1439</v>
      </c>
    </row>
    <row r="441" spans="1:30" x14ac:dyDescent="0.25">
      <c r="A441" t="s">
        <v>33</v>
      </c>
      <c r="D441" t="s">
        <v>565</v>
      </c>
      <c r="E441" t="s">
        <v>566</v>
      </c>
      <c r="F441" t="s">
        <v>87</v>
      </c>
      <c r="G441" t="s">
        <v>755</v>
      </c>
      <c r="H441" t="s">
        <v>89</v>
      </c>
      <c r="I441" t="s">
        <v>90</v>
      </c>
      <c r="J441" t="s">
        <v>91</v>
      </c>
      <c r="K441" t="s">
        <v>92</v>
      </c>
      <c r="L441" t="s">
        <v>756</v>
      </c>
      <c r="M441" t="s">
        <v>94</v>
      </c>
      <c r="N441" t="s">
        <v>757</v>
      </c>
      <c r="O441" t="s">
        <v>383</v>
      </c>
      <c r="P441">
        <v>1E-3</v>
      </c>
      <c r="R441" t="s">
        <v>1440</v>
      </c>
      <c r="S441" t="s">
        <v>573</v>
      </c>
      <c r="V441" t="s">
        <v>574</v>
      </c>
      <c r="W441" t="s">
        <v>568</v>
      </c>
      <c r="AD441" t="s">
        <v>1441</v>
      </c>
    </row>
    <row r="442" spans="1:30" x14ac:dyDescent="0.25">
      <c r="A442" t="s">
        <v>33</v>
      </c>
      <c r="D442" t="s">
        <v>565</v>
      </c>
      <c r="E442" t="s">
        <v>566</v>
      </c>
      <c r="F442" t="s">
        <v>87</v>
      </c>
      <c r="G442" t="s">
        <v>755</v>
      </c>
      <c r="H442" t="s">
        <v>143</v>
      </c>
      <c r="I442" t="s">
        <v>90</v>
      </c>
      <c r="J442" t="s">
        <v>745</v>
      </c>
      <c r="K442" t="s">
        <v>262</v>
      </c>
      <c r="L442" t="s">
        <v>756</v>
      </c>
      <c r="M442" t="s">
        <v>746</v>
      </c>
      <c r="N442" t="s">
        <v>757</v>
      </c>
      <c r="O442" t="s">
        <v>380</v>
      </c>
      <c r="R442" t="s">
        <v>1442</v>
      </c>
      <c r="S442" t="s">
        <v>573</v>
      </c>
      <c r="V442" t="s">
        <v>574</v>
      </c>
      <c r="W442" t="s">
        <v>568</v>
      </c>
      <c r="AD442" t="s">
        <v>1443</v>
      </c>
    </row>
    <row r="443" spans="1:30" x14ac:dyDescent="0.25">
      <c r="A443" t="s">
        <v>33</v>
      </c>
      <c r="D443" t="s">
        <v>565</v>
      </c>
      <c r="E443" t="s">
        <v>566</v>
      </c>
      <c r="F443" t="s">
        <v>87</v>
      </c>
      <c r="G443" t="s">
        <v>457</v>
      </c>
      <c r="H443" t="s">
        <v>89</v>
      </c>
      <c r="I443" t="s">
        <v>144</v>
      </c>
      <c r="J443" t="s">
        <v>91</v>
      </c>
      <c r="K443" t="s">
        <v>92</v>
      </c>
      <c r="L443" t="s">
        <v>458</v>
      </c>
      <c r="M443" t="s">
        <v>94</v>
      </c>
      <c r="N443" t="s">
        <v>694</v>
      </c>
      <c r="O443" t="s">
        <v>150</v>
      </c>
      <c r="P443">
        <v>1E-3</v>
      </c>
      <c r="R443" t="s">
        <v>1444</v>
      </c>
      <c r="S443" t="s">
        <v>573</v>
      </c>
      <c r="V443" t="s">
        <v>574</v>
      </c>
      <c r="W443" t="s">
        <v>568</v>
      </c>
      <c r="AD443" t="s">
        <v>1445</v>
      </c>
    </row>
    <row r="444" spans="1:30" x14ac:dyDescent="0.25">
      <c r="A444" t="s">
        <v>33</v>
      </c>
      <c r="D444" t="s">
        <v>565</v>
      </c>
      <c r="E444" t="s">
        <v>566</v>
      </c>
      <c r="F444" t="s">
        <v>87</v>
      </c>
      <c r="G444" t="s">
        <v>457</v>
      </c>
      <c r="H444" t="s">
        <v>143</v>
      </c>
      <c r="I444" t="s">
        <v>144</v>
      </c>
      <c r="J444" t="s">
        <v>145</v>
      </c>
      <c r="K444" t="s">
        <v>146</v>
      </c>
      <c r="L444" t="s">
        <v>458</v>
      </c>
      <c r="M444" t="s">
        <v>252</v>
      </c>
      <c r="N444" t="s">
        <v>694</v>
      </c>
      <c r="O444" t="s">
        <v>147</v>
      </c>
      <c r="R444" t="s">
        <v>1446</v>
      </c>
      <c r="S444" t="s">
        <v>573</v>
      </c>
      <c r="V444" t="s">
        <v>574</v>
      </c>
      <c r="W444" t="s">
        <v>568</v>
      </c>
      <c r="AD444" t="s">
        <v>1447</v>
      </c>
    </row>
    <row r="445" spans="1:30" x14ac:dyDescent="0.25">
      <c r="A445" t="s">
        <v>33</v>
      </c>
      <c r="D445" t="s">
        <v>565</v>
      </c>
      <c r="E445" t="s">
        <v>566</v>
      </c>
      <c r="F445" t="s">
        <v>87</v>
      </c>
      <c r="G445" t="s">
        <v>755</v>
      </c>
      <c r="H445" t="s">
        <v>38</v>
      </c>
      <c r="I445" t="s">
        <v>106</v>
      </c>
      <c r="J445" t="s">
        <v>40</v>
      </c>
      <c r="K445" t="s">
        <v>41</v>
      </c>
      <c r="L445" t="s">
        <v>756</v>
      </c>
      <c r="M445" t="s">
        <v>746</v>
      </c>
      <c r="N445" t="s">
        <v>757</v>
      </c>
      <c r="O445" t="s">
        <v>109</v>
      </c>
      <c r="R445" t="s">
        <v>1448</v>
      </c>
      <c r="S445" t="s">
        <v>573</v>
      </c>
      <c r="V445" t="s">
        <v>574</v>
      </c>
      <c r="W445" t="s">
        <v>568</v>
      </c>
      <c r="AD445" t="s">
        <v>1449</v>
      </c>
    </row>
    <row r="446" spans="1:30" x14ac:dyDescent="0.25">
      <c r="A446" t="s">
        <v>33</v>
      </c>
      <c r="D446" t="s">
        <v>565</v>
      </c>
      <c r="E446" t="s">
        <v>566</v>
      </c>
      <c r="F446" t="s">
        <v>87</v>
      </c>
      <c r="G446" t="s">
        <v>457</v>
      </c>
      <c r="H446" t="s">
        <v>89</v>
      </c>
      <c r="I446" t="s">
        <v>90</v>
      </c>
      <c r="J446" t="s">
        <v>91</v>
      </c>
      <c r="K446" t="s">
        <v>92</v>
      </c>
      <c r="L446" t="s">
        <v>458</v>
      </c>
      <c r="M446" t="s">
        <v>94</v>
      </c>
      <c r="N446" t="s">
        <v>694</v>
      </c>
      <c r="O446" t="s">
        <v>383</v>
      </c>
      <c r="P446">
        <v>1E-3</v>
      </c>
      <c r="R446" t="s">
        <v>1450</v>
      </c>
      <c r="S446" t="s">
        <v>573</v>
      </c>
      <c r="V446" t="s">
        <v>574</v>
      </c>
      <c r="W446" t="s">
        <v>568</v>
      </c>
      <c r="AD446" t="s">
        <v>1451</v>
      </c>
    </row>
    <row r="447" spans="1:30" x14ac:dyDescent="0.25">
      <c r="A447" t="s">
        <v>33</v>
      </c>
      <c r="D447" t="s">
        <v>565</v>
      </c>
      <c r="E447" t="s">
        <v>566</v>
      </c>
      <c r="F447" t="s">
        <v>87</v>
      </c>
      <c r="G447" t="s">
        <v>457</v>
      </c>
      <c r="H447" t="s">
        <v>143</v>
      </c>
      <c r="I447" t="s">
        <v>90</v>
      </c>
      <c r="J447" t="s">
        <v>145</v>
      </c>
      <c r="K447" t="s">
        <v>146</v>
      </c>
      <c r="L447" t="s">
        <v>458</v>
      </c>
      <c r="M447" t="s">
        <v>252</v>
      </c>
      <c r="N447" t="s">
        <v>694</v>
      </c>
      <c r="O447" t="s">
        <v>380</v>
      </c>
      <c r="R447" t="s">
        <v>1452</v>
      </c>
      <c r="S447" t="s">
        <v>573</v>
      </c>
      <c r="V447" t="s">
        <v>574</v>
      </c>
      <c r="W447" t="s">
        <v>568</v>
      </c>
      <c r="AD447" t="s">
        <v>1453</v>
      </c>
    </row>
    <row r="448" spans="1:30" x14ac:dyDescent="0.25">
      <c r="A448" t="s">
        <v>33</v>
      </c>
      <c r="D448" t="s">
        <v>565</v>
      </c>
      <c r="E448" t="s">
        <v>566</v>
      </c>
      <c r="F448" t="s">
        <v>87</v>
      </c>
      <c r="G448" t="s">
        <v>457</v>
      </c>
      <c r="H448" t="s">
        <v>89</v>
      </c>
      <c r="I448" t="s">
        <v>180</v>
      </c>
      <c r="J448" t="s">
        <v>91</v>
      </c>
      <c r="K448" t="s">
        <v>92</v>
      </c>
      <c r="L448" t="s">
        <v>458</v>
      </c>
      <c r="M448" t="s">
        <v>94</v>
      </c>
      <c r="N448" t="s">
        <v>694</v>
      </c>
      <c r="O448" t="s">
        <v>184</v>
      </c>
      <c r="P448">
        <v>1E-3</v>
      </c>
      <c r="R448" t="s">
        <v>1454</v>
      </c>
      <c r="S448" t="s">
        <v>573</v>
      </c>
      <c r="V448" t="s">
        <v>574</v>
      </c>
      <c r="W448" t="s">
        <v>568</v>
      </c>
      <c r="AD448" t="s">
        <v>1455</v>
      </c>
    </row>
    <row r="449" spans="1:32" x14ac:dyDescent="0.25">
      <c r="A449" t="s">
        <v>33</v>
      </c>
      <c r="D449" t="s">
        <v>565</v>
      </c>
      <c r="E449" t="s">
        <v>566</v>
      </c>
      <c r="F449" t="s">
        <v>87</v>
      </c>
      <c r="G449" t="s">
        <v>457</v>
      </c>
      <c r="H449" t="s">
        <v>143</v>
      </c>
      <c r="I449" t="s">
        <v>180</v>
      </c>
      <c r="J449" t="s">
        <v>145</v>
      </c>
      <c r="K449" t="s">
        <v>146</v>
      </c>
      <c r="L449" t="s">
        <v>458</v>
      </c>
      <c r="M449" t="s">
        <v>252</v>
      </c>
      <c r="N449" t="s">
        <v>694</v>
      </c>
      <c r="O449" t="s">
        <v>181</v>
      </c>
      <c r="R449" t="s">
        <v>1456</v>
      </c>
      <c r="S449" t="s">
        <v>573</v>
      </c>
      <c r="V449" t="s">
        <v>574</v>
      </c>
      <c r="W449" t="s">
        <v>568</v>
      </c>
      <c r="AD449" t="s">
        <v>1457</v>
      </c>
    </row>
    <row r="450" spans="1:32" x14ac:dyDescent="0.25">
      <c r="A450" t="s">
        <v>33</v>
      </c>
      <c r="D450" t="s">
        <v>565</v>
      </c>
      <c r="E450" t="s">
        <v>566</v>
      </c>
      <c r="F450" t="s">
        <v>87</v>
      </c>
      <c r="G450" t="s">
        <v>1458</v>
      </c>
      <c r="H450" t="s">
        <v>153</v>
      </c>
      <c r="I450" t="s">
        <v>90</v>
      </c>
      <c r="J450" t="s">
        <v>154</v>
      </c>
      <c r="K450" t="s">
        <v>155</v>
      </c>
      <c r="L450" t="s">
        <v>1459</v>
      </c>
      <c r="N450" t="s">
        <v>1460</v>
      </c>
      <c r="O450" t="s">
        <v>386</v>
      </c>
      <c r="R450" t="s">
        <v>1461</v>
      </c>
      <c r="S450" t="s">
        <v>573</v>
      </c>
      <c r="V450" t="s">
        <v>574</v>
      </c>
      <c r="W450" t="s">
        <v>568</v>
      </c>
      <c r="AC450" t="s">
        <v>1462</v>
      </c>
      <c r="AD450" t="s">
        <v>1463</v>
      </c>
      <c r="AE450" t="s">
        <v>577</v>
      </c>
      <c r="AF450">
        <v>37</v>
      </c>
    </row>
    <row r="451" spans="1:32" x14ac:dyDescent="0.25">
      <c r="A451" t="s">
        <v>33</v>
      </c>
      <c r="D451" t="s">
        <v>565</v>
      </c>
      <c r="E451" t="s">
        <v>566</v>
      </c>
      <c r="F451" t="s">
        <v>87</v>
      </c>
      <c r="G451" t="s">
        <v>457</v>
      </c>
      <c r="H451" t="s">
        <v>89</v>
      </c>
      <c r="I451" t="s">
        <v>100</v>
      </c>
      <c r="J451" t="s">
        <v>91</v>
      </c>
      <c r="K451" t="s">
        <v>92</v>
      </c>
      <c r="L451" t="s">
        <v>458</v>
      </c>
      <c r="M451" t="s">
        <v>94</v>
      </c>
      <c r="N451" t="s">
        <v>694</v>
      </c>
      <c r="O451" t="s">
        <v>445</v>
      </c>
      <c r="P451">
        <v>1E-3</v>
      </c>
      <c r="R451" t="s">
        <v>1464</v>
      </c>
      <c r="S451" t="s">
        <v>573</v>
      </c>
      <c r="V451" t="s">
        <v>574</v>
      </c>
      <c r="W451" t="s">
        <v>568</v>
      </c>
      <c r="AD451" t="s">
        <v>1465</v>
      </c>
    </row>
    <row r="452" spans="1:32" x14ac:dyDescent="0.25">
      <c r="A452" t="s">
        <v>33</v>
      </c>
      <c r="D452" t="s">
        <v>565</v>
      </c>
      <c r="E452" t="s">
        <v>566</v>
      </c>
      <c r="F452" t="s">
        <v>87</v>
      </c>
      <c r="G452" t="s">
        <v>457</v>
      </c>
      <c r="H452" t="s">
        <v>143</v>
      </c>
      <c r="I452" t="s">
        <v>100</v>
      </c>
      <c r="J452" t="s">
        <v>145</v>
      </c>
      <c r="K452" t="s">
        <v>146</v>
      </c>
      <c r="L452" t="s">
        <v>458</v>
      </c>
      <c r="M452" t="s">
        <v>252</v>
      </c>
      <c r="N452" t="s">
        <v>694</v>
      </c>
      <c r="O452" t="s">
        <v>442</v>
      </c>
      <c r="R452" t="s">
        <v>1466</v>
      </c>
      <c r="S452" t="s">
        <v>573</v>
      </c>
      <c r="V452" t="s">
        <v>574</v>
      </c>
      <c r="W452" t="s">
        <v>568</v>
      </c>
      <c r="AD452" t="s">
        <v>1467</v>
      </c>
    </row>
    <row r="453" spans="1:32" x14ac:dyDescent="0.25">
      <c r="A453" t="s">
        <v>33</v>
      </c>
      <c r="D453" t="s">
        <v>565</v>
      </c>
      <c r="E453" t="s">
        <v>566</v>
      </c>
      <c r="F453" t="s">
        <v>87</v>
      </c>
      <c r="G453" t="s">
        <v>457</v>
      </c>
      <c r="H453" t="s">
        <v>38</v>
      </c>
      <c r="I453" t="s">
        <v>106</v>
      </c>
      <c r="J453" t="s">
        <v>40</v>
      </c>
      <c r="K453" t="s">
        <v>41</v>
      </c>
      <c r="L453" t="s">
        <v>458</v>
      </c>
      <c r="M453" t="s">
        <v>252</v>
      </c>
      <c r="N453" t="s">
        <v>694</v>
      </c>
      <c r="O453" t="s">
        <v>109</v>
      </c>
      <c r="R453" t="s">
        <v>1468</v>
      </c>
      <c r="S453" t="s">
        <v>573</v>
      </c>
      <c r="V453" t="s">
        <v>574</v>
      </c>
      <c r="W453" t="s">
        <v>568</v>
      </c>
      <c r="AD453" t="s">
        <v>1469</v>
      </c>
    </row>
    <row r="454" spans="1:32" x14ac:dyDescent="0.25">
      <c r="A454" t="s">
        <v>33</v>
      </c>
      <c r="D454" t="s">
        <v>565</v>
      </c>
      <c r="E454" t="s">
        <v>566</v>
      </c>
      <c r="F454" t="s">
        <v>87</v>
      </c>
      <c r="G454" t="s">
        <v>457</v>
      </c>
      <c r="H454" t="s">
        <v>38</v>
      </c>
      <c r="I454" t="s">
        <v>25</v>
      </c>
      <c r="J454" t="s">
        <v>69</v>
      </c>
      <c r="K454" t="s">
        <v>41</v>
      </c>
      <c r="L454" t="s">
        <v>458</v>
      </c>
      <c r="M454" t="s">
        <v>252</v>
      </c>
      <c r="N454" t="s">
        <v>694</v>
      </c>
      <c r="O454" t="s">
        <v>512</v>
      </c>
      <c r="R454" t="s">
        <v>545</v>
      </c>
      <c r="S454" t="s">
        <v>573</v>
      </c>
      <c r="V454" t="s">
        <v>574</v>
      </c>
      <c r="W454" t="s">
        <v>568</v>
      </c>
      <c r="AD454" t="s">
        <v>1470</v>
      </c>
    </row>
    <row r="455" spans="1:32" x14ac:dyDescent="0.25">
      <c r="A455" t="s">
        <v>33</v>
      </c>
      <c r="D455" t="s">
        <v>565</v>
      </c>
      <c r="E455" t="s">
        <v>566</v>
      </c>
      <c r="F455" t="s">
        <v>87</v>
      </c>
      <c r="G455" t="s">
        <v>457</v>
      </c>
      <c r="H455" t="s">
        <v>38</v>
      </c>
      <c r="I455" t="s">
        <v>24</v>
      </c>
      <c r="J455" t="s">
        <v>69</v>
      </c>
      <c r="K455" t="s">
        <v>41</v>
      </c>
      <c r="L455" t="s">
        <v>458</v>
      </c>
      <c r="M455" t="s">
        <v>252</v>
      </c>
      <c r="N455" t="s">
        <v>694</v>
      </c>
      <c r="O455" t="s">
        <v>509</v>
      </c>
      <c r="R455" t="s">
        <v>543</v>
      </c>
      <c r="S455" t="s">
        <v>573</v>
      </c>
      <c r="V455" t="s">
        <v>574</v>
      </c>
      <c r="W455" t="s">
        <v>568</v>
      </c>
      <c r="AD455" t="s">
        <v>1471</v>
      </c>
    </row>
    <row r="456" spans="1:32" x14ac:dyDescent="0.25">
      <c r="A456" t="s">
        <v>33</v>
      </c>
      <c r="D456" t="s">
        <v>565</v>
      </c>
      <c r="E456" t="s">
        <v>566</v>
      </c>
      <c r="F456" t="s">
        <v>87</v>
      </c>
      <c r="G456" t="s">
        <v>1458</v>
      </c>
      <c r="H456" t="s">
        <v>153</v>
      </c>
      <c r="I456" t="s">
        <v>144</v>
      </c>
      <c r="J456" t="s">
        <v>154</v>
      </c>
      <c r="K456" t="s">
        <v>155</v>
      </c>
      <c r="L456" t="s">
        <v>1459</v>
      </c>
      <c r="N456" t="s">
        <v>1460</v>
      </c>
      <c r="O456" t="s">
        <v>156</v>
      </c>
      <c r="R456" t="s">
        <v>1472</v>
      </c>
      <c r="S456" t="s">
        <v>573</v>
      </c>
      <c r="V456" t="s">
        <v>574</v>
      </c>
      <c r="W456" t="s">
        <v>568</v>
      </c>
      <c r="AD456" t="s">
        <v>1473</v>
      </c>
    </row>
    <row r="457" spans="1:32" x14ac:dyDescent="0.25">
      <c r="A457" t="s">
        <v>33</v>
      </c>
      <c r="D457" t="s">
        <v>565</v>
      </c>
      <c r="E457" t="s">
        <v>566</v>
      </c>
      <c r="F457" t="s">
        <v>87</v>
      </c>
      <c r="G457" t="s">
        <v>1458</v>
      </c>
      <c r="H457" t="s">
        <v>89</v>
      </c>
      <c r="I457" t="s">
        <v>144</v>
      </c>
      <c r="J457" t="s">
        <v>91</v>
      </c>
      <c r="K457" t="s">
        <v>92</v>
      </c>
      <c r="L457" t="s">
        <v>1459</v>
      </c>
      <c r="M457" t="s">
        <v>94</v>
      </c>
      <c r="N457" t="s">
        <v>1460</v>
      </c>
      <c r="O457" t="s">
        <v>150</v>
      </c>
      <c r="P457">
        <v>1E-3</v>
      </c>
      <c r="R457" t="s">
        <v>1474</v>
      </c>
      <c r="S457" t="s">
        <v>573</v>
      </c>
      <c r="V457" t="s">
        <v>574</v>
      </c>
      <c r="W457" t="s">
        <v>568</v>
      </c>
      <c r="AD457" t="s">
        <v>1475</v>
      </c>
    </row>
    <row r="458" spans="1:32" x14ac:dyDescent="0.25">
      <c r="A458" t="s">
        <v>33</v>
      </c>
      <c r="D458" t="s">
        <v>565</v>
      </c>
      <c r="E458" t="s">
        <v>566</v>
      </c>
      <c r="F458" t="s">
        <v>87</v>
      </c>
      <c r="G458" t="s">
        <v>701</v>
      </c>
      <c r="H458" t="s">
        <v>89</v>
      </c>
      <c r="I458" t="s">
        <v>144</v>
      </c>
      <c r="J458" t="s">
        <v>91</v>
      </c>
      <c r="K458" t="s">
        <v>92</v>
      </c>
      <c r="L458" t="s">
        <v>702</v>
      </c>
      <c r="M458" t="s">
        <v>94</v>
      </c>
      <c r="N458" t="s">
        <v>703</v>
      </c>
      <c r="O458" t="s">
        <v>150</v>
      </c>
      <c r="P458">
        <v>1E-3</v>
      </c>
      <c r="R458" t="s">
        <v>1476</v>
      </c>
      <c r="S458" t="s">
        <v>573</v>
      </c>
      <c r="V458" t="s">
        <v>574</v>
      </c>
      <c r="W458" t="s">
        <v>568</v>
      </c>
      <c r="AD458" t="s">
        <v>1477</v>
      </c>
    </row>
    <row r="459" spans="1:32" x14ac:dyDescent="0.25">
      <c r="A459" t="s">
        <v>33</v>
      </c>
      <c r="D459" t="s">
        <v>565</v>
      </c>
      <c r="E459" t="s">
        <v>566</v>
      </c>
      <c r="F459" t="s">
        <v>87</v>
      </c>
      <c r="G459" t="s">
        <v>701</v>
      </c>
      <c r="H459" t="s">
        <v>143</v>
      </c>
      <c r="I459" t="s">
        <v>144</v>
      </c>
      <c r="J459" t="s">
        <v>145</v>
      </c>
      <c r="K459" t="s">
        <v>146</v>
      </c>
      <c r="L459" t="s">
        <v>702</v>
      </c>
      <c r="M459" t="s">
        <v>252</v>
      </c>
      <c r="N459" t="s">
        <v>703</v>
      </c>
      <c r="O459" t="s">
        <v>147</v>
      </c>
      <c r="R459" t="s">
        <v>1478</v>
      </c>
      <c r="S459" t="s">
        <v>573</v>
      </c>
      <c r="V459" t="s">
        <v>574</v>
      </c>
      <c r="W459" t="s">
        <v>568</v>
      </c>
      <c r="AD459" t="s">
        <v>1479</v>
      </c>
    </row>
    <row r="460" spans="1:32" x14ac:dyDescent="0.25">
      <c r="A460" t="s">
        <v>33</v>
      </c>
      <c r="D460" t="s">
        <v>565</v>
      </c>
      <c r="E460" t="s">
        <v>566</v>
      </c>
      <c r="F460" t="s">
        <v>87</v>
      </c>
      <c r="G460" t="s">
        <v>1458</v>
      </c>
      <c r="H460" t="s">
        <v>143</v>
      </c>
      <c r="I460" t="s">
        <v>144</v>
      </c>
      <c r="J460" t="s">
        <v>745</v>
      </c>
      <c r="K460" t="s">
        <v>262</v>
      </c>
      <c r="L460" t="s">
        <v>1459</v>
      </c>
      <c r="M460" t="s">
        <v>746</v>
      </c>
      <c r="N460" t="s">
        <v>1460</v>
      </c>
      <c r="O460" t="s">
        <v>147</v>
      </c>
      <c r="R460" t="s">
        <v>1480</v>
      </c>
      <c r="S460" t="s">
        <v>573</v>
      </c>
      <c r="V460" t="s">
        <v>574</v>
      </c>
      <c r="W460" t="s">
        <v>568</v>
      </c>
      <c r="AD460" t="s">
        <v>1481</v>
      </c>
    </row>
    <row r="461" spans="1:32" x14ac:dyDescent="0.25">
      <c r="A461" t="s">
        <v>33</v>
      </c>
      <c r="D461" t="s">
        <v>565</v>
      </c>
      <c r="E461" t="s">
        <v>566</v>
      </c>
      <c r="F461" t="s">
        <v>87</v>
      </c>
      <c r="G461" t="s">
        <v>701</v>
      </c>
      <c r="H461" t="s">
        <v>89</v>
      </c>
      <c r="I461" t="s">
        <v>90</v>
      </c>
      <c r="J461" t="s">
        <v>91</v>
      </c>
      <c r="K461" t="s">
        <v>92</v>
      </c>
      <c r="L461" t="s">
        <v>702</v>
      </c>
      <c r="M461" t="s">
        <v>94</v>
      </c>
      <c r="N461" t="s">
        <v>703</v>
      </c>
      <c r="O461" t="s">
        <v>383</v>
      </c>
      <c r="P461">
        <v>1E-3</v>
      </c>
      <c r="R461" t="s">
        <v>1482</v>
      </c>
      <c r="S461" t="s">
        <v>573</v>
      </c>
      <c r="V461" t="s">
        <v>574</v>
      </c>
      <c r="W461" t="s">
        <v>568</v>
      </c>
      <c r="AD461" t="s">
        <v>1483</v>
      </c>
    </row>
    <row r="462" spans="1:32" x14ac:dyDescent="0.25">
      <c r="A462" t="s">
        <v>33</v>
      </c>
      <c r="D462" t="s">
        <v>565</v>
      </c>
      <c r="E462" t="s">
        <v>566</v>
      </c>
      <c r="F462" t="s">
        <v>87</v>
      </c>
      <c r="G462" t="s">
        <v>701</v>
      </c>
      <c r="H462" t="s">
        <v>143</v>
      </c>
      <c r="I462" t="s">
        <v>90</v>
      </c>
      <c r="J462" t="s">
        <v>145</v>
      </c>
      <c r="K462" t="s">
        <v>146</v>
      </c>
      <c r="L462" t="s">
        <v>702</v>
      </c>
      <c r="M462" t="s">
        <v>252</v>
      </c>
      <c r="N462" t="s">
        <v>703</v>
      </c>
      <c r="O462" t="s">
        <v>380</v>
      </c>
      <c r="R462" t="s">
        <v>1484</v>
      </c>
      <c r="S462" t="s">
        <v>573</v>
      </c>
      <c r="V462" t="s">
        <v>574</v>
      </c>
      <c r="W462" t="s">
        <v>568</v>
      </c>
      <c r="AD462" t="s">
        <v>1485</v>
      </c>
    </row>
    <row r="463" spans="1:32" x14ac:dyDescent="0.25">
      <c r="A463" t="s">
        <v>33</v>
      </c>
      <c r="D463" t="s">
        <v>565</v>
      </c>
      <c r="E463" t="s">
        <v>566</v>
      </c>
      <c r="F463" t="s">
        <v>87</v>
      </c>
      <c r="G463" t="s">
        <v>701</v>
      </c>
      <c r="H463" t="s">
        <v>89</v>
      </c>
      <c r="I463" t="s">
        <v>180</v>
      </c>
      <c r="J463" t="s">
        <v>91</v>
      </c>
      <c r="K463" t="s">
        <v>92</v>
      </c>
      <c r="L463" t="s">
        <v>702</v>
      </c>
      <c r="M463" t="s">
        <v>94</v>
      </c>
      <c r="N463" t="s">
        <v>703</v>
      </c>
      <c r="O463" t="s">
        <v>184</v>
      </c>
      <c r="P463">
        <v>1E-3</v>
      </c>
      <c r="R463" t="s">
        <v>1486</v>
      </c>
      <c r="S463" t="s">
        <v>573</v>
      </c>
      <c r="V463" t="s">
        <v>574</v>
      </c>
      <c r="W463" t="s">
        <v>568</v>
      </c>
      <c r="AD463" t="s">
        <v>1487</v>
      </c>
    </row>
    <row r="464" spans="1:32" x14ac:dyDescent="0.25">
      <c r="A464" t="s">
        <v>33</v>
      </c>
      <c r="D464" t="s">
        <v>565</v>
      </c>
      <c r="E464" t="s">
        <v>566</v>
      </c>
      <c r="F464" t="s">
        <v>87</v>
      </c>
      <c r="G464" t="s">
        <v>701</v>
      </c>
      <c r="H464" t="s">
        <v>143</v>
      </c>
      <c r="I464" t="s">
        <v>180</v>
      </c>
      <c r="J464" t="s">
        <v>145</v>
      </c>
      <c r="K464" t="s">
        <v>146</v>
      </c>
      <c r="L464" t="s">
        <v>702</v>
      </c>
      <c r="M464" t="s">
        <v>252</v>
      </c>
      <c r="N464" t="s">
        <v>703</v>
      </c>
      <c r="O464" t="s">
        <v>181</v>
      </c>
      <c r="R464" t="s">
        <v>1488</v>
      </c>
      <c r="S464" t="s">
        <v>573</v>
      </c>
      <c r="V464" t="s">
        <v>574</v>
      </c>
      <c r="W464" t="s">
        <v>568</v>
      </c>
      <c r="AD464" t="s">
        <v>1489</v>
      </c>
    </row>
    <row r="465" spans="1:30" x14ac:dyDescent="0.25">
      <c r="A465" t="s">
        <v>33</v>
      </c>
      <c r="D465" t="s">
        <v>565</v>
      </c>
      <c r="E465" t="s">
        <v>566</v>
      </c>
      <c r="F465" t="s">
        <v>87</v>
      </c>
      <c r="G465" t="s">
        <v>701</v>
      </c>
      <c r="H465" t="s">
        <v>89</v>
      </c>
      <c r="I465" t="s">
        <v>100</v>
      </c>
      <c r="J465" t="s">
        <v>91</v>
      </c>
      <c r="K465" t="s">
        <v>92</v>
      </c>
      <c r="L465" t="s">
        <v>702</v>
      </c>
      <c r="M465" t="s">
        <v>94</v>
      </c>
      <c r="N465" t="s">
        <v>703</v>
      </c>
      <c r="O465" t="s">
        <v>445</v>
      </c>
      <c r="P465">
        <v>1E-3</v>
      </c>
      <c r="R465" t="s">
        <v>1490</v>
      </c>
      <c r="S465" t="s">
        <v>573</v>
      </c>
      <c r="V465" t="s">
        <v>574</v>
      </c>
      <c r="W465" t="s">
        <v>568</v>
      </c>
      <c r="AD465" t="s">
        <v>1491</v>
      </c>
    </row>
    <row r="466" spans="1:30" x14ac:dyDescent="0.25">
      <c r="A466" t="s">
        <v>33</v>
      </c>
      <c r="D466" t="s">
        <v>565</v>
      </c>
      <c r="E466" t="s">
        <v>566</v>
      </c>
      <c r="F466" t="s">
        <v>87</v>
      </c>
      <c r="G466" t="s">
        <v>701</v>
      </c>
      <c r="H466" t="s">
        <v>143</v>
      </c>
      <c r="I466" t="s">
        <v>100</v>
      </c>
      <c r="J466" t="s">
        <v>145</v>
      </c>
      <c r="K466" t="s">
        <v>146</v>
      </c>
      <c r="L466" t="s">
        <v>702</v>
      </c>
      <c r="M466" t="s">
        <v>252</v>
      </c>
      <c r="N466" t="s">
        <v>703</v>
      </c>
      <c r="O466" t="s">
        <v>442</v>
      </c>
      <c r="R466" t="s">
        <v>1492</v>
      </c>
      <c r="S466" t="s">
        <v>573</v>
      </c>
      <c r="V466" t="s">
        <v>574</v>
      </c>
      <c r="W466" t="s">
        <v>568</v>
      </c>
      <c r="AD466" t="s">
        <v>1493</v>
      </c>
    </row>
    <row r="467" spans="1:30" x14ac:dyDescent="0.25">
      <c r="A467" t="s">
        <v>33</v>
      </c>
      <c r="D467" t="s">
        <v>565</v>
      </c>
      <c r="E467" t="s">
        <v>566</v>
      </c>
      <c r="F467" t="s">
        <v>87</v>
      </c>
      <c r="G467" t="s">
        <v>701</v>
      </c>
      <c r="H467" t="s">
        <v>38</v>
      </c>
      <c r="I467" t="s">
        <v>106</v>
      </c>
      <c r="J467" t="s">
        <v>40</v>
      </c>
      <c r="K467" t="s">
        <v>41</v>
      </c>
      <c r="L467" t="s">
        <v>702</v>
      </c>
      <c r="M467" t="s">
        <v>252</v>
      </c>
      <c r="N467" t="s">
        <v>703</v>
      </c>
      <c r="O467" t="s">
        <v>109</v>
      </c>
      <c r="R467" t="s">
        <v>1494</v>
      </c>
      <c r="S467" t="s">
        <v>573</v>
      </c>
      <c r="V467" t="s">
        <v>574</v>
      </c>
      <c r="W467" t="s">
        <v>568</v>
      </c>
      <c r="AD467" t="s">
        <v>1495</v>
      </c>
    </row>
    <row r="468" spans="1:30" x14ac:dyDescent="0.25">
      <c r="A468" t="s">
        <v>33</v>
      </c>
      <c r="D468" t="s">
        <v>565</v>
      </c>
      <c r="E468" t="s">
        <v>566</v>
      </c>
      <c r="F468" t="s">
        <v>87</v>
      </c>
      <c r="G468" t="s">
        <v>701</v>
      </c>
      <c r="H468" t="s">
        <v>38</v>
      </c>
      <c r="I468" t="s">
        <v>25</v>
      </c>
      <c r="J468" t="s">
        <v>69</v>
      </c>
      <c r="K468" t="s">
        <v>41</v>
      </c>
      <c r="L468" t="s">
        <v>702</v>
      </c>
      <c r="M468" t="s">
        <v>252</v>
      </c>
      <c r="N468" t="s">
        <v>703</v>
      </c>
      <c r="O468" t="s">
        <v>512</v>
      </c>
      <c r="R468" t="s">
        <v>541</v>
      </c>
      <c r="S468" t="s">
        <v>573</v>
      </c>
      <c r="V468" t="s">
        <v>574</v>
      </c>
      <c r="W468" t="s">
        <v>568</v>
      </c>
      <c r="AD468" t="s">
        <v>1496</v>
      </c>
    </row>
    <row r="469" spans="1:30" x14ac:dyDescent="0.25">
      <c r="A469" t="s">
        <v>33</v>
      </c>
      <c r="D469" t="s">
        <v>565</v>
      </c>
      <c r="E469" t="s">
        <v>566</v>
      </c>
      <c r="F469" t="s">
        <v>87</v>
      </c>
      <c r="G469" t="s">
        <v>701</v>
      </c>
      <c r="H469" t="s">
        <v>38</v>
      </c>
      <c r="I469" t="s">
        <v>24</v>
      </c>
      <c r="J469" t="s">
        <v>69</v>
      </c>
      <c r="K469" t="s">
        <v>41</v>
      </c>
      <c r="L469" t="s">
        <v>702</v>
      </c>
      <c r="M469" t="s">
        <v>252</v>
      </c>
      <c r="N469" t="s">
        <v>703</v>
      </c>
      <c r="O469" t="s">
        <v>509</v>
      </c>
      <c r="R469" t="s">
        <v>539</v>
      </c>
      <c r="S469" t="s">
        <v>573</v>
      </c>
      <c r="V469" t="s">
        <v>574</v>
      </c>
      <c r="W469" t="s">
        <v>568</v>
      </c>
      <c r="AD469" t="s">
        <v>1497</v>
      </c>
    </row>
    <row r="470" spans="1:30" x14ac:dyDescent="0.25">
      <c r="A470" t="s">
        <v>33</v>
      </c>
      <c r="D470" t="s">
        <v>565</v>
      </c>
      <c r="E470" t="s">
        <v>566</v>
      </c>
      <c r="F470" t="s">
        <v>87</v>
      </c>
      <c r="G470" t="s">
        <v>1498</v>
      </c>
      <c r="H470" t="s">
        <v>38</v>
      </c>
      <c r="I470" t="s">
        <v>106</v>
      </c>
      <c r="J470" t="s">
        <v>40</v>
      </c>
      <c r="K470" t="s">
        <v>41</v>
      </c>
      <c r="L470" t="s">
        <v>1499</v>
      </c>
      <c r="M470" t="s">
        <v>252</v>
      </c>
      <c r="N470" t="s">
        <v>1500</v>
      </c>
      <c r="O470" t="s">
        <v>109</v>
      </c>
      <c r="R470" t="s">
        <v>1501</v>
      </c>
      <c r="S470" t="s">
        <v>573</v>
      </c>
      <c r="V470" t="s">
        <v>574</v>
      </c>
      <c r="W470" t="s">
        <v>568</v>
      </c>
      <c r="AD470" t="s">
        <v>1502</v>
      </c>
    </row>
    <row r="471" spans="1:30" x14ac:dyDescent="0.25">
      <c r="A471" t="s">
        <v>33</v>
      </c>
      <c r="D471" t="s">
        <v>565</v>
      </c>
      <c r="E471" t="s">
        <v>566</v>
      </c>
      <c r="F471" t="s">
        <v>87</v>
      </c>
      <c r="G471" t="s">
        <v>1498</v>
      </c>
      <c r="H471" t="s">
        <v>38</v>
      </c>
      <c r="I471" t="s">
        <v>25</v>
      </c>
      <c r="J471" t="s">
        <v>69</v>
      </c>
      <c r="K471" t="s">
        <v>41</v>
      </c>
      <c r="L471" t="s">
        <v>1499</v>
      </c>
      <c r="M471" t="s">
        <v>252</v>
      </c>
      <c r="N471" t="s">
        <v>1500</v>
      </c>
      <c r="O471" t="s">
        <v>512</v>
      </c>
      <c r="R471" t="s">
        <v>549</v>
      </c>
      <c r="S471" t="s">
        <v>573</v>
      </c>
      <c r="V471" t="s">
        <v>574</v>
      </c>
      <c r="W471" t="s">
        <v>568</v>
      </c>
      <c r="AD471" t="s">
        <v>1503</v>
      </c>
    </row>
    <row r="472" spans="1:30" x14ac:dyDescent="0.25">
      <c r="A472" t="s">
        <v>33</v>
      </c>
      <c r="D472" t="s">
        <v>565</v>
      </c>
      <c r="E472" t="s">
        <v>566</v>
      </c>
      <c r="F472" t="s">
        <v>87</v>
      </c>
      <c r="G472" t="s">
        <v>1498</v>
      </c>
      <c r="H472" t="s">
        <v>38</v>
      </c>
      <c r="I472" t="s">
        <v>24</v>
      </c>
      <c r="J472" t="s">
        <v>69</v>
      </c>
      <c r="K472" t="s">
        <v>41</v>
      </c>
      <c r="L472" t="s">
        <v>1499</v>
      </c>
      <c r="M472" t="s">
        <v>252</v>
      </c>
      <c r="N472" t="s">
        <v>1500</v>
      </c>
      <c r="O472" t="s">
        <v>509</v>
      </c>
      <c r="R472" t="s">
        <v>547</v>
      </c>
      <c r="S472" t="s">
        <v>573</v>
      </c>
      <c r="V472" t="s">
        <v>574</v>
      </c>
      <c r="W472" t="s">
        <v>568</v>
      </c>
      <c r="AD472" t="s">
        <v>1504</v>
      </c>
    </row>
    <row r="473" spans="1:30" x14ac:dyDescent="0.25">
      <c r="A473" t="s">
        <v>33</v>
      </c>
      <c r="D473" t="s">
        <v>565</v>
      </c>
      <c r="E473" t="s">
        <v>566</v>
      </c>
      <c r="F473" t="s">
        <v>87</v>
      </c>
      <c r="G473" t="s">
        <v>710</v>
      </c>
      <c r="H473" t="s">
        <v>89</v>
      </c>
      <c r="I473" t="s">
        <v>180</v>
      </c>
      <c r="J473" t="s">
        <v>91</v>
      </c>
      <c r="K473" t="s">
        <v>92</v>
      </c>
      <c r="L473" t="s">
        <v>711</v>
      </c>
      <c r="M473" t="s">
        <v>94</v>
      </c>
      <c r="N473" t="s">
        <v>712</v>
      </c>
      <c r="O473" t="s">
        <v>184</v>
      </c>
      <c r="P473">
        <v>1E-3</v>
      </c>
      <c r="R473" t="s">
        <v>1505</v>
      </c>
      <c r="S473" t="s">
        <v>573</v>
      </c>
      <c r="V473" t="s">
        <v>574</v>
      </c>
      <c r="W473" t="s">
        <v>568</v>
      </c>
      <c r="AD473" t="s">
        <v>1506</v>
      </c>
    </row>
    <row r="474" spans="1:30" x14ac:dyDescent="0.25">
      <c r="A474" t="s">
        <v>33</v>
      </c>
      <c r="D474" t="s">
        <v>565</v>
      </c>
      <c r="E474" t="s">
        <v>566</v>
      </c>
      <c r="F474" t="s">
        <v>87</v>
      </c>
      <c r="G474" t="s">
        <v>710</v>
      </c>
      <c r="H474" t="s">
        <v>143</v>
      </c>
      <c r="I474" t="s">
        <v>180</v>
      </c>
      <c r="J474" t="s">
        <v>145</v>
      </c>
      <c r="K474" t="s">
        <v>146</v>
      </c>
      <c r="L474" t="s">
        <v>711</v>
      </c>
      <c r="M474" t="s">
        <v>252</v>
      </c>
      <c r="N474" t="s">
        <v>712</v>
      </c>
      <c r="O474" t="s">
        <v>181</v>
      </c>
      <c r="R474" t="s">
        <v>1507</v>
      </c>
      <c r="S474" t="s">
        <v>573</v>
      </c>
      <c r="V474" t="s">
        <v>574</v>
      </c>
      <c r="W474" t="s">
        <v>568</v>
      </c>
      <c r="AD474" t="s">
        <v>1508</v>
      </c>
    </row>
    <row r="475" spans="1:30" x14ac:dyDescent="0.25">
      <c r="A475" t="s">
        <v>33</v>
      </c>
      <c r="D475" t="s">
        <v>565</v>
      </c>
      <c r="E475" t="s">
        <v>566</v>
      </c>
      <c r="F475" t="s">
        <v>87</v>
      </c>
      <c r="G475" t="s">
        <v>710</v>
      </c>
      <c r="H475" t="s">
        <v>89</v>
      </c>
      <c r="I475" t="s">
        <v>716</v>
      </c>
      <c r="J475" t="s">
        <v>91</v>
      </c>
      <c r="K475" t="s">
        <v>92</v>
      </c>
      <c r="L475" t="s">
        <v>711</v>
      </c>
      <c r="M475" t="s">
        <v>94</v>
      </c>
      <c r="N475" t="s">
        <v>712</v>
      </c>
      <c r="O475" t="s">
        <v>974</v>
      </c>
      <c r="P475">
        <v>1E-3</v>
      </c>
      <c r="R475" t="s">
        <v>1509</v>
      </c>
      <c r="S475" t="s">
        <v>573</v>
      </c>
      <c r="V475" t="s">
        <v>574</v>
      </c>
      <c r="W475" t="s">
        <v>568</v>
      </c>
      <c r="AD475" t="s">
        <v>1510</v>
      </c>
    </row>
    <row r="476" spans="1:30" x14ac:dyDescent="0.25">
      <c r="A476" t="s">
        <v>33</v>
      </c>
      <c r="D476" t="s">
        <v>565</v>
      </c>
      <c r="E476" t="s">
        <v>566</v>
      </c>
      <c r="F476" t="s">
        <v>87</v>
      </c>
      <c r="G476" t="s">
        <v>710</v>
      </c>
      <c r="H476" t="s">
        <v>143</v>
      </c>
      <c r="I476" t="s">
        <v>716</v>
      </c>
      <c r="J476" t="s">
        <v>145</v>
      </c>
      <c r="K476" t="s">
        <v>146</v>
      </c>
      <c r="L476" t="s">
        <v>711</v>
      </c>
      <c r="M476" t="s">
        <v>252</v>
      </c>
      <c r="N476" t="s">
        <v>712</v>
      </c>
      <c r="O476" t="s">
        <v>977</v>
      </c>
      <c r="R476" t="s">
        <v>1511</v>
      </c>
      <c r="S476" t="s">
        <v>573</v>
      </c>
      <c r="V476" t="s">
        <v>574</v>
      </c>
      <c r="W476" t="s">
        <v>568</v>
      </c>
      <c r="AD476" t="s">
        <v>1512</v>
      </c>
    </row>
    <row r="477" spans="1:30" x14ac:dyDescent="0.25">
      <c r="A477" t="s">
        <v>33</v>
      </c>
      <c r="D477" t="s">
        <v>565</v>
      </c>
      <c r="E477" t="s">
        <v>566</v>
      </c>
      <c r="F477" t="s">
        <v>87</v>
      </c>
      <c r="G477" t="s">
        <v>710</v>
      </c>
      <c r="H477" t="s">
        <v>89</v>
      </c>
      <c r="I477" t="s">
        <v>721</v>
      </c>
      <c r="J477" t="s">
        <v>91</v>
      </c>
      <c r="K477" t="s">
        <v>92</v>
      </c>
      <c r="L477" t="s">
        <v>711</v>
      </c>
      <c r="M477" t="s">
        <v>94</v>
      </c>
      <c r="N477" t="s">
        <v>712</v>
      </c>
      <c r="O477" t="s">
        <v>983</v>
      </c>
      <c r="P477">
        <v>1E-3</v>
      </c>
      <c r="R477" t="s">
        <v>1513</v>
      </c>
      <c r="S477" t="s">
        <v>573</v>
      </c>
      <c r="V477" t="s">
        <v>574</v>
      </c>
      <c r="W477" t="s">
        <v>568</v>
      </c>
      <c r="AD477" t="s">
        <v>1514</v>
      </c>
    </row>
    <row r="478" spans="1:30" x14ac:dyDescent="0.25">
      <c r="A478" t="s">
        <v>33</v>
      </c>
      <c r="D478" t="s">
        <v>565</v>
      </c>
      <c r="E478" t="s">
        <v>566</v>
      </c>
      <c r="F478" t="s">
        <v>87</v>
      </c>
      <c r="G478" t="s">
        <v>710</v>
      </c>
      <c r="H478" t="s">
        <v>143</v>
      </c>
      <c r="I478" t="s">
        <v>721</v>
      </c>
      <c r="J478" t="s">
        <v>145</v>
      </c>
      <c r="K478" t="s">
        <v>146</v>
      </c>
      <c r="L478" t="s">
        <v>711</v>
      </c>
      <c r="M478" t="s">
        <v>252</v>
      </c>
      <c r="N478" t="s">
        <v>712</v>
      </c>
      <c r="O478" t="s">
        <v>986</v>
      </c>
      <c r="R478" t="s">
        <v>1515</v>
      </c>
      <c r="S478" t="s">
        <v>573</v>
      </c>
      <c r="V478" t="s">
        <v>574</v>
      </c>
      <c r="W478" t="s">
        <v>568</v>
      </c>
      <c r="AD478" t="s">
        <v>1516</v>
      </c>
    </row>
    <row r="479" spans="1:30" x14ac:dyDescent="0.25">
      <c r="A479" t="s">
        <v>33</v>
      </c>
      <c r="D479" t="s">
        <v>565</v>
      </c>
      <c r="E479" t="s">
        <v>566</v>
      </c>
      <c r="F479" t="s">
        <v>87</v>
      </c>
      <c r="G479" t="s">
        <v>710</v>
      </c>
      <c r="H479" t="s">
        <v>89</v>
      </c>
      <c r="I479" t="s">
        <v>100</v>
      </c>
      <c r="J479" t="s">
        <v>91</v>
      </c>
      <c r="K479" t="s">
        <v>92</v>
      </c>
      <c r="L479" t="s">
        <v>711</v>
      </c>
      <c r="M479" t="s">
        <v>94</v>
      </c>
      <c r="N479" t="s">
        <v>712</v>
      </c>
      <c r="O479" t="s">
        <v>445</v>
      </c>
      <c r="P479">
        <v>1E-3</v>
      </c>
      <c r="R479" t="s">
        <v>1517</v>
      </c>
      <c r="S479" t="s">
        <v>573</v>
      </c>
      <c r="V479" t="s">
        <v>574</v>
      </c>
      <c r="W479" t="s">
        <v>568</v>
      </c>
      <c r="AD479" t="s">
        <v>1518</v>
      </c>
    </row>
    <row r="480" spans="1:30" x14ac:dyDescent="0.25">
      <c r="A480" t="s">
        <v>33</v>
      </c>
      <c r="D480" t="s">
        <v>565</v>
      </c>
      <c r="E480" t="s">
        <v>566</v>
      </c>
      <c r="F480" t="s">
        <v>87</v>
      </c>
      <c r="G480" t="s">
        <v>710</v>
      </c>
      <c r="H480" t="s">
        <v>143</v>
      </c>
      <c r="I480" t="s">
        <v>100</v>
      </c>
      <c r="J480" t="s">
        <v>145</v>
      </c>
      <c r="K480" t="s">
        <v>146</v>
      </c>
      <c r="L480" t="s">
        <v>711</v>
      </c>
      <c r="M480" t="s">
        <v>252</v>
      </c>
      <c r="N480" t="s">
        <v>712</v>
      </c>
      <c r="O480" t="s">
        <v>442</v>
      </c>
      <c r="R480" t="s">
        <v>1511</v>
      </c>
      <c r="S480" t="s">
        <v>573</v>
      </c>
      <c r="V480" t="s">
        <v>574</v>
      </c>
      <c r="W480" t="s">
        <v>568</v>
      </c>
      <c r="AD480" t="s">
        <v>1519</v>
      </c>
    </row>
    <row r="481" spans="1:30" x14ac:dyDescent="0.25">
      <c r="A481" t="s">
        <v>33</v>
      </c>
      <c r="D481" t="s">
        <v>565</v>
      </c>
      <c r="E481" t="s">
        <v>566</v>
      </c>
      <c r="F481" t="s">
        <v>87</v>
      </c>
      <c r="G481" t="s">
        <v>710</v>
      </c>
      <c r="H481" t="s">
        <v>38</v>
      </c>
      <c r="I481" t="s">
        <v>106</v>
      </c>
      <c r="J481" t="s">
        <v>40</v>
      </c>
      <c r="K481" t="s">
        <v>41</v>
      </c>
      <c r="L481" t="s">
        <v>711</v>
      </c>
      <c r="M481" t="s">
        <v>252</v>
      </c>
      <c r="N481" t="s">
        <v>712</v>
      </c>
      <c r="O481" t="s">
        <v>109</v>
      </c>
      <c r="R481" t="s">
        <v>1520</v>
      </c>
      <c r="S481" t="s">
        <v>573</v>
      </c>
      <c r="V481" t="s">
        <v>574</v>
      </c>
      <c r="W481" t="s">
        <v>568</v>
      </c>
      <c r="AD481" t="s">
        <v>1521</v>
      </c>
    </row>
    <row r="482" spans="1:30" x14ac:dyDescent="0.25">
      <c r="A482" t="s">
        <v>33</v>
      </c>
      <c r="D482" t="s">
        <v>565</v>
      </c>
      <c r="E482" t="s">
        <v>566</v>
      </c>
      <c r="F482" t="s">
        <v>87</v>
      </c>
      <c r="G482" t="s">
        <v>710</v>
      </c>
      <c r="H482" t="s">
        <v>38</v>
      </c>
      <c r="I482" t="s">
        <v>25</v>
      </c>
      <c r="J482" t="s">
        <v>69</v>
      </c>
      <c r="K482" t="s">
        <v>41</v>
      </c>
      <c r="L482" t="s">
        <v>711</v>
      </c>
      <c r="M482" t="s">
        <v>252</v>
      </c>
      <c r="N482" t="s">
        <v>712</v>
      </c>
      <c r="O482" t="s">
        <v>512</v>
      </c>
      <c r="R482" t="s">
        <v>563</v>
      </c>
      <c r="S482" t="s">
        <v>573</v>
      </c>
      <c r="V482" t="s">
        <v>574</v>
      </c>
      <c r="W482" t="s">
        <v>568</v>
      </c>
      <c r="AD482" t="s">
        <v>1522</v>
      </c>
    </row>
    <row r="483" spans="1:30" x14ac:dyDescent="0.25">
      <c r="A483" t="s">
        <v>33</v>
      </c>
      <c r="D483" t="s">
        <v>565</v>
      </c>
      <c r="E483" t="s">
        <v>566</v>
      </c>
      <c r="F483" t="s">
        <v>87</v>
      </c>
      <c r="G483" t="s">
        <v>710</v>
      </c>
      <c r="H483" t="s">
        <v>38</v>
      </c>
      <c r="I483" t="s">
        <v>24</v>
      </c>
      <c r="J483" t="s">
        <v>69</v>
      </c>
      <c r="K483" t="s">
        <v>41</v>
      </c>
      <c r="L483" t="s">
        <v>711</v>
      </c>
      <c r="M483" t="s">
        <v>252</v>
      </c>
      <c r="N483" t="s">
        <v>712</v>
      </c>
      <c r="O483" t="s">
        <v>509</v>
      </c>
      <c r="R483" t="s">
        <v>561</v>
      </c>
      <c r="S483" t="s">
        <v>573</v>
      </c>
      <c r="V483" t="s">
        <v>574</v>
      </c>
      <c r="W483" t="s">
        <v>568</v>
      </c>
      <c r="AD483" t="s">
        <v>1523</v>
      </c>
    </row>
    <row r="484" spans="1:30" x14ac:dyDescent="0.25">
      <c r="A484" t="s">
        <v>33</v>
      </c>
      <c r="D484" t="s">
        <v>565</v>
      </c>
      <c r="E484" t="s">
        <v>566</v>
      </c>
      <c r="F484" t="s">
        <v>87</v>
      </c>
      <c r="G484" t="s">
        <v>1373</v>
      </c>
      <c r="H484" t="s">
        <v>89</v>
      </c>
      <c r="I484" t="s">
        <v>144</v>
      </c>
      <c r="J484" t="s">
        <v>91</v>
      </c>
      <c r="K484" t="s">
        <v>92</v>
      </c>
      <c r="L484" t="s">
        <v>1374</v>
      </c>
      <c r="M484" t="s">
        <v>94</v>
      </c>
      <c r="N484" t="s">
        <v>1375</v>
      </c>
      <c r="O484" t="s">
        <v>150</v>
      </c>
      <c r="P484">
        <v>1E-3</v>
      </c>
      <c r="R484" t="s">
        <v>1524</v>
      </c>
      <c r="S484" t="s">
        <v>573</v>
      </c>
      <c r="V484" t="s">
        <v>574</v>
      </c>
      <c r="W484" t="s">
        <v>568</v>
      </c>
      <c r="AD484" t="s">
        <v>1525</v>
      </c>
    </row>
    <row r="485" spans="1:30" x14ac:dyDescent="0.25">
      <c r="A485" t="s">
        <v>33</v>
      </c>
      <c r="D485" t="s">
        <v>565</v>
      </c>
      <c r="E485" t="s">
        <v>566</v>
      </c>
      <c r="F485" t="s">
        <v>87</v>
      </c>
      <c r="G485" t="s">
        <v>1373</v>
      </c>
      <c r="H485" t="s">
        <v>143</v>
      </c>
      <c r="I485" t="s">
        <v>144</v>
      </c>
      <c r="J485" t="s">
        <v>145</v>
      </c>
      <c r="K485" t="s">
        <v>146</v>
      </c>
      <c r="L485" t="s">
        <v>1374</v>
      </c>
      <c r="M485" t="s">
        <v>252</v>
      </c>
      <c r="N485" t="s">
        <v>1375</v>
      </c>
      <c r="O485" t="s">
        <v>147</v>
      </c>
      <c r="R485" t="s">
        <v>1526</v>
      </c>
      <c r="S485" t="s">
        <v>573</v>
      </c>
      <c r="V485" t="s">
        <v>574</v>
      </c>
      <c r="W485" t="s">
        <v>568</v>
      </c>
      <c r="AD485" t="s">
        <v>1527</v>
      </c>
    </row>
    <row r="486" spans="1:30" x14ac:dyDescent="0.25">
      <c r="A486" t="s">
        <v>33</v>
      </c>
      <c r="D486" t="s">
        <v>565</v>
      </c>
      <c r="E486" t="s">
        <v>566</v>
      </c>
      <c r="F486" t="s">
        <v>87</v>
      </c>
      <c r="G486" t="s">
        <v>1373</v>
      </c>
      <c r="H486" t="s">
        <v>38</v>
      </c>
      <c r="I486" t="s">
        <v>106</v>
      </c>
      <c r="J486" t="s">
        <v>40</v>
      </c>
      <c r="K486" t="s">
        <v>41</v>
      </c>
      <c r="L486" t="s">
        <v>1374</v>
      </c>
      <c r="M486" t="s">
        <v>252</v>
      </c>
      <c r="N486" t="s">
        <v>1375</v>
      </c>
      <c r="O486" t="s">
        <v>109</v>
      </c>
      <c r="R486" t="s">
        <v>1528</v>
      </c>
      <c r="S486" t="s">
        <v>573</v>
      </c>
      <c r="V486" t="s">
        <v>574</v>
      </c>
      <c r="W486" t="s">
        <v>568</v>
      </c>
      <c r="AD486" t="s">
        <v>1529</v>
      </c>
    </row>
    <row r="487" spans="1:30" x14ac:dyDescent="0.25">
      <c r="A487" t="s">
        <v>33</v>
      </c>
      <c r="D487" t="s">
        <v>565</v>
      </c>
      <c r="E487" t="s">
        <v>566</v>
      </c>
      <c r="F487" t="s">
        <v>87</v>
      </c>
      <c r="G487" t="s">
        <v>1373</v>
      </c>
      <c r="H487" t="s">
        <v>38</v>
      </c>
      <c r="I487" t="s">
        <v>25</v>
      </c>
      <c r="J487" t="s">
        <v>69</v>
      </c>
      <c r="K487" t="s">
        <v>41</v>
      </c>
      <c r="L487" t="s">
        <v>1374</v>
      </c>
      <c r="M487" t="s">
        <v>252</v>
      </c>
      <c r="N487" t="s">
        <v>1375</v>
      </c>
      <c r="O487" t="s">
        <v>512</v>
      </c>
      <c r="R487" t="s">
        <v>553</v>
      </c>
      <c r="S487" t="s">
        <v>573</v>
      </c>
      <c r="V487" t="s">
        <v>574</v>
      </c>
      <c r="W487" t="s">
        <v>568</v>
      </c>
      <c r="AD487" t="s">
        <v>1530</v>
      </c>
    </row>
    <row r="488" spans="1:30" x14ac:dyDescent="0.25">
      <c r="A488" t="s">
        <v>33</v>
      </c>
      <c r="D488" t="s">
        <v>565</v>
      </c>
      <c r="E488" t="s">
        <v>566</v>
      </c>
      <c r="F488" t="s">
        <v>87</v>
      </c>
      <c r="G488" t="s">
        <v>1373</v>
      </c>
      <c r="H488" t="s">
        <v>38</v>
      </c>
      <c r="I488" t="s">
        <v>24</v>
      </c>
      <c r="J488" t="s">
        <v>69</v>
      </c>
      <c r="K488" t="s">
        <v>41</v>
      </c>
      <c r="L488" t="s">
        <v>1374</v>
      </c>
      <c r="M488" t="s">
        <v>252</v>
      </c>
      <c r="N488" t="s">
        <v>1375</v>
      </c>
      <c r="O488" t="s">
        <v>509</v>
      </c>
      <c r="R488" t="s">
        <v>551</v>
      </c>
      <c r="S488" t="s">
        <v>573</v>
      </c>
      <c r="V488" t="s">
        <v>574</v>
      </c>
      <c r="W488" t="s">
        <v>568</v>
      </c>
      <c r="AD488" t="s">
        <v>1531</v>
      </c>
    </row>
    <row r="489" spans="1:30" x14ac:dyDescent="0.25">
      <c r="A489" t="s">
        <v>33</v>
      </c>
      <c r="D489" t="s">
        <v>565</v>
      </c>
      <c r="E489" t="s">
        <v>566</v>
      </c>
      <c r="F489" t="s">
        <v>87</v>
      </c>
      <c r="G489" t="s">
        <v>1386</v>
      </c>
      <c r="H489" t="s">
        <v>89</v>
      </c>
      <c r="I489" t="s">
        <v>144</v>
      </c>
      <c r="J489" t="s">
        <v>91</v>
      </c>
      <c r="K489" t="s">
        <v>92</v>
      </c>
      <c r="L489" t="s">
        <v>1387</v>
      </c>
      <c r="M489" t="s">
        <v>94</v>
      </c>
      <c r="N489" t="s">
        <v>1388</v>
      </c>
      <c r="O489" t="s">
        <v>150</v>
      </c>
      <c r="P489">
        <v>1E-3</v>
      </c>
      <c r="R489" t="s">
        <v>1532</v>
      </c>
      <c r="S489" t="s">
        <v>573</v>
      </c>
      <c r="V489" t="s">
        <v>574</v>
      </c>
      <c r="W489" t="s">
        <v>568</v>
      </c>
      <c r="AD489" t="s">
        <v>1533</v>
      </c>
    </row>
    <row r="490" spans="1:30" x14ac:dyDescent="0.25">
      <c r="A490" t="s">
        <v>33</v>
      </c>
      <c r="D490" t="s">
        <v>565</v>
      </c>
      <c r="E490" t="s">
        <v>566</v>
      </c>
      <c r="F490" t="s">
        <v>87</v>
      </c>
      <c r="G490" t="s">
        <v>1386</v>
      </c>
      <c r="H490" t="s">
        <v>143</v>
      </c>
      <c r="I490" t="s">
        <v>144</v>
      </c>
      <c r="J490" t="s">
        <v>145</v>
      </c>
      <c r="K490" t="s">
        <v>146</v>
      </c>
      <c r="L490" t="s">
        <v>1387</v>
      </c>
      <c r="M490" t="s">
        <v>252</v>
      </c>
      <c r="N490" t="s">
        <v>1388</v>
      </c>
      <c r="O490" t="s">
        <v>147</v>
      </c>
      <c r="R490" t="s">
        <v>1534</v>
      </c>
      <c r="S490" t="s">
        <v>573</v>
      </c>
      <c r="V490" t="s">
        <v>574</v>
      </c>
      <c r="W490" t="s">
        <v>568</v>
      </c>
      <c r="AD490" t="s">
        <v>1535</v>
      </c>
    </row>
    <row r="491" spans="1:30" x14ac:dyDescent="0.25">
      <c r="A491" t="s">
        <v>33</v>
      </c>
      <c r="D491" t="s">
        <v>565</v>
      </c>
      <c r="E491" t="s">
        <v>566</v>
      </c>
      <c r="F491" t="s">
        <v>87</v>
      </c>
      <c r="G491" t="s">
        <v>1386</v>
      </c>
      <c r="H491" t="s">
        <v>38</v>
      </c>
      <c r="I491" t="s">
        <v>106</v>
      </c>
      <c r="J491" t="s">
        <v>40</v>
      </c>
      <c r="K491" t="s">
        <v>41</v>
      </c>
      <c r="L491" t="s">
        <v>1387</v>
      </c>
      <c r="M491" t="s">
        <v>252</v>
      </c>
      <c r="N491" t="s">
        <v>1388</v>
      </c>
      <c r="O491" t="s">
        <v>109</v>
      </c>
      <c r="R491" t="s">
        <v>1536</v>
      </c>
      <c r="S491" t="s">
        <v>573</v>
      </c>
      <c r="V491" t="s">
        <v>574</v>
      </c>
      <c r="W491" t="s">
        <v>568</v>
      </c>
      <c r="AD491" t="s">
        <v>1537</v>
      </c>
    </row>
    <row r="492" spans="1:30" x14ac:dyDescent="0.25">
      <c r="A492" t="s">
        <v>33</v>
      </c>
      <c r="D492" t="s">
        <v>565</v>
      </c>
      <c r="E492" t="s">
        <v>566</v>
      </c>
      <c r="F492" t="s">
        <v>87</v>
      </c>
      <c r="G492" t="s">
        <v>1386</v>
      </c>
      <c r="H492" t="s">
        <v>38</v>
      </c>
      <c r="I492" t="s">
        <v>25</v>
      </c>
      <c r="J492" t="s">
        <v>69</v>
      </c>
      <c r="K492" t="s">
        <v>41</v>
      </c>
      <c r="L492" t="s">
        <v>1387</v>
      </c>
      <c r="M492" t="s">
        <v>252</v>
      </c>
      <c r="N492" t="s">
        <v>1388</v>
      </c>
      <c r="O492" t="s">
        <v>512</v>
      </c>
      <c r="R492" t="s">
        <v>529</v>
      </c>
      <c r="S492" t="s">
        <v>573</v>
      </c>
      <c r="V492" t="s">
        <v>574</v>
      </c>
      <c r="W492" t="s">
        <v>568</v>
      </c>
      <c r="AD492" t="s">
        <v>1538</v>
      </c>
    </row>
    <row r="493" spans="1:30" x14ac:dyDescent="0.25">
      <c r="A493" t="s">
        <v>33</v>
      </c>
      <c r="D493" t="s">
        <v>565</v>
      </c>
      <c r="E493" t="s">
        <v>566</v>
      </c>
      <c r="F493" t="s">
        <v>87</v>
      </c>
      <c r="G493" t="s">
        <v>1386</v>
      </c>
      <c r="H493" t="s">
        <v>38</v>
      </c>
      <c r="I493" t="s">
        <v>24</v>
      </c>
      <c r="J493" t="s">
        <v>69</v>
      </c>
      <c r="K493" t="s">
        <v>41</v>
      </c>
      <c r="L493" t="s">
        <v>1387</v>
      </c>
      <c r="M493" t="s">
        <v>252</v>
      </c>
      <c r="N493" t="s">
        <v>1388</v>
      </c>
      <c r="O493" t="s">
        <v>509</v>
      </c>
      <c r="R493" t="s">
        <v>527</v>
      </c>
      <c r="S493" t="s">
        <v>573</v>
      </c>
      <c r="V493" t="s">
        <v>574</v>
      </c>
      <c r="W493" t="s">
        <v>568</v>
      </c>
      <c r="AD493" t="s">
        <v>1539</v>
      </c>
    </row>
    <row r="494" spans="1:30" x14ac:dyDescent="0.25">
      <c r="A494" t="s">
        <v>33</v>
      </c>
      <c r="D494" t="s">
        <v>565</v>
      </c>
      <c r="E494" t="s">
        <v>566</v>
      </c>
      <c r="F494" t="s">
        <v>87</v>
      </c>
      <c r="G494" t="s">
        <v>1540</v>
      </c>
      <c r="H494" t="s">
        <v>38</v>
      </c>
      <c r="I494" t="s">
        <v>106</v>
      </c>
      <c r="J494" t="s">
        <v>40</v>
      </c>
      <c r="K494" t="s">
        <v>41</v>
      </c>
      <c r="L494" t="s">
        <v>1541</v>
      </c>
      <c r="M494" t="s">
        <v>252</v>
      </c>
      <c r="N494" t="s">
        <v>1542</v>
      </c>
      <c r="O494" t="s">
        <v>109</v>
      </c>
      <c r="R494" t="s">
        <v>1543</v>
      </c>
      <c r="S494" t="s">
        <v>573</v>
      </c>
      <c r="V494" t="s">
        <v>574</v>
      </c>
      <c r="W494" t="s">
        <v>568</v>
      </c>
      <c r="AD494" t="s">
        <v>1544</v>
      </c>
    </row>
    <row r="495" spans="1:30" x14ac:dyDescent="0.25">
      <c r="A495" t="s">
        <v>33</v>
      </c>
      <c r="D495" t="s">
        <v>565</v>
      </c>
      <c r="E495" t="s">
        <v>566</v>
      </c>
      <c r="F495" t="s">
        <v>87</v>
      </c>
      <c r="G495" t="s">
        <v>1540</v>
      </c>
      <c r="H495" t="s">
        <v>38</v>
      </c>
      <c r="I495" t="s">
        <v>25</v>
      </c>
      <c r="J495" t="s">
        <v>69</v>
      </c>
      <c r="K495" t="s">
        <v>41</v>
      </c>
      <c r="L495" t="s">
        <v>1541</v>
      </c>
      <c r="M495" t="s">
        <v>252</v>
      </c>
      <c r="N495" t="s">
        <v>1542</v>
      </c>
      <c r="O495" t="s">
        <v>512</v>
      </c>
      <c r="R495" t="s">
        <v>1545</v>
      </c>
      <c r="S495" t="s">
        <v>573</v>
      </c>
      <c r="V495" t="s">
        <v>574</v>
      </c>
      <c r="W495" t="s">
        <v>568</v>
      </c>
      <c r="AD495" t="s">
        <v>1546</v>
      </c>
    </row>
    <row r="496" spans="1:30" x14ac:dyDescent="0.25">
      <c r="A496" t="s">
        <v>33</v>
      </c>
      <c r="D496" t="s">
        <v>565</v>
      </c>
      <c r="E496" t="s">
        <v>566</v>
      </c>
      <c r="F496" t="s">
        <v>87</v>
      </c>
      <c r="G496" t="s">
        <v>1540</v>
      </c>
      <c r="H496" t="s">
        <v>38</v>
      </c>
      <c r="I496" t="s">
        <v>24</v>
      </c>
      <c r="J496" t="s">
        <v>69</v>
      </c>
      <c r="K496" t="s">
        <v>41</v>
      </c>
      <c r="L496" t="s">
        <v>1541</v>
      </c>
      <c r="M496" t="s">
        <v>252</v>
      </c>
      <c r="N496" t="s">
        <v>1542</v>
      </c>
      <c r="O496" t="s">
        <v>509</v>
      </c>
      <c r="R496" t="s">
        <v>1547</v>
      </c>
      <c r="S496" t="s">
        <v>573</v>
      </c>
      <c r="V496" t="s">
        <v>574</v>
      </c>
      <c r="W496" t="s">
        <v>568</v>
      </c>
      <c r="AD496" t="s">
        <v>1548</v>
      </c>
    </row>
    <row r="497" spans="1:30" x14ac:dyDescent="0.25">
      <c r="A497" t="s">
        <v>33</v>
      </c>
      <c r="D497" t="s">
        <v>565</v>
      </c>
      <c r="E497" t="s">
        <v>566</v>
      </c>
      <c r="F497" t="s">
        <v>87</v>
      </c>
      <c r="G497" t="s">
        <v>1353</v>
      </c>
      <c r="H497" t="s">
        <v>89</v>
      </c>
      <c r="I497" t="s">
        <v>144</v>
      </c>
      <c r="J497" t="s">
        <v>91</v>
      </c>
      <c r="K497" t="s">
        <v>92</v>
      </c>
      <c r="L497" t="s">
        <v>1354</v>
      </c>
      <c r="M497" t="s">
        <v>94</v>
      </c>
      <c r="N497" t="s">
        <v>459</v>
      </c>
      <c r="O497" t="s">
        <v>150</v>
      </c>
      <c r="P497">
        <v>1E-3</v>
      </c>
      <c r="R497" t="s">
        <v>1549</v>
      </c>
      <c r="S497" t="s">
        <v>573</v>
      </c>
      <c r="V497" t="s">
        <v>574</v>
      </c>
      <c r="W497" t="s">
        <v>568</v>
      </c>
      <c r="AD497" t="s">
        <v>1550</v>
      </c>
    </row>
    <row r="498" spans="1:30" x14ac:dyDescent="0.25">
      <c r="A498" t="s">
        <v>33</v>
      </c>
      <c r="D498" t="s">
        <v>565</v>
      </c>
      <c r="E498" t="s">
        <v>566</v>
      </c>
      <c r="F498" t="s">
        <v>87</v>
      </c>
      <c r="G498" t="s">
        <v>1353</v>
      </c>
      <c r="H498" t="s">
        <v>143</v>
      </c>
      <c r="I498" t="s">
        <v>144</v>
      </c>
      <c r="J498" t="s">
        <v>145</v>
      </c>
      <c r="K498" t="s">
        <v>146</v>
      </c>
      <c r="L498" t="s">
        <v>1354</v>
      </c>
      <c r="M498" t="s">
        <v>252</v>
      </c>
      <c r="N498" t="s">
        <v>459</v>
      </c>
      <c r="O498" t="s">
        <v>147</v>
      </c>
      <c r="R498" t="s">
        <v>1551</v>
      </c>
      <c r="S498" t="s">
        <v>573</v>
      </c>
      <c r="V498" t="s">
        <v>574</v>
      </c>
      <c r="W498" t="s">
        <v>568</v>
      </c>
      <c r="AD498" t="s">
        <v>1552</v>
      </c>
    </row>
    <row r="499" spans="1:30" x14ac:dyDescent="0.25">
      <c r="A499" t="s">
        <v>33</v>
      </c>
      <c r="D499" t="s">
        <v>565</v>
      </c>
      <c r="E499" t="s">
        <v>566</v>
      </c>
      <c r="F499" t="s">
        <v>87</v>
      </c>
      <c r="G499" t="s">
        <v>1353</v>
      </c>
      <c r="H499" t="s">
        <v>89</v>
      </c>
      <c r="I499" t="s">
        <v>180</v>
      </c>
      <c r="J499" t="s">
        <v>91</v>
      </c>
      <c r="K499" t="s">
        <v>92</v>
      </c>
      <c r="L499" t="s">
        <v>1354</v>
      </c>
      <c r="M499" t="s">
        <v>94</v>
      </c>
      <c r="N499" t="s">
        <v>459</v>
      </c>
      <c r="O499" t="s">
        <v>184</v>
      </c>
      <c r="P499">
        <v>1E-3</v>
      </c>
      <c r="R499" t="s">
        <v>1553</v>
      </c>
      <c r="S499" t="s">
        <v>573</v>
      </c>
      <c r="V499" t="s">
        <v>574</v>
      </c>
      <c r="W499" t="s">
        <v>568</v>
      </c>
      <c r="AD499" t="s">
        <v>465</v>
      </c>
    </row>
    <row r="500" spans="1:30" x14ac:dyDescent="0.25">
      <c r="A500" t="s">
        <v>33</v>
      </c>
      <c r="D500" t="s">
        <v>565</v>
      </c>
      <c r="E500" t="s">
        <v>566</v>
      </c>
      <c r="F500" t="s">
        <v>87</v>
      </c>
      <c r="G500" t="s">
        <v>1353</v>
      </c>
      <c r="H500" t="s">
        <v>143</v>
      </c>
      <c r="I500" t="s">
        <v>180</v>
      </c>
      <c r="J500" t="s">
        <v>145</v>
      </c>
      <c r="K500" t="s">
        <v>146</v>
      </c>
      <c r="L500" t="s">
        <v>1354</v>
      </c>
      <c r="M500" t="s">
        <v>252</v>
      </c>
      <c r="N500" t="s">
        <v>459</v>
      </c>
      <c r="O500" t="s">
        <v>181</v>
      </c>
      <c r="R500" t="s">
        <v>1554</v>
      </c>
      <c r="S500" t="s">
        <v>573</v>
      </c>
      <c r="V500" t="s">
        <v>574</v>
      </c>
      <c r="W500" t="s">
        <v>568</v>
      </c>
      <c r="AD500" t="s">
        <v>463</v>
      </c>
    </row>
    <row r="501" spans="1:30" x14ac:dyDescent="0.25">
      <c r="A501" t="s">
        <v>33</v>
      </c>
      <c r="D501" t="s">
        <v>565</v>
      </c>
      <c r="E501" t="s">
        <v>566</v>
      </c>
      <c r="F501" t="s">
        <v>87</v>
      </c>
      <c r="G501" t="s">
        <v>1353</v>
      </c>
      <c r="H501" t="s">
        <v>38</v>
      </c>
      <c r="I501" t="s">
        <v>106</v>
      </c>
      <c r="J501" t="s">
        <v>40</v>
      </c>
      <c r="K501" t="s">
        <v>41</v>
      </c>
      <c r="L501" t="s">
        <v>1354</v>
      </c>
      <c r="M501" t="s">
        <v>252</v>
      </c>
      <c r="N501" t="s">
        <v>459</v>
      </c>
      <c r="O501" t="s">
        <v>109</v>
      </c>
      <c r="R501" t="s">
        <v>1555</v>
      </c>
      <c r="S501" t="s">
        <v>573</v>
      </c>
      <c r="V501" t="s">
        <v>574</v>
      </c>
      <c r="W501" t="s">
        <v>568</v>
      </c>
      <c r="AD501" t="s">
        <v>461</v>
      </c>
    </row>
    <row r="502" spans="1:30" x14ac:dyDescent="0.25">
      <c r="A502" t="s">
        <v>33</v>
      </c>
      <c r="D502" t="s">
        <v>565</v>
      </c>
      <c r="E502" t="s">
        <v>566</v>
      </c>
      <c r="F502" t="s">
        <v>87</v>
      </c>
      <c r="G502" t="s">
        <v>1353</v>
      </c>
      <c r="H502" t="s">
        <v>38</v>
      </c>
      <c r="I502" t="s">
        <v>25</v>
      </c>
      <c r="J502" t="s">
        <v>69</v>
      </c>
      <c r="K502" t="s">
        <v>41</v>
      </c>
      <c r="L502" t="s">
        <v>1354</v>
      </c>
      <c r="M502" t="s">
        <v>252</v>
      </c>
      <c r="N502" t="s">
        <v>459</v>
      </c>
      <c r="O502" t="s">
        <v>512</v>
      </c>
      <c r="R502" t="s">
        <v>556</v>
      </c>
      <c r="S502" t="s">
        <v>573</v>
      </c>
      <c r="V502" t="s">
        <v>574</v>
      </c>
      <c r="W502" t="s">
        <v>568</v>
      </c>
      <c r="AD502" t="s">
        <v>560</v>
      </c>
    </row>
    <row r="503" spans="1:30" x14ac:dyDescent="0.25">
      <c r="A503" t="s">
        <v>33</v>
      </c>
      <c r="D503" t="s">
        <v>565</v>
      </c>
      <c r="E503" t="s">
        <v>566</v>
      </c>
      <c r="F503" t="s">
        <v>87</v>
      </c>
      <c r="G503" t="s">
        <v>1353</v>
      </c>
      <c r="H503" t="s">
        <v>38</v>
      </c>
      <c r="I503" t="s">
        <v>24</v>
      </c>
      <c r="J503" t="s">
        <v>69</v>
      </c>
      <c r="K503" t="s">
        <v>41</v>
      </c>
      <c r="L503" t="s">
        <v>1354</v>
      </c>
      <c r="M503" t="s">
        <v>252</v>
      </c>
      <c r="N503" t="s">
        <v>459</v>
      </c>
      <c r="O503" t="s">
        <v>509</v>
      </c>
      <c r="R503" t="s">
        <v>555</v>
      </c>
      <c r="S503" t="s">
        <v>573</v>
      </c>
      <c r="V503" t="s">
        <v>574</v>
      </c>
      <c r="W503" t="s">
        <v>568</v>
      </c>
      <c r="AD503" t="s">
        <v>558</v>
      </c>
    </row>
    <row r="504" spans="1:30" x14ac:dyDescent="0.25">
      <c r="A504" t="s">
        <v>33</v>
      </c>
      <c r="D504" t="s">
        <v>565</v>
      </c>
      <c r="E504" t="s">
        <v>566</v>
      </c>
      <c r="F504" t="s">
        <v>87</v>
      </c>
      <c r="G504" t="s">
        <v>1556</v>
      </c>
      <c r="H504" t="s">
        <v>38</v>
      </c>
      <c r="I504" t="s">
        <v>106</v>
      </c>
      <c r="J504" t="s">
        <v>40</v>
      </c>
      <c r="K504" t="s">
        <v>41</v>
      </c>
      <c r="L504" t="s">
        <v>1557</v>
      </c>
      <c r="M504" t="s">
        <v>252</v>
      </c>
      <c r="N504" t="s">
        <v>1558</v>
      </c>
      <c r="O504" t="s">
        <v>109</v>
      </c>
      <c r="R504" t="s">
        <v>1559</v>
      </c>
      <c r="S504" t="s">
        <v>573</v>
      </c>
      <c r="V504" t="s">
        <v>574</v>
      </c>
      <c r="W504" t="s">
        <v>568</v>
      </c>
      <c r="AD504" t="s">
        <v>1560</v>
      </c>
    </row>
    <row r="505" spans="1:30" x14ac:dyDescent="0.25">
      <c r="A505" t="s">
        <v>33</v>
      </c>
      <c r="D505" t="s">
        <v>565</v>
      </c>
      <c r="E505" t="s">
        <v>566</v>
      </c>
      <c r="F505" t="s">
        <v>87</v>
      </c>
      <c r="G505" t="s">
        <v>1556</v>
      </c>
      <c r="H505" t="s">
        <v>38</v>
      </c>
      <c r="I505" t="s">
        <v>25</v>
      </c>
      <c r="J505" t="s">
        <v>69</v>
      </c>
      <c r="K505" t="s">
        <v>41</v>
      </c>
      <c r="L505" t="s">
        <v>1557</v>
      </c>
      <c r="M505" t="s">
        <v>252</v>
      </c>
      <c r="N505" t="s">
        <v>1558</v>
      </c>
      <c r="O505" t="s">
        <v>512</v>
      </c>
      <c r="R505" t="s">
        <v>1561</v>
      </c>
      <c r="S505" t="s">
        <v>573</v>
      </c>
      <c r="V505" t="s">
        <v>574</v>
      </c>
      <c r="W505" t="s">
        <v>568</v>
      </c>
      <c r="AD505" t="s">
        <v>1562</v>
      </c>
    </row>
    <row r="506" spans="1:30" x14ac:dyDescent="0.25">
      <c r="A506" t="s">
        <v>33</v>
      </c>
      <c r="D506" t="s">
        <v>565</v>
      </c>
      <c r="E506" t="s">
        <v>566</v>
      </c>
      <c r="F506" t="s">
        <v>87</v>
      </c>
      <c r="G506" t="s">
        <v>1556</v>
      </c>
      <c r="H506" t="s">
        <v>38</v>
      </c>
      <c r="I506" t="s">
        <v>24</v>
      </c>
      <c r="J506" t="s">
        <v>69</v>
      </c>
      <c r="K506" t="s">
        <v>41</v>
      </c>
      <c r="L506" t="s">
        <v>1557</v>
      </c>
      <c r="M506" t="s">
        <v>252</v>
      </c>
      <c r="N506" t="s">
        <v>1558</v>
      </c>
      <c r="O506" t="s">
        <v>509</v>
      </c>
      <c r="R506" t="s">
        <v>1563</v>
      </c>
      <c r="S506" t="s">
        <v>573</v>
      </c>
      <c r="V506" t="s">
        <v>574</v>
      </c>
      <c r="W506" t="s">
        <v>568</v>
      </c>
      <c r="AD506" t="s">
        <v>1564</v>
      </c>
    </row>
    <row r="507" spans="1:30" x14ac:dyDescent="0.25">
      <c r="A507" t="s">
        <v>33</v>
      </c>
      <c r="D507" t="s">
        <v>565</v>
      </c>
      <c r="E507" t="s">
        <v>566</v>
      </c>
      <c r="H507" t="s">
        <v>280</v>
      </c>
      <c r="I507" t="s">
        <v>504</v>
      </c>
      <c r="J507" t="s">
        <v>282</v>
      </c>
      <c r="K507" t="s">
        <v>283</v>
      </c>
      <c r="L507" t="s">
        <v>1565</v>
      </c>
      <c r="N507" t="s">
        <v>1566</v>
      </c>
      <c r="O507" t="s">
        <v>505</v>
      </c>
      <c r="Q507" t="s">
        <v>1567</v>
      </c>
      <c r="R507" t="s">
        <v>1568</v>
      </c>
      <c r="S507" t="s">
        <v>573</v>
      </c>
      <c r="V507" t="s">
        <v>574</v>
      </c>
      <c r="W507" t="s">
        <v>568</v>
      </c>
      <c r="AD507" t="s">
        <v>1569</v>
      </c>
    </row>
    <row r="508" spans="1:30" x14ac:dyDescent="0.25">
      <c r="A508" t="s">
        <v>33</v>
      </c>
      <c r="D508" t="s">
        <v>565</v>
      </c>
      <c r="E508" t="s">
        <v>566</v>
      </c>
      <c r="H508" t="s">
        <v>89</v>
      </c>
      <c r="I508" t="s">
        <v>1570</v>
      </c>
      <c r="J508" t="s">
        <v>1571</v>
      </c>
      <c r="K508" t="s">
        <v>1572</v>
      </c>
      <c r="L508" t="s">
        <v>1565</v>
      </c>
      <c r="M508" t="s">
        <v>1124</v>
      </c>
      <c r="N508" t="s">
        <v>1566</v>
      </c>
      <c r="O508" t="s">
        <v>1573</v>
      </c>
      <c r="R508" t="s">
        <v>1574</v>
      </c>
      <c r="S508" t="s">
        <v>573</v>
      </c>
      <c r="V508" t="s">
        <v>574</v>
      </c>
      <c r="W508" t="s">
        <v>568</v>
      </c>
      <c r="AD508" t="s">
        <v>1575</v>
      </c>
    </row>
    <row r="509" spans="1:30" x14ac:dyDescent="0.25">
      <c r="A509" t="s">
        <v>33</v>
      </c>
      <c r="D509" t="s">
        <v>565</v>
      </c>
      <c r="E509" t="s">
        <v>566</v>
      </c>
      <c r="H509" t="s">
        <v>89</v>
      </c>
      <c r="I509" t="s">
        <v>1570</v>
      </c>
      <c r="J509" t="s">
        <v>1571</v>
      </c>
      <c r="K509" t="s">
        <v>1576</v>
      </c>
      <c r="L509" t="s">
        <v>1565</v>
      </c>
      <c r="M509" t="s">
        <v>1124</v>
      </c>
      <c r="N509" t="s">
        <v>1566</v>
      </c>
      <c r="O509" t="s">
        <v>1573</v>
      </c>
      <c r="R509" t="s">
        <v>1577</v>
      </c>
      <c r="S509" t="s">
        <v>573</v>
      </c>
      <c r="V509" t="s">
        <v>574</v>
      </c>
      <c r="W509" t="s">
        <v>568</v>
      </c>
      <c r="AD509" t="s">
        <v>1575</v>
      </c>
    </row>
    <row r="510" spans="1:30" x14ac:dyDescent="0.25">
      <c r="A510" t="s">
        <v>33</v>
      </c>
      <c r="D510" t="s">
        <v>565</v>
      </c>
      <c r="E510" t="s">
        <v>566</v>
      </c>
      <c r="H510" t="s">
        <v>166</v>
      </c>
      <c r="I510" t="s">
        <v>1570</v>
      </c>
      <c r="J510" t="s">
        <v>167</v>
      </c>
      <c r="K510" t="s">
        <v>41</v>
      </c>
      <c r="L510" t="s">
        <v>1565</v>
      </c>
      <c r="N510" t="s">
        <v>1566</v>
      </c>
      <c r="O510" t="s">
        <v>1578</v>
      </c>
      <c r="Q510" t="s">
        <v>1579</v>
      </c>
      <c r="R510" t="s">
        <v>1580</v>
      </c>
      <c r="S510" t="s">
        <v>573</v>
      </c>
      <c r="V510" t="s">
        <v>574</v>
      </c>
      <c r="W510" t="s">
        <v>568</v>
      </c>
      <c r="AD510" t="s">
        <v>1581</v>
      </c>
    </row>
    <row r="511" spans="1:30" x14ac:dyDescent="0.25">
      <c r="A511" t="s">
        <v>33</v>
      </c>
      <c r="D511" t="s">
        <v>565</v>
      </c>
      <c r="E511" t="s">
        <v>566</v>
      </c>
      <c r="F511" t="s">
        <v>87</v>
      </c>
      <c r="G511" t="s">
        <v>1077</v>
      </c>
      <c r="H511" t="s">
        <v>89</v>
      </c>
      <c r="I511" t="s">
        <v>180</v>
      </c>
      <c r="J511" t="s">
        <v>91</v>
      </c>
      <c r="K511" t="s">
        <v>92</v>
      </c>
      <c r="L511" t="s">
        <v>1078</v>
      </c>
      <c r="M511" t="s">
        <v>94</v>
      </c>
      <c r="N511" t="s">
        <v>1079</v>
      </c>
      <c r="O511" t="s">
        <v>96</v>
      </c>
      <c r="P511">
        <v>1E-3</v>
      </c>
      <c r="R511" t="s">
        <v>1582</v>
      </c>
      <c r="S511" t="s">
        <v>573</v>
      </c>
      <c r="V511" t="s">
        <v>574</v>
      </c>
      <c r="W511" t="s">
        <v>568</v>
      </c>
      <c r="AD511" t="s">
        <v>1583</v>
      </c>
    </row>
    <row r="512" spans="1:30" x14ac:dyDescent="0.25">
      <c r="A512" t="s">
        <v>33</v>
      </c>
      <c r="D512" t="s">
        <v>565</v>
      </c>
      <c r="E512" t="s">
        <v>566</v>
      </c>
      <c r="F512" t="s">
        <v>87</v>
      </c>
      <c r="G512" t="s">
        <v>1077</v>
      </c>
      <c r="H512" t="s">
        <v>166</v>
      </c>
      <c r="I512" t="s">
        <v>216</v>
      </c>
      <c r="J512" t="s">
        <v>167</v>
      </c>
      <c r="K512" t="s">
        <v>41</v>
      </c>
      <c r="L512" t="s">
        <v>1078</v>
      </c>
      <c r="N512" t="s">
        <v>1079</v>
      </c>
      <c r="O512" t="s">
        <v>217</v>
      </c>
      <c r="Q512" t="s">
        <v>1584</v>
      </c>
      <c r="R512" t="s">
        <v>1585</v>
      </c>
      <c r="S512" t="s">
        <v>573</v>
      </c>
      <c r="V512" t="s">
        <v>574</v>
      </c>
      <c r="W512" t="s">
        <v>568</v>
      </c>
      <c r="AD512" t="s">
        <v>1586</v>
      </c>
    </row>
    <row r="513" spans="1:30" x14ac:dyDescent="0.25">
      <c r="A513" t="s">
        <v>33</v>
      </c>
      <c r="D513" t="s">
        <v>565</v>
      </c>
      <c r="E513" t="s">
        <v>566</v>
      </c>
      <c r="F513" t="s">
        <v>78</v>
      </c>
      <c r="G513" t="s">
        <v>1587</v>
      </c>
      <c r="H513" t="s">
        <v>280</v>
      </c>
      <c r="I513" t="s">
        <v>281</v>
      </c>
      <c r="J513" t="s">
        <v>282</v>
      </c>
      <c r="K513" t="s">
        <v>283</v>
      </c>
      <c r="L513" t="s">
        <v>1588</v>
      </c>
      <c r="N513" t="s">
        <v>1589</v>
      </c>
      <c r="O513" t="s">
        <v>284</v>
      </c>
      <c r="Q513" t="s">
        <v>285</v>
      </c>
      <c r="R513" t="s">
        <v>1590</v>
      </c>
      <c r="S513" t="s">
        <v>573</v>
      </c>
      <c r="V513" t="s">
        <v>574</v>
      </c>
      <c r="W513" t="s">
        <v>568</v>
      </c>
      <c r="AD513" t="s">
        <v>1591</v>
      </c>
    </row>
    <row r="514" spans="1:30" x14ac:dyDescent="0.25">
      <c r="A514" t="s">
        <v>33</v>
      </c>
      <c r="D514" t="s">
        <v>565</v>
      </c>
      <c r="E514" t="s">
        <v>566</v>
      </c>
      <c r="F514" t="s">
        <v>78</v>
      </c>
      <c r="G514" t="s">
        <v>1587</v>
      </c>
      <c r="H514" t="s">
        <v>38</v>
      </c>
      <c r="I514" t="s">
        <v>257</v>
      </c>
      <c r="J514" t="s">
        <v>40</v>
      </c>
      <c r="K514" t="s">
        <v>41</v>
      </c>
      <c r="L514" t="s">
        <v>1588</v>
      </c>
      <c r="M514" t="s">
        <v>82</v>
      </c>
      <c r="N514" t="s">
        <v>1589</v>
      </c>
      <c r="O514" t="s">
        <v>258</v>
      </c>
      <c r="R514" t="s">
        <v>1592</v>
      </c>
      <c r="S514" t="s">
        <v>573</v>
      </c>
      <c r="V514" t="s">
        <v>574</v>
      </c>
      <c r="W514" t="s">
        <v>568</v>
      </c>
      <c r="AD514" t="s">
        <v>1593</v>
      </c>
    </row>
    <row r="515" spans="1:30" x14ac:dyDescent="0.25">
      <c r="A515" t="s">
        <v>33</v>
      </c>
      <c r="D515" t="s">
        <v>565</v>
      </c>
      <c r="E515" t="s">
        <v>566</v>
      </c>
      <c r="F515" t="s">
        <v>78</v>
      </c>
      <c r="G515" t="s">
        <v>1587</v>
      </c>
      <c r="H515" t="s">
        <v>143</v>
      </c>
      <c r="I515" t="s">
        <v>276</v>
      </c>
      <c r="J515" t="s">
        <v>145</v>
      </c>
      <c r="K515" t="s">
        <v>146</v>
      </c>
      <c r="L515" t="s">
        <v>1588</v>
      </c>
      <c r="N515" t="s">
        <v>1589</v>
      </c>
      <c r="O515" t="s">
        <v>277</v>
      </c>
      <c r="R515" t="s">
        <v>1594</v>
      </c>
      <c r="S515" t="s">
        <v>573</v>
      </c>
      <c r="V515" t="s">
        <v>574</v>
      </c>
      <c r="W515" t="s">
        <v>568</v>
      </c>
      <c r="X515" t="s">
        <v>270</v>
      </c>
      <c r="AD515" t="s">
        <v>1595</v>
      </c>
    </row>
    <row r="516" spans="1:30" x14ac:dyDescent="0.25">
      <c r="A516" t="s">
        <v>33</v>
      </c>
      <c r="D516" t="s">
        <v>565</v>
      </c>
      <c r="E516" t="s">
        <v>566</v>
      </c>
      <c r="F516" t="s">
        <v>78</v>
      </c>
      <c r="G516" t="s">
        <v>1587</v>
      </c>
      <c r="H516" t="s">
        <v>143</v>
      </c>
      <c r="I516" t="s">
        <v>272</v>
      </c>
      <c r="J516" t="s">
        <v>145</v>
      </c>
      <c r="K516" t="s">
        <v>146</v>
      </c>
      <c r="L516" t="s">
        <v>1588</v>
      </c>
      <c r="N516" t="s">
        <v>1589</v>
      </c>
      <c r="O516" t="s">
        <v>273</v>
      </c>
      <c r="R516" t="s">
        <v>1596</v>
      </c>
      <c r="S516" t="s">
        <v>573</v>
      </c>
      <c r="V516" t="s">
        <v>574</v>
      </c>
      <c r="W516" t="s">
        <v>568</v>
      </c>
      <c r="X516" t="s">
        <v>270</v>
      </c>
      <c r="AD516" t="s">
        <v>1597</v>
      </c>
    </row>
    <row r="517" spans="1:30" x14ac:dyDescent="0.25">
      <c r="A517" t="s">
        <v>33</v>
      </c>
      <c r="D517" t="s">
        <v>565</v>
      </c>
      <c r="E517" t="s">
        <v>566</v>
      </c>
      <c r="F517" t="s">
        <v>78</v>
      </c>
      <c r="G517" t="s">
        <v>1587</v>
      </c>
      <c r="H517" t="s">
        <v>143</v>
      </c>
      <c r="I517" t="s">
        <v>257</v>
      </c>
      <c r="J517" t="s">
        <v>145</v>
      </c>
      <c r="K517" t="s">
        <v>146</v>
      </c>
      <c r="L517" t="s">
        <v>1588</v>
      </c>
      <c r="M517" t="s">
        <v>82</v>
      </c>
      <c r="N517" t="s">
        <v>1589</v>
      </c>
      <c r="O517" t="s">
        <v>292</v>
      </c>
      <c r="R517" t="s">
        <v>1598</v>
      </c>
      <c r="S517" t="s">
        <v>573</v>
      </c>
      <c r="V517" t="s">
        <v>574</v>
      </c>
      <c r="W517" t="s">
        <v>568</v>
      </c>
      <c r="AD517" t="s">
        <v>1599</v>
      </c>
    </row>
    <row r="518" spans="1:30" x14ac:dyDescent="0.25">
      <c r="A518" t="s">
        <v>33</v>
      </c>
      <c r="D518" t="s">
        <v>565</v>
      </c>
      <c r="E518" t="s">
        <v>566</v>
      </c>
      <c r="F518" t="s">
        <v>78</v>
      </c>
      <c r="G518" t="s">
        <v>1587</v>
      </c>
      <c r="H518" t="s">
        <v>143</v>
      </c>
      <c r="I518" t="s">
        <v>295</v>
      </c>
      <c r="J518" t="s">
        <v>145</v>
      </c>
      <c r="K518" t="s">
        <v>146</v>
      </c>
      <c r="L518" t="s">
        <v>1588</v>
      </c>
      <c r="M518" t="s">
        <v>82</v>
      </c>
      <c r="N518" t="s">
        <v>1589</v>
      </c>
      <c r="O518" t="s">
        <v>296</v>
      </c>
      <c r="R518" t="s">
        <v>1600</v>
      </c>
      <c r="S518" t="s">
        <v>573</v>
      </c>
      <c r="V518" t="s">
        <v>574</v>
      </c>
      <c r="W518" t="s">
        <v>568</v>
      </c>
      <c r="AD518" t="s">
        <v>1601</v>
      </c>
    </row>
    <row r="519" spans="1:30" x14ac:dyDescent="0.25">
      <c r="A519" t="s">
        <v>33</v>
      </c>
      <c r="D519" t="s">
        <v>565</v>
      </c>
      <c r="E519" t="s">
        <v>566</v>
      </c>
      <c r="F519" t="s">
        <v>78</v>
      </c>
      <c r="G519" t="s">
        <v>1587</v>
      </c>
      <c r="H519" t="s">
        <v>143</v>
      </c>
      <c r="I519" t="s">
        <v>299</v>
      </c>
      <c r="J519" t="s">
        <v>145</v>
      </c>
      <c r="K519" t="s">
        <v>146</v>
      </c>
      <c r="L519" t="s">
        <v>1588</v>
      </c>
      <c r="M519" t="s">
        <v>82</v>
      </c>
      <c r="N519" t="s">
        <v>1589</v>
      </c>
      <c r="O519" t="s">
        <v>300</v>
      </c>
      <c r="R519" t="s">
        <v>1602</v>
      </c>
      <c r="S519" t="s">
        <v>573</v>
      </c>
      <c r="V519" t="s">
        <v>574</v>
      </c>
      <c r="W519" t="s">
        <v>568</v>
      </c>
      <c r="AD519" t="s">
        <v>1603</v>
      </c>
    </row>
    <row r="520" spans="1:30" x14ac:dyDescent="0.25">
      <c r="A520" t="s">
        <v>33</v>
      </c>
      <c r="D520" t="s">
        <v>565</v>
      </c>
      <c r="E520" t="s">
        <v>566</v>
      </c>
      <c r="F520" t="s">
        <v>78</v>
      </c>
      <c r="G520" t="s">
        <v>1587</v>
      </c>
      <c r="H520" t="s">
        <v>38</v>
      </c>
      <c r="I520" t="s">
        <v>250</v>
      </c>
      <c r="J520" t="s">
        <v>40</v>
      </c>
      <c r="K520" t="s">
        <v>41</v>
      </c>
      <c r="L520" t="s">
        <v>1588</v>
      </c>
      <c r="M520" t="s">
        <v>493</v>
      </c>
      <c r="N520" t="s">
        <v>1589</v>
      </c>
      <c r="O520" t="s">
        <v>254</v>
      </c>
      <c r="R520" t="s">
        <v>1604</v>
      </c>
      <c r="S520" t="s">
        <v>573</v>
      </c>
      <c r="V520" t="s">
        <v>574</v>
      </c>
      <c r="W520" t="s">
        <v>568</v>
      </c>
      <c r="AD520" t="s">
        <v>1605</v>
      </c>
    </row>
    <row r="521" spans="1:30" x14ac:dyDescent="0.25">
      <c r="A521" t="s">
        <v>33</v>
      </c>
      <c r="D521" t="s">
        <v>565</v>
      </c>
      <c r="E521" t="s">
        <v>566</v>
      </c>
      <c r="F521" t="s">
        <v>78</v>
      </c>
      <c r="G521" t="s">
        <v>1587</v>
      </c>
      <c r="H521" t="s">
        <v>143</v>
      </c>
      <c r="I521" t="s">
        <v>267</v>
      </c>
      <c r="J521" t="s">
        <v>145</v>
      </c>
      <c r="K521" t="s">
        <v>146</v>
      </c>
      <c r="L521" t="s">
        <v>1588</v>
      </c>
      <c r="N521" t="s">
        <v>1589</v>
      </c>
      <c r="O521" t="s">
        <v>268</v>
      </c>
      <c r="R521" t="s">
        <v>1606</v>
      </c>
      <c r="S521" t="s">
        <v>573</v>
      </c>
      <c r="V521" t="s">
        <v>574</v>
      </c>
      <c r="W521" t="s">
        <v>568</v>
      </c>
      <c r="X521" t="s">
        <v>270</v>
      </c>
      <c r="AD521" t="s">
        <v>1607</v>
      </c>
    </row>
    <row r="522" spans="1:30" x14ac:dyDescent="0.25">
      <c r="A522" t="s">
        <v>33</v>
      </c>
      <c r="D522" t="s">
        <v>565</v>
      </c>
      <c r="E522" t="s">
        <v>566</v>
      </c>
      <c r="F522" t="s">
        <v>78</v>
      </c>
      <c r="G522" t="s">
        <v>1587</v>
      </c>
      <c r="H522" t="s">
        <v>143</v>
      </c>
      <c r="I522" t="s">
        <v>261</v>
      </c>
      <c r="J522" t="s">
        <v>145</v>
      </c>
      <c r="K522" t="s">
        <v>146</v>
      </c>
      <c r="L522" t="s">
        <v>1588</v>
      </c>
      <c r="M522" t="s">
        <v>493</v>
      </c>
      <c r="N522" t="s">
        <v>1589</v>
      </c>
      <c r="O522" t="s">
        <v>263</v>
      </c>
      <c r="R522" t="s">
        <v>1608</v>
      </c>
      <c r="S522" t="s">
        <v>573</v>
      </c>
      <c r="V522" t="s">
        <v>574</v>
      </c>
      <c r="W522" t="s">
        <v>568</v>
      </c>
      <c r="AD522" t="s">
        <v>1609</v>
      </c>
    </row>
    <row r="523" spans="1:30" x14ac:dyDescent="0.25">
      <c r="A523" t="s">
        <v>33</v>
      </c>
      <c r="D523" t="s">
        <v>565</v>
      </c>
      <c r="E523" t="s">
        <v>566</v>
      </c>
      <c r="F523" t="s">
        <v>78</v>
      </c>
      <c r="G523" t="s">
        <v>1610</v>
      </c>
      <c r="H523" t="s">
        <v>280</v>
      </c>
      <c r="I523" t="s">
        <v>281</v>
      </c>
      <c r="J523" t="s">
        <v>282</v>
      </c>
      <c r="K523" t="s">
        <v>283</v>
      </c>
      <c r="L523" t="s">
        <v>1611</v>
      </c>
      <c r="N523" t="s">
        <v>1612</v>
      </c>
      <c r="O523" t="s">
        <v>284</v>
      </c>
      <c r="Q523" t="s">
        <v>285</v>
      </c>
      <c r="R523" t="s">
        <v>1613</v>
      </c>
      <c r="S523" t="s">
        <v>573</v>
      </c>
      <c r="V523" t="s">
        <v>574</v>
      </c>
      <c r="W523" t="s">
        <v>568</v>
      </c>
      <c r="AD523" t="s">
        <v>1614</v>
      </c>
    </row>
    <row r="524" spans="1:30" x14ac:dyDescent="0.25">
      <c r="A524" t="s">
        <v>33</v>
      </c>
      <c r="D524" t="s">
        <v>565</v>
      </c>
      <c r="E524" t="s">
        <v>566</v>
      </c>
      <c r="F524" t="s">
        <v>78</v>
      </c>
      <c r="G524" t="s">
        <v>1610</v>
      </c>
      <c r="H524" t="s">
        <v>38</v>
      </c>
      <c r="I524" t="s">
        <v>257</v>
      </c>
      <c r="J524" t="s">
        <v>40</v>
      </c>
      <c r="K524" t="s">
        <v>41</v>
      </c>
      <c r="L524" t="s">
        <v>1611</v>
      </c>
      <c r="M524" t="s">
        <v>82</v>
      </c>
      <c r="N524" t="s">
        <v>1612</v>
      </c>
      <c r="O524" t="s">
        <v>258</v>
      </c>
      <c r="R524" t="s">
        <v>1615</v>
      </c>
      <c r="S524" t="s">
        <v>573</v>
      </c>
      <c r="V524" t="s">
        <v>574</v>
      </c>
      <c r="W524" t="s">
        <v>568</v>
      </c>
      <c r="AD524" t="s">
        <v>1616</v>
      </c>
    </row>
    <row r="525" spans="1:30" x14ac:dyDescent="0.25">
      <c r="A525" t="s">
        <v>33</v>
      </c>
      <c r="D525" t="s">
        <v>565</v>
      </c>
      <c r="E525" t="s">
        <v>566</v>
      </c>
      <c r="F525" t="s">
        <v>78</v>
      </c>
      <c r="G525" t="s">
        <v>1610</v>
      </c>
      <c r="H525" t="s">
        <v>143</v>
      </c>
      <c r="I525" t="s">
        <v>276</v>
      </c>
      <c r="J525" t="s">
        <v>145</v>
      </c>
      <c r="K525" t="s">
        <v>146</v>
      </c>
      <c r="L525" t="s">
        <v>1611</v>
      </c>
      <c r="N525" t="s">
        <v>1612</v>
      </c>
      <c r="O525" t="s">
        <v>277</v>
      </c>
      <c r="R525" t="s">
        <v>1617</v>
      </c>
      <c r="S525" t="s">
        <v>573</v>
      </c>
      <c r="V525" t="s">
        <v>574</v>
      </c>
      <c r="W525" t="s">
        <v>568</v>
      </c>
      <c r="X525" t="s">
        <v>270</v>
      </c>
      <c r="AD525" t="s">
        <v>1618</v>
      </c>
    </row>
    <row r="526" spans="1:30" x14ac:dyDescent="0.25">
      <c r="A526" t="s">
        <v>33</v>
      </c>
      <c r="D526" t="s">
        <v>565</v>
      </c>
      <c r="E526" t="s">
        <v>566</v>
      </c>
      <c r="F526" t="s">
        <v>78</v>
      </c>
      <c r="G526" t="s">
        <v>1610</v>
      </c>
      <c r="H526" t="s">
        <v>143</v>
      </c>
      <c r="I526" t="s">
        <v>272</v>
      </c>
      <c r="J526" t="s">
        <v>145</v>
      </c>
      <c r="K526" t="s">
        <v>146</v>
      </c>
      <c r="L526" t="s">
        <v>1611</v>
      </c>
      <c r="N526" t="s">
        <v>1612</v>
      </c>
      <c r="O526" t="s">
        <v>273</v>
      </c>
      <c r="R526" t="s">
        <v>1619</v>
      </c>
      <c r="S526" t="s">
        <v>573</v>
      </c>
      <c r="V526" t="s">
        <v>574</v>
      </c>
      <c r="W526" t="s">
        <v>568</v>
      </c>
      <c r="X526" t="s">
        <v>270</v>
      </c>
      <c r="AD526" t="s">
        <v>1620</v>
      </c>
    </row>
    <row r="527" spans="1:30" x14ac:dyDescent="0.25">
      <c r="A527" t="s">
        <v>33</v>
      </c>
      <c r="D527" t="s">
        <v>565</v>
      </c>
      <c r="E527" t="s">
        <v>566</v>
      </c>
      <c r="F527" t="s">
        <v>78</v>
      </c>
      <c r="G527" t="s">
        <v>1610</v>
      </c>
      <c r="H527" t="s">
        <v>143</v>
      </c>
      <c r="I527" t="s">
        <v>257</v>
      </c>
      <c r="J527" t="s">
        <v>145</v>
      </c>
      <c r="K527" t="s">
        <v>146</v>
      </c>
      <c r="L527" t="s">
        <v>1611</v>
      </c>
      <c r="M527" t="s">
        <v>82</v>
      </c>
      <c r="N527" t="s">
        <v>1612</v>
      </c>
      <c r="O527" t="s">
        <v>292</v>
      </c>
      <c r="R527" t="s">
        <v>1621</v>
      </c>
      <c r="S527" t="s">
        <v>573</v>
      </c>
      <c r="V527" t="s">
        <v>574</v>
      </c>
      <c r="W527" t="s">
        <v>568</v>
      </c>
      <c r="AD527" t="s">
        <v>1622</v>
      </c>
    </row>
    <row r="528" spans="1:30" x14ac:dyDescent="0.25">
      <c r="A528" t="s">
        <v>33</v>
      </c>
      <c r="D528" t="s">
        <v>565</v>
      </c>
      <c r="E528" t="s">
        <v>566</v>
      </c>
      <c r="F528" t="s">
        <v>78</v>
      </c>
      <c r="G528" t="s">
        <v>1610</v>
      </c>
      <c r="H528" t="s">
        <v>143</v>
      </c>
      <c r="I528" t="s">
        <v>295</v>
      </c>
      <c r="J528" t="s">
        <v>145</v>
      </c>
      <c r="K528" t="s">
        <v>146</v>
      </c>
      <c r="L528" t="s">
        <v>1611</v>
      </c>
      <c r="M528" t="s">
        <v>82</v>
      </c>
      <c r="N528" t="s">
        <v>1612</v>
      </c>
      <c r="O528" t="s">
        <v>296</v>
      </c>
      <c r="R528" t="s">
        <v>1623</v>
      </c>
      <c r="S528" t="s">
        <v>573</v>
      </c>
      <c r="V528" t="s">
        <v>574</v>
      </c>
      <c r="W528" t="s">
        <v>568</v>
      </c>
      <c r="AD528" t="s">
        <v>1624</v>
      </c>
    </row>
    <row r="529" spans="1:30" x14ac:dyDescent="0.25">
      <c r="A529" t="s">
        <v>33</v>
      </c>
      <c r="D529" t="s">
        <v>565</v>
      </c>
      <c r="E529" t="s">
        <v>566</v>
      </c>
      <c r="F529" t="s">
        <v>78</v>
      </c>
      <c r="G529" t="s">
        <v>1610</v>
      </c>
      <c r="H529" t="s">
        <v>143</v>
      </c>
      <c r="I529" t="s">
        <v>299</v>
      </c>
      <c r="J529" t="s">
        <v>145</v>
      </c>
      <c r="K529" t="s">
        <v>146</v>
      </c>
      <c r="L529" t="s">
        <v>1611</v>
      </c>
      <c r="M529" t="s">
        <v>82</v>
      </c>
      <c r="N529" t="s">
        <v>1612</v>
      </c>
      <c r="O529" t="s">
        <v>300</v>
      </c>
      <c r="R529" t="s">
        <v>1625</v>
      </c>
      <c r="S529" t="s">
        <v>573</v>
      </c>
      <c r="V529" t="s">
        <v>574</v>
      </c>
      <c r="W529" t="s">
        <v>568</v>
      </c>
      <c r="AD529" t="s">
        <v>1626</v>
      </c>
    </row>
    <row r="530" spans="1:30" x14ac:dyDescent="0.25">
      <c r="A530" t="s">
        <v>33</v>
      </c>
      <c r="D530" t="s">
        <v>565</v>
      </c>
      <c r="E530" t="s">
        <v>566</v>
      </c>
      <c r="F530" t="s">
        <v>78</v>
      </c>
      <c r="G530" t="s">
        <v>1610</v>
      </c>
      <c r="H530" t="s">
        <v>38</v>
      </c>
      <c r="I530" t="s">
        <v>250</v>
      </c>
      <c r="J530" t="s">
        <v>40</v>
      </c>
      <c r="K530" t="s">
        <v>41</v>
      </c>
      <c r="L530" t="s">
        <v>1611</v>
      </c>
      <c r="M530" t="s">
        <v>493</v>
      </c>
      <c r="N530" t="s">
        <v>1612</v>
      </c>
      <c r="O530" t="s">
        <v>254</v>
      </c>
      <c r="R530" t="s">
        <v>1627</v>
      </c>
      <c r="S530" t="s">
        <v>573</v>
      </c>
      <c r="V530" t="s">
        <v>574</v>
      </c>
      <c r="W530" t="s">
        <v>568</v>
      </c>
      <c r="AD530" t="s">
        <v>1628</v>
      </c>
    </row>
    <row r="531" spans="1:30" x14ac:dyDescent="0.25">
      <c r="A531" t="s">
        <v>33</v>
      </c>
      <c r="D531" t="s">
        <v>565</v>
      </c>
      <c r="E531" t="s">
        <v>566</v>
      </c>
      <c r="F531" t="s">
        <v>78</v>
      </c>
      <c r="G531" t="s">
        <v>1610</v>
      </c>
      <c r="H531" t="s">
        <v>143</v>
      </c>
      <c r="I531" t="s">
        <v>267</v>
      </c>
      <c r="J531" t="s">
        <v>145</v>
      </c>
      <c r="K531" t="s">
        <v>146</v>
      </c>
      <c r="L531" t="s">
        <v>1611</v>
      </c>
      <c r="N531" t="s">
        <v>1612</v>
      </c>
      <c r="O531" t="s">
        <v>268</v>
      </c>
      <c r="R531" t="s">
        <v>1629</v>
      </c>
      <c r="S531" t="s">
        <v>573</v>
      </c>
      <c r="V531" t="s">
        <v>574</v>
      </c>
      <c r="W531" t="s">
        <v>568</v>
      </c>
      <c r="X531" t="s">
        <v>270</v>
      </c>
      <c r="AD531" t="s">
        <v>1630</v>
      </c>
    </row>
    <row r="532" spans="1:30" x14ac:dyDescent="0.25">
      <c r="A532" t="s">
        <v>33</v>
      </c>
      <c r="D532" t="s">
        <v>565</v>
      </c>
      <c r="E532" t="s">
        <v>566</v>
      </c>
      <c r="F532" t="s">
        <v>78</v>
      </c>
      <c r="G532" t="s">
        <v>1610</v>
      </c>
      <c r="H532" t="s">
        <v>143</v>
      </c>
      <c r="I532" t="s">
        <v>261</v>
      </c>
      <c r="J532" t="s">
        <v>145</v>
      </c>
      <c r="K532" t="s">
        <v>146</v>
      </c>
      <c r="L532" t="s">
        <v>1611</v>
      </c>
      <c r="M532" t="s">
        <v>493</v>
      </c>
      <c r="N532" t="s">
        <v>1612</v>
      </c>
      <c r="O532" t="s">
        <v>263</v>
      </c>
      <c r="R532" t="s">
        <v>1631</v>
      </c>
      <c r="S532" t="s">
        <v>573</v>
      </c>
      <c r="V532" t="s">
        <v>574</v>
      </c>
      <c r="W532" t="s">
        <v>568</v>
      </c>
      <c r="AD532" t="s">
        <v>1632</v>
      </c>
    </row>
    <row r="533" spans="1:30" x14ac:dyDescent="0.25">
      <c r="A533" t="s">
        <v>33</v>
      </c>
      <c r="D533" t="s">
        <v>565</v>
      </c>
      <c r="E533" t="s">
        <v>566</v>
      </c>
      <c r="F533" t="s">
        <v>87</v>
      </c>
      <c r="G533" t="s">
        <v>726</v>
      </c>
      <c r="H533" t="s">
        <v>89</v>
      </c>
      <c r="I533" t="s">
        <v>144</v>
      </c>
      <c r="J533" t="s">
        <v>91</v>
      </c>
      <c r="K533" t="s">
        <v>92</v>
      </c>
      <c r="L533" t="s">
        <v>727</v>
      </c>
      <c r="M533" t="s">
        <v>94</v>
      </c>
      <c r="N533" t="s">
        <v>728</v>
      </c>
      <c r="O533" t="s">
        <v>150</v>
      </c>
      <c r="P533">
        <v>1E-3</v>
      </c>
      <c r="R533" t="s">
        <v>1633</v>
      </c>
      <c r="S533" t="s">
        <v>573</v>
      </c>
      <c r="V533" t="s">
        <v>574</v>
      </c>
      <c r="W533" t="s">
        <v>568</v>
      </c>
      <c r="AD533" t="s">
        <v>1634</v>
      </c>
    </row>
    <row r="534" spans="1:30" x14ac:dyDescent="0.25">
      <c r="A534" t="s">
        <v>33</v>
      </c>
      <c r="D534" t="s">
        <v>565</v>
      </c>
      <c r="E534" t="s">
        <v>566</v>
      </c>
      <c r="F534" t="s">
        <v>87</v>
      </c>
      <c r="G534" t="s">
        <v>726</v>
      </c>
      <c r="H534" t="s">
        <v>143</v>
      </c>
      <c r="I534" t="s">
        <v>144</v>
      </c>
      <c r="J534" t="s">
        <v>145</v>
      </c>
      <c r="K534" t="s">
        <v>146</v>
      </c>
      <c r="L534" t="s">
        <v>727</v>
      </c>
      <c r="M534" t="s">
        <v>493</v>
      </c>
      <c r="N534" t="s">
        <v>728</v>
      </c>
      <c r="O534" t="s">
        <v>147</v>
      </c>
      <c r="R534" t="s">
        <v>1635</v>
      </c>
      <c r="S534" t="s">
        <v>573</v>
      </c>
      <c r="V534" t="s">
        <v>574</v>
      </c>
      <c r="W534" t="s">
        <v>568</v>
      </c>
      <c r="AD534" t="s">
        <v>1636</v>
      </c>
    </row>
    <row r="535" spans="1:30" x14ac:dyDescent="0.25">
      <c r="A535" t="s">
        <v>33</v>
      </c>
      <c r="D535" t="s">
        <v>565</v>
      </c>
      <c r="E535" t="s">
        <v>566</v>
      </c>
      <c r="F535" t="s">
        <v>87</v>
      </c>
      <c r="G535" t="s">
        <v>726</v>
      </c>
      <c r="H535" t="s">
        <v>89</v>
      </c>
      <c r="I535" t="s">
        <v>90</v>
      </c>
      <c r="J535" t="s">
        <v>91</v>
      </c>
      <c r="K535" t="s">
        <v>92</v>
      </c>
      <c r="L535" t="s">
        <v>727</v>
      </c>
      <c r="M535" t="s">
        <v>94</v>
      </c>
      <c r="N535" t="s">
        <v>728</v>
      </c>
      <c r="O535" t="s">
        <v>383</v>
      </c>
      <c r="P535">
        <v>1E-3</v>
      </c>
      <c r="R535" t="s">
        <v>1637</v>
      </c>
      <c r="S535" t="s">
        <v>573</v>
      </c>
      <c r="V535" t="s">
        <v>574</v>
      </c>
      <c r="W535" t="s">
        <v>568</v>
      </c>
      <c r="AD535" t="s">
        <v>1638</v>
      </c>
    </row>
    <row r="536" spans="1:30" x14ac:dyDescent="0.25">
      <c r="A536" t="s">
        <v>33</v>
      </c>
      <c r="D536" t="s">
        <v>565</v>
      </c>
      <c r="E536" t="s">
        <v>566</v>
      </c>
      <c r="F536" t="s">
        <v>87</v>
      </c>
      <c r="G536" t="s">
        <v>726</v>
      </c>
      <c r="H536" t="s">
        <v>143</v>
      </c>
      <c r="I536" t="s">
        <v>90</v>
      </c>
      <c r="J536" t="s">
        <v>145</v>
      </c>
      <c r="K536" t="s">
        <v>146</v>
      </c>
      <c r="L536" t="s">
        <v>727</v>
      </c>
      <c r="M536" t="s">
        <v>493</v>
      </c>
      <c r="N536" t="s">
        <v>728</v>
      </c>
      <c r="O536" t="s">
        <v>380</v>
      </c>
      <c r="R536" t="s">
        <v>1639</v>
      </c>
      <c r="S536" t="s">
        <v>573</v>
      </c>
      <c r="V536" t="s">
        <v>574</v>
      </c>
      <c r="W536" t="s">
        <v>568</v>
      </c>
      <c r="AD536" t="s">
        <v>1640</v>
      </c>
    </row>
    <row r="537" spans="1:30" x14ac:dyDescent="0.25">
      <c r="A537" t="s">
        <v>33</v>
      </c>
      <c r="D537" t="s">
        <v>565</v>
      </c>
      <c r="E537" t="s">
        <v>566</v>
      </c>
      <c r="F537" t="s">
        <v>87</v>
      </c>
      <c r="G537" t="s">
        <v>726</v>
      </c>
      <c r="H537" t="s">
        <v>89</v>
      </c>
      <c r="I537" t="s">
        <v>180</v>
      </c>
      <c r="J537" t="s">
        <v>91</v>
      </c>
      <c r="K537" t="s">
        <v>92</v>
      </c>
      <c r="L537" t="s">
        <v>727</v>
      </c>
      <c r="M537" t="s">
        <v>94</v>
      </c>
      <c r="N537" t="s">
        <v>728</v>
      </c>
      <c r="O537" t="s">
        <v>184</v>
      </c>
      <c r="P537">
        <v>1E-3</v>
      </c>
      <c r="R537" t="s">
        <v>1641</v>
      </c>
      <c r="S537" t="s">
        <v>573</v>
      </c>
      <c r="V537" t="s">
        <v>574</v>
      </c>
      <c r="W537" t="s">
        <v>568</v>
      </c>
      <c r="AD537" t="s">
        <v>1642</v>
      </c>
    </row>
    <row r="538" spans="1:30" x14ac:dyDescent="0.25">
      <c r="A538" t="s">
        <v>33</v>
      </c>
      <c r="D538" t="s">
        <v>565</v>
      </c>
      <c r="E538" t="s">
        <v>566</v>
      </c>
      <c r="F538" t="s">
        <v>87</v>
      </c>
      <c r="G538" t="s">
        <v>726</v>
      </c>
      <c r="H538" t="s">
        <v>143</v>
      </c>
      <c r="I538" t="s">
        <v>180</v>
      </c>
      <c r="J538" t="s">
        <v>145</v>
      </c>
      <c r="K538" t="s">
        <v>146</v>
      </c>
      <c r="L538" t="s">
        <v>727</v>
      </c>
      <c r="M538" t="s">
        <v>493</v>
      </c>
      <c r="N538" t="s">
        <v>728</v>
      </c>
      <c r="O538" t="s">
        <v>181</v>
      </c>
      <c r="R538" t="s">
        <v>1643</v>
      </c>
      <c r="S538" t="s">
        <v>573</v>
      </c>
      <c r="V538" t="s">
        <v>574</v>
      </c>
      <c r="W538" t="s">
        <v>568</v>
      </c>
      <c r="AD538" t="s">
        <v>1644</v>
      </c>
    </row>
    <row r="539" spans="1:30" x14ac:dyDescent="0.25">
      <c r="A539" t="s">
        <v>33</v>
      </c>
      <c r="D539" t="s">
        <v>565</v>
      </c>
      <c r="E539" t="s">
        <v>566</v>
      </c>
      <c r="F539" t="s">
        <v>87</v>
      </c>
      <c r="G539" t="s">
        <v>726</v>
      </c>
      <c r="H539" t="s">
        <v>89</v>
      </c>
      <c r="I539" t="s">
        <v>100</v>
      </c>
      <c r="J539" t="s">
        <v>91</v>
      </c>
      <c r="K539" t="s">
        <v>92</v>
      </c>
      <c r="L539" t="s">
        <v>727</v>
      </c>
      <c r="M539" t="s">
        <v>94</v>
      </c>
      <c r="N539" t="s">
        <v>728</v>
      </c>
      <c r="O539" t="s">
        <v>445</v>
      </c>
      <c r="P539">
        <v>1E-3</v>
      </c>
      <c r="R539" t="s">
        <v>1645</v>
      </c>
      <c r="S539" t="s">
        <v>573</v>
      </c>
      <c r="V539" t="s">
        <v>574</v>
      </c>
      <c r="W539" t="s">
        <v>568</v>
      </c>
      <c r="AD539" t="s">
        <v>1646</v>
      </c>
    </row>
    <row r="540" spans="1:30" x14ac:dyDescent="0.25">
      <c r="A540" t="s">
        <v>33</v>
      </c>
      <c r="D540" t="s">
        <v>565</v>
      </c>
      <c r="E540" t="s">
        <v>566</v>
      </c>
      <c r="F540" t="s">
        <v>87</v>
      </c>
      <c r="G540" t="s">
        <v>726</v>
      </c>
      <c r="H540" t="s">
        <v>143</v>
      </c>
      <c r="I540" t="s">
        <v>100</v>
      </c>
      <c r="J540" t="s">
        <v>145</v>
      </c>
      <c r="K540" t="s">
        <v>146</v>
      </c>
      <c r="L540" t="s">
        <v>727</v>
      </c>
      <c r="M540" t="s">
        <v>493</v>
      </c>
      <c r="N540" t="s">
        <v>728</v>
      </c>
      <c r="O540" t="s">
        <v>442</v>
      </c>
      <c r="R540" t="s">
        <v>1647</v>
      </c>
      <c r="S540" t="s">
        <v>573</v>
      </c>
      <c r="V540" t="s">
        <v>574</v>
      </c>
      <c r="W540" t="s">
        <v>568</v>
      </c>
      <c r="AD540" t="s">
        <v>1648</v>
      </c>
    </row>
    <row r="541" spans="1:30" x14ac:dyDescent="0.25">
      <c r="A541" t="s">
        <v>33</v>
      </c>
      <c r="D541" t="s">
        <v>565</v>
      </c>
      <c r="E541" t="s">
        <v>566</v>
      </c>
      <c r="F541" t="s">
        <v>87</v>
      </c>
      <c r="G541" t="s">
        <v>726</v>
      </c>
      <c r="H541" t="s">
        <v>38</v>
      </c>
      <c r="I541" t="s">
        <v>106</v>
      </c>
      <c r="J541" t="s">
        <v>40</v>
      </c>
      <c r="K541" t="s">
        <v>41</v>
      </c>
      <c r="L541" t="s">
        <v>727</v>
      </c>
      <c r="M541" t="s">
        <v>493</v>
      </c>
      <c r="N541" t="s">
        <v>728</v>
      </c>
      <c r="O541" t="s">
        <v>109</v>
      </c>
      <c r="R541" t="s">
        <v>1649</v>
      </c>
      <c r="S541" t="s">
        <v>573</v>
      </c>
      <c r="V541" t="s">
        <v>574</v>
      </c>
      <c r="W541" t="s">
        <v>568</v>
      </c>
      <c r="AD541" t="s">
        <v>1650</v>
      </c>
    </row>
    <row r="542" spans="1:30" x14ac:dyDescent="0.25">
      <c r="A542" t="s">
        <v>33</v>
      </c>
      <c r="D542" t="s">
        <v>565</v>
      </c>
      <c r="E542" t="s">
        <v>566</v>
      </c>
      <c r="F542" t="s">
        <v>87</v>
      </c>
      <c r="G542" t="s">
        <v>726</v>
      </c>
      <c r="H542" t="s">
        <v>38</v>
      </c>
      <c r="I542" t="s">
        <v>25</v>
      </c>
      <c r="J542" t="s">
        <v>69</v>
      </c>
      <c r="K542" t="s">
        <v>41</v>
      </c>
      <c r="L542" t="s">
        <v>727</v>
      </c>
      <c r="M542" t="s">
        <v>493</v>
      </c>
      <c r="N542" t="s">
        <v>728</v>
      </c>
      <c r="O542" t="s">
        <v>512</v>
      </c>
      <c r="R542" t="s">
        <v>559</v>
      </c>
      <c r="S542" t="s">
        <v>573</v>
      </c>
      <c r="V542" t="s">
        <v>574</v>
      </c>
      <c r="W542" t="s">
        <v>568</v>
      </c>
      <c r="AD542" t="s">
        <v>1651</v>
      </c>
    </row>
    <row r="543" spans="1:30" x14ac:dyDescent="0.25">
      <c r="A543" t="s">
        <v>33</v>
      </c>
      <c r="D543" t="s">
        <v>565</v>
      </c>
      <c r="E543" t="s">
        <v>566</v>
      </c>
      <c r="F543" t="s">
        <v>87</v>
      </c>
      <c r="G543" t="s">
        <v>726</v>
      </c>
      <c r="H543" t="s">
        <v>38</v>
      </c>
      <c r="I543" t="s">
        <v>24</v>
      </c>
      <c r="J543" t="s">
        <v>69</v>
      </c>
      <c r="K543" t="s">
        <v>41</v>
      </c>
      <c r="L543" t="s">
        <v>727</v>
      </c>
      <c r="M543" t="s">
        <v>493</v>
      </c>
      <c r="N543" t="s">
        <v>728</v>
      </c>
      <c r="O543" t="s">
        <v>509</v>
      </c>
      <c r="R543" t="s">
        <v>557</v>
      </c>
      <c r="S543" t="s">
        <v>573</v>
      </c>
      <c r="V543" t="s">
        <v>574</v>
      </c>
      <c r="W543" t="s">
        <v>568</v>
      </c>
      <c r="AD543" t="s">
        <v>1652</v>
      </c>
    </row>
    <row r="544" spans="1:30" x14ac:dyDescent="0.25">
      <c r="A544" t="s">
        <v>33</v>
      </c>
      <c r="D544" t="s">
        <v>565</v>
      </c>
      <c r="E544" t="s">
        <v>566</v>
      </c>
      <c r="F544" t="s">
        <v>87</v>
      </c>
      <c r="G544" t="s">
        <v>457</v>
      </c>
      <c r="H544" t="s">
        <v>153</v>
      </c>
      <c r="I544" t="s">
        <v>180</v>
      </c>
      <c r="J544" t="s">
        <v>154</v>
      </c>
      <c r="K544" t="s">
        <v>155</v>
      </c>
      <c r="L544" t="s">
        <v>458</v>
      </c>
      <c r="N544" t="s">
        <v>694</v>
      </c>
      <c r="O544" t="s">
        <v>187</v>
      </c>
      <c r="R544" t="s">
        <v>1653</v>
      </c>
      <c r="S544" t="s">
        <v>573</v>
      </c>
      <c r="V544" t="s">
        <v>574</v>
      </c>
      <c r="W544" t="s">
        <v>568</v>
      </c>
      <c r="AD544" t="s">
        <v>1654</v>
      </c>
    </row>
    <row r="545" spans="1:32" x14ac:dyDescent="0.25">
      <c r="A545" t="s">
        <v>33</v>
      </c>
      <c r="D545" t="s">
        <v>565</v>
      </c>
      <c r="E545" t="s">
        <v>566</v>
      </c>
      <c r="F545" t="s">
        <v>87</v>
      </c>
      <c r="G545" t="s">
        <v>1458</v>
      </c>
      <c r="H545" t="s">
        <v>89</v>
      </c>
      <c r="I545" t="s">
        <v>90</v>
      </c>
      <c r="J545" t="s">
        <v>91</v>
      </c>
      <c r="K545" t="s">
        <v>92</v>
      </c>
      <c r="L545" t="s">
        <v>1459</v>
      </c>
      <c r="M545" t="s">
        <v>94</v>
      </c>
      <c r="N545" t="s">
        <v>1460</v>
      </c>
      <c r="O545" t="s">
        <v>383</v>
      </c>
      <c r="P545">
        <v>1E-3</v>
      </c>
      <c r="R545" t="s">
        <v>1655</v>
      </c>
      <c r="S545" t="s">
        <v>573</v>
      </c>
      <c r="V545" t="s">
        <v>574</v>
      </c>
      <c r="W545" t="s">
        <v>568</v>
      </c>
      <c r="AD545" t="s">
        <v>1656</v>
      </c>
    </row>
    <row r="546" spans="1:32" x14ac:dyDescent="0.25">
      <c r="A546" t="s">
        <v>33</v>
      </c>
      <c r="D546" t="s">
        <v>565</v>
      </c>
      <c r="E546" t="s">
        <v>566</v>
      </c>
      <c r="F546" t="s">
        <v>87</v>
      </c>
      <c r="G546" t="s">
        <v>1458</v>
      </c>
      <c r="H546" t="s">
        <v>143</v>
      </c>
      <c r="I546" t="s">
        <v>90</v>
      </c>
      <c r="J546" t="s">
        <v>745</v>
      </c>
      <c r="K546" t="s">
        <v>262</v>
      </c>
      <c r="L546" t="s">
        <v>1459</v>
      </c>
      <c r="M546" t="s">
        <v>746</v>
      </c>
      <c r="N546" t="s">
        <v>1460</v>
      </c>
      <c r="O546" t="s">
        <v>380</v>
      </c>
      <c r="R546" t="s">
        <v>1657</v>
      </c>
      <c r="S546" t="s">
        <v>573</v>
      </c>
      <c r="V546" t="s">
        <v>574</v>
      </c>
      <c r="W546" t="s">
        <v>568</v>
      </c>
      <c r="AD546" t="s">
        <v>1658</v>
      </c>
    </row>
    <row r="547" spans="1:32" x14ac:dyDescent="0.25">
      <c r="A547" t="s">
        <v>33</v>
      </c>
      <c r="D547" t="s">
        <v>565</v>
      </c>
      <c r="E547" t="s">
        <v>566</v>
      </c>
      <c r="F547" t="s">
        <v>87</v>
      </c>
      <c r="G547" t="s">
        <v>701</v>
      </c>
      <c r="H547" t="s">
        <v>153</v>
      </c>
      <c r="I547" t="s">
        <v>180</v>
      </c>
      <c r="J547" t="s">
        <v>154</v>
      </c>
      <c r="K547" t="s">
        <v>155</v>
      </c>
      <c r="L547" t="s">
        <v>702</v>
      </c>
      <c r="N547" t="s">
        <v>703</v>
      </c>
      <c r="O547" t="s">
        <v>187</v>
      </c>
      <c r="R547" t="s">
        <v>1659</v>
      </c>
      <c r="S547" t="s">
        <v>573</v>
      </c>
      <c r="V547" t="s">
        <v>574</v>
      </c>
      <c r="W547" t="s">
        <v>568</v>
      </c>
      <c r="AD547" t="s">
        <v>1660</v>
      </c>
    </row>
    <row r="548" spans="1:32" x14ac:dyDescent="0.25">
      <c r="A548" t="s">
        <v>33</v>
      </c>
      <c r="D548" t="s">
        <v>565</v>
      </c>
      <c r="E548" t="s">
        <v>566</v>
      </c>
      <c r="F548" t="s">
        <v>87</v>
      </c>
      <c r="G548" t="s">
        <v>1458</v>
      </c>
      <c r="H548" t="s">
        <v>38</v>
      </c>
      <c r="I548" t="s">
        <v>106</v>
      </c>
      <c r="J548" t="s">
        <v>40</v>
      </c>
      <c r="K548" t="s">
        <v>41</v>
      </c>
      <c r="L548" t="s">
        <v>1459</v>
      </c>
      <c r="M548" t="s">
        <v>746</v>
      </c>
      <c r="N548" t="s">
        <v>1460</v>
      </c>
      <c r="O548" t="s">
        <v>109</v>
      </c>
      <c r="R548" t="s">
        <v>1661</v>
      </c>
      <c r="S548" t="s">
        <v>573</v>
      </c>
      <c r="V548" t="s">
        <v>574</v>
      </c>
      <c r="W548" t="s">
        <v>568</v>
      </c>
      <c r="AD548" t="s">
        <v>1662</v>
      </c>
    </row>
    <row r="549" spans="1:32" x14ac:dyDescent="0.25">
      <c r="A549" t="s">
        <v>33</v>
      </c>
      <c r="D549" t="s">
        <v>565</v>
      </c>
      <c r="E549" t="s">
        <v>566</v>
      </c>
      <c r="F549" t="s">
        <v>87</v>
      </c>
      <c r="G549" t="s">
        <v>1663</v>
      </c>
      <c r="H549" t="s">
        <v>153</v>
      </c>
      <c r="I549" t="s">
        <v>90</v>
      </c>
      <c r="J549" t="s">
        <v>154</v>
      </c>
      <c r="K549" t="s">
        <v>155</v>
      </c>
      <c r="L549" t="s">
        <v>1664</v>
      </c>
      <c r="N549" t="s">
        <v>737</v>
      </c>
      <c r="O549" t="s">
        <v>386</v>
      </c>
      <c r="R549" t="s">
        <v>1665</v>
      </c>
      <c r="S549" t="s">
        <v>573</v>
      </c>
      <c r="V549" t="s">
        <v>574</v>
      </c>
      <c r="W549" t="s">
        <v>568</v>
      </c>
      <c r="AC549" t="s">
        <v>1666</v>
      </c>
      <c r="AD549" t="s">
        <v>740</v>
      </c>
      <c r="AE549" t="s">
        <v>577</v>
      </c>
      <c r="AF549">
        <v>38</v>
      </c>
    </row>
    <row r="550" spans="1:32" x14ac:dyDescent="0.25">
      <c r="A550" t="s">
        <v>33</v>
      </c>
      <c r="D550" t="s">
        <v>565</v>
      </c>
      <c r="E550" t="s">
        <v>566</v>
      </c>
      <c r="F550" t="s">
        <v>87</v>
      </c>
      <c r="G550" t="s">
        <v>726</v>
      </c>
      <c r="H550" t="s">
        <v>153</v>
      </c>
      <c r="I550" t="s">
        <v>180</v>
      </c>
      <c r="J550" t="s">
        <v>154</v>
      </c>
      <c r="K550" t="s">
        <v>155</v>
      </c>
      <c r="L550" t="s">
        <v>727</v>
      </c>
      <c r="N550" t="s">
        <v>728</v>
      </c>
      <c r="O550" t="s">
        <v>187</v>
      </c>
      <c r="R550" t="s">
        <v>1667</v>
      </c>
      <c r="S550" t="s">
        <v>573</v>
      </c>
      <c r="V550" t="s">
        <v>574</v>
      </c>
      <c r="W550" t="s">
        <v>568</v>
      </c>
      <c r="AD550" t="s">
        <v>1668</v>
      </c>
    </row>
    <row r="551" spans="1:32" x14ac:dyDescent="0.25">
      <c r="A551" t="s">
        <v>33</v>
      </c>
      <c r="D551" t="s">
        <v>565</v>
      </c>
      <c r="E551" t="s">
        <v>566</v>
      </c>
      <c r="F551" t="s">
        <v>87</v>
      </c>
      <c r="G551" t="s">
        <v>1663</v>
      </c>
      <c r="H551" t="s">
        <v>153</v>
      </c>
      <c r="I551" t="s">
        <v>144</v>
      </c>
      <c r="J551" t="s">
        <v>154</v>
      </c>
      <c r="K551" t="s">
        <v>155</v>
      </c>
      <c r="L551" t="s">
        <v>1664</v>
      </c>
      <c r="N551" t="s">
        <v>737</v>
      </c>
      <c r="O551" t="s">
        <v>156</v>
      </c>
      <c r="R551" t="s">
        <v>1669</v>
      </c>
      <c r="S551" t="s">
        <v>573</v>
      </c>
      <c r="V551" t="s">
        <v>574</v>
      </c>
      <c r="W551" t="s">
        <v>568</v>
      </c>
      <c r="AD551" t="s">
        <v>742</v>
      </c>
    </row>
    <row r="552" spans="1:32" x14ac:dyDescent="0.25">
      <c r="A552" t="s">
        <v>33</v>
      </c>
      <c r="D552" t="s">
        <v>565</v>
      </c>
      <c r="E552" t="s">
        <v>566</v>
      </c>
      <c r="F552" t="s">
        <v>87</v>
      </c>
      <c r="G552" t="s">
        <v>1663</v>
      </c>
      <c r="H552" t="s">
        <v>89</v>
      </c>
      <c r="I552" t="s">
        <v>144</v>
      </c>
      <c r="J552" t="s">
        <v>91</v>
      </c>
      <c r="K552" t="s">
        <v>92</v>
      </c>
      <c r="L552" t="s">
        <v>1664</v>
      </c>
      <c r="M552" t="s">
        <v>94</v>
      </c>
      <c r="N552" t="s">
        <v>737</v>
      </c>
      <c r="O552" t="s">
        <v>150</v>
      </c>
      <c r="P552">
        <v>1E-3</v>
      </c>
      <c r="R552" t="s">
        <v>1670</v>
      </c>
      <c r="S552" t="s">
        <v>573</v>
      </c>
      <c r="V552" t="s">
        <v>574</v>
      </c>
      <c r="W552" t="s">
        <v>568</v>
      </c>
      <c r="AD552" t="s">
        <v>744</v>
      </c>
    </row>
    <row r="553" spans="1:32" x14ac:dyDescent="0.25">
      <c r="A553" t="s">
        <v>33</v>
      </c>
      <c r="D553" t="s">
        <v>565</v>
      </c>
      <c r="E553" t="s">
        <v>566</v>
      </c>
      <c r="F553" t="s">
        <v>87</v>
      </c>
      <c r="G553" t="s">
        <v>763</v>
      </c>
      <c r="H553" t="s">
        <v>153</v>
      </c>
      <c r="I553" t="s">
        <v>180</v>
      </c>
      <c r="J553" t="s">
        <v>154</v>
      </c>
      <c r="K553" t="s">
        <v>155</v>
      </c>
      <c r="L553" t="s">
        <v>764</v>
      </c>
      <c r="N553" t="s">
        <v>765</v>
      </c>
      <c r="O553" t="s">
        <v>187</v>
      </c>
      <c r="R553" t="s">
        <v>1671</v>
      </c>
      <c r="S553" t="s">
        <v>573</v>
      </c>
      <c r="V553" t="s">
        <v>574</v>
      </c>
      <c r="W553" t="s">
        <v>568</v>
      </c>
      <c r="AD553" t="s">
        <v>1672</v>
      </c>
    </row>
    <row r="554" spans="1:32" x14ac:dyDescent="0.25">
      <c r="A554" t="s">
        <v>33</v>
      </c>
      <c r="D554" t="s">
        <v>565</v>
      </c>
      <c r="E554" t="s">
        <v>566</v>
      </c>
      <c r="F554" t="s">
        <v>87</v>
      </c>
      <c r="G554" t="s">
        <v>1663</v>
      </c>
      <c r="H554" t="s">
        <v>143</v>
      </c>
      <c r="I554" t="s">
        <v>144</v>
      </c>
      <c r="J554" t="s">
        <v>745</v>
      </c>
      <c r="K554" t="s">
        <v>262</v>
      </c>
      <c r="L554" t="s">
        <v>1664</v>
      </c>
      <c r="M554" t="s">
        <v>746</v>
      </c>
      <c r="N554" t="s">
        <v>737</v>
      </c>
      <c r="O554" t="s">
        <v>147</v>
      </c>
      <c r="R554" t="s">
        <v>1673</v>
      </c>
      <c r="S554" t="s">
        <v>573</v>
      </c>
      <c r="V554" t="s">
        <v>574</v>
      </c>
      <c r="W554" t="s">
        <v>568</v>
      </c>
      <c r="AD554" t="s">
        <v>748</v>
      </c>
    </row>
    <row r="555" spans="1:32" x14ac:dyDescent="0.25">
      <c r="A555" t="s">
        <v>33</v>
      </c>
      <c r="D555" t="s">
        <v>565</v>
      </c>
      <c r="E555" t="s">
        <v>566</v>
      </c>
      <c r="F555" t="s">
        <v>87</v>
      </c>
      <c r="G555" t="s">
        <v>1663</v>
      </c>
      <c r="H555" t="s">
        <v>89</v>
      </c>
      <c r="I555" t="s">
        <v>90</v>
      </c>
      <c r="J555" t="s">
        <v>91</v>
      </c>
      <c r="K555" t="s">
        <v>92</v>
      </c>
      <c r="L555" t="s">
        <v>1664</v>
      </c>
      <c r="M555" t="s">
        <v>94</v>
      </c>
      <c r="N555" t="s">
        <v>737</v>
      </c>
      <c r="O555" t="s">
        <v>383</v>
      </c>
      <c r="P555">
        <v>1E-3</v>
      </c>
      <c r="R555" t="s">
        <v>1674</v>
      </c>
      <c r="S555" t="s">
        <v>573</v>
      </c>
      <c r="V555" t="s">
        <v>574</v>
      </c>
      <c r="W555" t="s">
        <v>568</v>
      </c>
      <c r="AD555" t="s">
        <v>750</v>
      </c>
    </row>
    <row r="556" spans="1:32" x14ac:dyDescent="0.25">
      <c r="A556" t="s">
        <v>33</v>
      </c>
      <c r="D556" t="s">
        <v>565</v>
      </c>
      <c r="E556" t="s">
        <v>566</v>
      </c>
      <c r="F556" t="s">
        <v>87</v>
      </c>
      <c r="G556" t="s">
        <v>1663</v>
      </c>
      <c r="H556" t="s">
        <v>143</v>
      </c>
      <c r="I556" t="s">
        <v>90</v>
      </c>
      <c r="J556" t="s">
        <v>745</v>
      </c>
      <c r="K556" t="s">
        <v>262</v>
      </c>
      <c r="L556" t="s">
        <v>1664</v>
      </c>
      <c r="M556" t="s">
        <v>746</v>
      </c>
      <c r="N556" t="s">
        <v>737</v>
      </c>
      <c r="O556" t="s">
        <v>380</v>
      </c>
      <c r="R556" t="s">
        <v>1675</v>
      </c>
      <c r="S556" t="s">
        <v>573</v>
      </c>
      <c r="V556" t="s">
        <v>574</v>
      </c>
      <c r="W556" t="s">
        <v>568</v>
      </c>
      <c r="AD556" t="s">
        <v>752</v>
      </c>
    </row>
    <row r="557" spans="1:32" x14ac:dyDescent="0.25">
      <c r="A557" t="s">
        <v>33</v>
      </c>
      <c r="D557" t="s">
        <v>565</v>
      </c>
      <c r="E557" t="s">
        <v>566</v>
      </c>
      <c r="F557" t="s">
        <v>87</v>
      </c>
      <c r="G557" t="s">
        <v>781</v>
      </c>
      <c r="H557" t="s">
        <v>153</v>
      </c>
      <c r="I557" t="s">
        <v>180</v>
      </c>
      <c r="J557" t="s">
        <v>154</v>
      </c>
      <c r="K557" t="s">
        <v>155</v>
      </c>
      <c r="L557" t="s">
        <v>782</v>
      </c>
      <c r="N557" t="s">
        <v>783</v>
      </c>
      <c r="O557" t="s">
        <v>187</v>
      </c>
      <c r="R557" t="s">
        <v>1676</v>
      </c>
      <c r="S557" t="s">
        <v>573</v>
      </c>
      <c r="V557" t="s">
        <v>574</v>
      </c>
      <c r="W557" t="s">
        <v>568</v>
      </c>
      <c r="AD557" t="s">
        <v>1677</v>
      </c>
    </row>
    <row r="558" spans="1:32" x14ac:dyDescent="0.25">
      <c r="A558" t="s">
        <v>33</v>
      </c>
      <c r="D558" t="s">
        <v>565</v>
      </c>
      <c r="E558" t="s">
        <v>566</v>
      </c>
      <c r="F558" t="s">
        <v>87</v>
      </c>
      <c r="G558" t="s">
        <v>1663</v>
      </c>
      <c r="H558" t="s">
        <v>38</v>
      </c>
      <c r="I558" t="s">
        <v>106</v>
      </c>
      <c r="J558" t="s">
        <v>40</v>
      </c>
      <c r="K558" t="s">
        <v>41</v>
      </c>
      <c r="L558" t="s">
        <v>1664</v>
      </c>
      <c r="M558" t="s">
        <v>746</v>
      </c>
      <c r="N558" t="s">
        <v>737</v>
      </c>
      <c r="O558" t="s">
        <v>109</v>
      </c>
      <c r="R558" t="s">
        <v>1678</v>
      </c>
      <c r="S558" t="s">
        <v>573</v>
      </c>
      <c r="V558" t="s">
        <v>574</v>
      </c>
      <c r="W558" t="s">
        <v>568</v>
      </c>
      <c r="AD558" t="s">
        <v>754</v>
      </c>
    </row>
    <row r="559" spans="1:32" x14ac:dyDescent="0.25">
      <c r="A559" t="s">
        <v>33</v>
      </c>
      <c r="D559" t="s">
        <v>565</v>
      </c>
      <c r="E559" t="s">
        <v>566</v>
      </c>
      <c r="F559" t="s">
        <v>87</v>
      </c>
      <c r="G559" t="s">
        <v>772</v>
      </c>
      <c r="H559" t="s">
        <v>153</v>
      </c>
      <c r="I559" t="s">
        <v>180</v>
      </c>
      <c r="J559" t="s">
        <v>154</v>
      </c>
      <c r="K559" t="s">
        <v>155</v>
      </c>
      <c r="L559" t="s">
        <v>773</v>
      </c>
      <c r="N559" t="s">
        <v>774</v>
      </c>
      <c r="O559" t="s">
        <v>187</v>
      </c>
      <c r="R559" t="s">
        <v>1679</v>
      </c>
      <c r="S559" t="s">
        <v>573</v>
      </c>
      <c r="V559" t="s">
        <v>574</v>
      </c>
      <c r="W559" t="s">
        <v>568</v>
      </c>
      <c r="AD559" t="s">
        <v>1680</v>
      </c>
    </row>
    <row r="560" spans="1:32" x14ac:dyDescent="0.25">
      <c r="A560" t="s">
        <v>33</v>
      </c>
      <c r="D560" t="s">
        <v>565</v>
      </c>
      <c r="E560" t="s">
        <v>566</v>
      </c>
      <c r="F560" t="s">
        <v>87</v>
      </c>
      <c r="G560" t="s">
        <v>1681</v>
      </c>
      <c r="H560" t="s">
        <v>153</v>
      </c>
      <c r="I560" t="s">
        <v>90</v>
      </c>
      <c r="J560" t="s">
        <v>154</v>
      </c>
      <c r="K560" t="s">
        <v>155</v>
      </c>
      <c r="L560" t="s">
        <v>1682</v>
      </c>
      <c r="N560" t="s">
        <v>757</v>
      </c>
      <c r="O560" t="s">
        <v>386</v>
      </c>
      <c r="R560" t="s">
        <v>1683</v>
      </c>
      <c r="S560" t="s">
        <v>573</v>
      </c>
      <c r="V560" t="s">
        <v>574</v>
      </c>
      <c r="W560" t="s">
        <v>568</v>
      </c>
      <c r="AC560" t="s">
        <v>1684</v>
      </c>
      <c r="AD560" t="s">
        <v>760</v>
      </c>
      <c r="AE560" t="s">
        <v>577</v>
      </c>
      <c r="AF560">
        <v>39</v>
      </c>
    </row>
    <row r="561" spans="1:32" x14ac:dyDescent="0.25">
      <c r="A561" t="s">
        <v>33</v>
      </c>
      <c r="D561" t="s">
        <v>565</v>
      </c>
      <c r="E561" t="s">
        <v>566</v>
      </c>
      <c r="F561" t="s">
        <v>87</v>
      </c>
      <c r="G561" t="s">
        <v>1681</v>
      </c>
      <c r="H561" t="s">
        <v>153</v>
      </c>
      <c r="I561" t="s">
        <v>144</v>
      </c>
      <c r="J561" t="s">
        <v>154</v>
      </c>
      <c r="K561" t="s">
        <v>155</v>
      </c>
      <c r="L561" t="s">
        <v>1682</v>
      </c>
      <c r="N561" t="s">
        <v>757</v>
      </c>
      <c r="O561" t="s">
        <v>156</v>
      </c>
      <c r="R561" t="s">
        <v>1685</v>
      </c>
      <c r="S561" t="s">
        <v>573</v>
      </c>
      <c r="V561" t="s">
        <v>574</v>
      </c>
      <c r="W561" t="s">
        <v>568</v>
      </c>
      <c r="AD561" t="s">
        <v>762</v>
      </c>
    </row>
    <row r="562" spans="1:32" x14ac:dyDescent="0.25">
      <c r="A562" t="s">
        <v>33</v>
      </c>
      <c r="D562" t="s">
        <v>565</v>
      </c>
      <c r="E562" t="s">
        <v>566</v>
      </c>
      <c r="F562" t="s">
        <v>87</v>
      </c>
      <c r="G562" t="s">
        <v>1681</v>
      </c>
      <c r="H562" t="s">
        <v>89</v>
      </c>
      <c r="I562" t="s">
        <v>144</v>
      </c>
      <c r="J562" t="s">
        <v>91</v>
      </c>
      <c r="K562" t="s">
        <v>92</v>
      </c>
      <c r="L562" t="s">
        <v>1682</v>
      </c>
      <c r="M562" t="s">
        <v>94</v>
      </c>
      <c r="N562" t="s">
        <v>757</v>
      </c>
      <c r="O562" t="s">
        <v>150</v>
      </c>
      <c r="P562">
        <v>1E-3</v>
      </c>
      <c r="R562" t="s">
        <v>1686</v>
      </c>
      <c r="S562" t="s">
        <v>573</v>
      </c>
      <c r="V562" t="s">
        <v>574</v>
      </c>
      <c r="W562" t="s">
        <v>568</v>
      </c>
      <c r="AD562" t="s">
        <v>1423</v>
      </c>
    </row>
    <row r="563" spans="1:32" x14ac:dyDescent="0.25">
      <c r="A563" t="s">
        <v>33</v>
      </c>
      <c r="D563" t="s">
        <v>565</v>
      </c>
      <c r="E563" t="s">
        <v>566</v>
      </c>
      <c r="F563" t="s">
        <v>87</v>
      </c>
      <c r="G563" t="s">
        <v>1353</v>
      </c>
      <c r="H563" t="s">
        <v>153</v>
      </c>
      <c r="I563" t="s">
        <v>180</v>
      </c>
      <c r="J563" t="s">
        <v>154</v>
      </c>
      <c r="K563" t="s">
        <v>155</v>
      </c>
      <c r="L563" t="s">
        <v>1354</v>
      </c>
      <c r="N563" t="s">
        <v>459</v>
      </c>
      <c r="O563" t="s">
        <v>187</v>
      </c>
      <c r="R563" t="s">
        <v>1687</v>
      </c>
      <c r="S563" t="s">
        <v>573</v>
      </c>
      <c r="V563" t="s">
        <v>574</v>
      </c>
      <c r="W563" t="s">
        <v>568</v>
      </c>
      <c r="AD563" t="s">
        <v>467</v>
      </c>
    </row>
    <row r="564" spans="1:32" x14ac:dyDescent="0.25">
      <c r="A564" t="s">
        <v>33</v>
      </c>
      <c r="D564" t="s">
        <v>565</v>
      </c>
      <c r="E564" t="s">
        <v>566</v>
      </c>
      <c r="F564" t="s">
        <v>87</v>
      </c>
      <c r="G564" t="s">
        <v>1681</v>
      </c>
      <c r="H564" t="s">
        <v>143</v>
      </c>
      <c r="I564" t="s">
        <v>144</v>
      </c>
      <c r="J564" t="s">
        <v>745</v>
      </c>
      <c r="K564" t="s">
        <v>262</v>
      </c>
      <c r="L564" t="s">
        <v>1682</v>
      </c>
      <c r="M564" t="s">
        <v>746</v>
      </c>
      <c r="N564" t="s">
        <v>757</v>
      </c>
      <c r="O564" t="s">
        <v>147</v>
      </c>
      <c r="R564" t="s">
        <v>1688</v>
      </c>
      <c r="S564" t="s">
        <v>573</v>
      </c>
      <c r="V564" t="s">
        <v>574</v>
      </c>
      <c r="W564" t="s">
        <v>568</v>
      </c>
      <c r="AD564" t="s">
        <v>1429</v>
      </c>
    </row>
    <row r="565" spans="1:32" x14ac:dyDescent="0.25">
      <c r="A565" t="s">
        <v>33</v>
      </c>
      <c r="D565" t="s">
        <v>565</v>
      </c>
      <c r="E565" t="s">
        <v>566</v>
      </c>
      <c r="F565" t="s">
        <v>87</v>
      </c>
      <c r="G565" t="s">
        <v>1681</v>
      </c>
      <c r="H565" t="s">
        <v>89</v>
      </c>
      <c r="I565" t="s">
        <v>90</v>
      </c>
      <c r="J565" t="s">
        <v>91</v>
      </c>
      <c r="K565" t="s">
        <v>92</v>
      </c>
      <c r="L565" t="s">
        <v>1682</v>
      </c>
      <c r="M565" t="s">
        <v>94</v>
      </c>
      <c r="N565" t="s">
        <v>757</v>
      </c>
      <c r="O565" t="s">
        <v>383</v>
      </c>
      <c r="P565">
        <v>1E-3</v>
      </c>
      <c r="R565" t="s">
        <v>1689</v>
      </c>
      <c r="S565" t="s">
        <v>573</v>
      </c>
      <c r="V565" t="s">
        <v>574</v>
      </c>
      <c r="W565" t="s">
        <v>568</v>
      </c>
      <c r="AD565" t="s">
        <v>1441</v>
      </c>
    </row>
    <row r="566" spans="1:32" x14ac:dyDescent="0.25">
      <c r="A566" t="s">
        <v>33</v>
      </c>
      <c r="D566" t="s">
        <v>565</v>
      </c>
      <c r="E566" t="s">
        <v>566</v>
      </c>
      <c r="F566" t="s">
        <v>87</v>
      </c>
      <c r="G566" t="s">
        <v>369</v>
      </c>
      <c r="H566" t="s">
        <v>153</v>
      </c>
      <c r="I566" t="s">
        <v>180</v>
      </c>
      <c r="J566" t="s">
        <v>154</v>
      </c>
      <c r="K566" t="s">
        <v>155</v>
      </c>
      <c r="L566" t="s">
        <v>370</v>
      </c>
      <c r="N566" t="s">
        <v>687</v>
      </c>
      <c r="O566" t="s">
        <v>187</v>
      </c>
      <c r="R566" t="s">
        <v>1690</v>
      </c>
      <c r="S566" t="s">
        <v>573</v>
      </c>
      <c r="V566" t="s">
        <v>574</v>
      </c>
      <c r="W566" t="s">
        <v>568</v>
      </c>
      <c r="AD566" t="s">
        <v>1691</v>
      </c>
    </row>
    <row r="567" spans="1:32" x14ac:dyDescent="0.25">
      <c r="A567" t="s">
        <v>33</v>
      </c>
      <c r="D567" t="s">
        <v>565</v>
      </c>
      <c r="E567" t="s">
        <v>566</v>
      </c>
      <c r="F567" t="s">
        <v>87</v>
      </c>
      <c r="G567" t="s">
        <v>1681</v>
      </c>
      <c r="H567" t="s">
        <v>143</v>
      </c>
      <c r="I567" t="s">
        <v>90</v>
      </c>
      <c r="J567" t="s">
        <v>745</v>
      </c>
      <c r="K567" t="s">
        <v>262</v>
      </c>
      <c r="L567" t="s">
        <v>1682</v>
      </c>
      <c r="M567" t="s">
        <v>746</v>
      </c>
      <c r="N567" t="s">
        <v>757</v>
      </c>
      <c r="O567" t="s">
        <v>380</v>
      </c>
      <c r="R567" t="s">
        <v>1692</v>
      </c>
      <c r="S567" t="s">
        <v>573</v>
      </c>
      <c r="V567" t="s">
        <v>574</v>
      </c>
      <c r="W567" t="s">
        <v>568</v>
      </c>
      <c r="AD567" t="s">
        <v>1443</v>
      </c>
    </row>
    <row r="568" spans="1:32" x14ac:dyDescent="0.25">
      <c r="A568" t="s">
        <v>33</v>
      </c>
      <c r="D568" t="s">
        <v>565</v>
      </c>
      <c r="E568" t="s">
        <v>566</v>
      </c>
      <c r="F568" t="s">
        <v>87</v>
      </c>
      <c r="G568" t="s">
        <v>1681</v>
      </c>
      <c r="H568" t="s">
        <v>38</v>
      </c>
      <c r="I568" t="s">
        <v>106</v>
      </c>
      <c r="J568" t="s">
        <v>40</v>
      </c>
      <c r="K568" t="s">
        <v>41</v>
      </c>
      <c r="L568" t="s">
        <v>1682</v>
      </c>
      <c r="M568" t="s">
        <v>746</v>
      </c>
      <c r="N568" t="s">
        <v>757</v>
      </c>
      <c r="O568" t="s">
        <v>109</v>
      </c>
      <c r="R568" t="s">
        <v>1693</v>
      </c>
      <c r="S568" t="s">
        <v>573</v>
      </c>
      <c r="V568" t="s">
        <v>574</v>
      </c>
      <c r="W568" t="s">
        <v>568</v>
      </c>
      <c r="AD568" t="s">
        <v>1449</v>
      </c>
    </row>
    <row r="569" spans="1:32" x14ac:dyDescent="0.25">
      <c r="A569" t="s">
        <v>33</v>
      </c>
      <c r="D569" t="s">
        <v>565</v>
      </c>
      <c r="E569" t="s">
        <v>566</v>
      </c>
      <c r="F569" t="s">
        <v>87</v>
      </c>
      <c r="G569" t="s">
        <v>1164</v>
      </c>
      <c r="H569" t="s">
        <v>153</v>
      </c>
      <c r="I569" t="s">
        <v>180</v>
      </c>
      <c r="J569" t="s">
        <v>154</v>
      </c>
      <c r="K569" t="s">
        <v>155</v>
      </c>
      <c r="L569" t="s">
        <v>1165</v>
      </c>
      <c r="N569" t="s">
        <v>1166</v>
      </c>
      <c r="O569" t="s">
        <v>187</v>
      </c>
      <c r="R569" t="s">
        <v>1694</v>
      </c>
      <c r="S569" t="s">
        <v>573</v>
      </c>
      <c r="V569" t="s">
        <v>574</v>
      </c>
      <c r="W569" t="s">
        <v>568</v>
      </c>
      <c r="AD569" t="s">
        <v>1695</v>
      </c>
    </row>
    <row r="570" spans="1:32" x14ac:dyDescent="0.25">
      <c r="A570" t="s">
        <v>33</v>
      </c>
      <c r="D570" t="s">
        <v>565</v>
      </c>
      <c r="E570" t="s">
        <v>566</v>
      </c>
      <c r="F570" t="s">
        <v>87</v>
      </c>
      <c r="G570" t="s">
        <v>1696</v>
      </c>
      <c r="H570" t="s">
        <v>153</v>
      </c>
      <c r="I570" t="s">
        <v>90</v>
      </c>
      <c r="J570" t="s">
        <v>154</v>
      </c>
      <c r="K570" t="s">
        <v>155</v>
      </c>
      <c r="L570" t="s">
        <v>1697</v>
      </c>
      <c r="N570" t="s">
        <v>1460</v>
      </c>
      <c r="O570" t="s">
        <v>386</v>
      </c>
      <c r="R570" t="s">
        <v>1698</v>
      </c>
      <c r="S570" t="s">
        <v>573</v>
      </c>
      <c r="V570" t="s">
        <v>574</v>
      </c>
      <c r="W570" t="s">
        <v>568</v>
      </c>
      <c r="AC570" t="s">
        <v>1699</v>
      </c>
      <c r="AD570" t="s">
        <v>1463</v>
      </c>
      <c r="AE570" t="s">
        <v>577</v>
      </c>
      <c r="AF570">
        <v>40</v>
      </c>
    </row>
    <row r="571" spans="1:32" x14ac:dyDescent="0.25">
      <c r="A571" t="s">
        <v>33</v>
      </c>
      <c r="D571" t="s">
        <v>565</v>
      </c>
      <c r="E571" t="s">
        <v>566</v>
      </c>
      <c r="F571" t="s">
        <v>87</v>
      </c>
      <c r="G571" t="s">
        <v>1696</v>
      </c>
      <c r="H571" t="s">
        <v>153</v>
      </c>
      <c r="I571" t="s">
        <v>144</v>
      </c>
      <c r="J571" t="s">
        <v>154</v>
      </c>
      <c r="K571" t="s">
        <v>155</v>
      </c>
      <c r="L571" t="s">
        <v>1697</v>
      </c>
      <c r="N571" t="s">
        <v>1460</v>
      </c>
      <c r="O571" t="s">
        <v>156</v>
      </c>
      <c r="R571" t="s">
        <v>1700</v>
      </c>
      <c r="S571" t="s">
        <v>573</v>
      </c>
      <c r="V571" t="s">
        <v>574</v>
      </c>
      <c r="W571" t="s">
        <v>568</v>
      </c>
      <c r="AD571" t="s">
        <v>1473</v>
      </c>
    </row>
    <row r="572" spans="1:32" x14ac:dyDescent="0.25">
      <c r="A572" t="s">
        <v>33</v>
      </c>
      <c r="D572" t="s">
        <v>565</v>
      </c>
      <c r="E572" t="s">
        <v>566</v>
      </c>
      <c r="F572" t="s">
        <v>36</v>
      </c>
      <c r="G572" t="s">
        <v>958</v>
      </c>
      <c r="H572" t="s">
        <v>153</v>
      </c>
      <c r="I572" t="s">
        <v>716</v>
      </c>
      <c r="J572" t="s">
        <v>154</v>
      </c>
      <c r="K572" t="s">
        <v>155</v>
      </c>
      <c r="L572" t="s">
        <v>959</v>
      </c>
      <c r="N572" t="s">
        <v>961</v>
      </c>
      <c r="O572" t="s">
        <v>717</v>
      </c>
      <c r="R572" t="s">
        <v>1701</v>
      </c>
      <c r="S572" t="s">
        <v>573</v>
      </c>
      <c r="V572" t="s">
        <v>574</v>
      </c>
      <c r="W572" t="s">
        <v>568</v>
      </c>
      <c r="AD572" t="s">
        <v>1702</v>
      </c>
    </row>
    <row r="573" spans="1:32" x14ac:dyDescent="0.25">
      <c r="A573" t="s">
        <v>33</v>
      </c>
      <c r="D573" t="s">
        <v>565</v>
      </c>
      <c r="E573" t="s">
        <v>566</v>
      </c>
      <c r="F573" t="s">
        <v>87</v>
      </c>
      <c r="G573" t="s">
        <v>1696</v>
      </c>
      <c r="H573" t="s">
        <v>89</v>
      </c>
      <c r="I573" t="s">
        <v>144</v>
      </c>
      <c r="J573" t="s">
        <v>91</v>
      </c>
      <c r="K573" t="s">
        <v>92</v>
      </c>
      <c r="L573" t="s">
        <v>1697</v>
      </c>
      <c r="M573" t="s">
        <v>94</v>
      </c>
      <c r="N573" t="s">
        <v>1460</v>
      </c>
      <c r="O573" t="s">
        <v>150</v>
      </c>
      <c r="P573">
        <v>1E-3</v>
      </c>
      <c r="R573" t="s">
        <v>1703</v>
      </c>
      <c r="S573" t="s">
        <v>573</v>
      </c>
      <c r="V573" t="s">
        <v>574</v>
      </c>
      <c r="W573" t="s">
        <v>568</v>
      </c>
      <c r="AD573" t="s">
        <v>1475</v>
      </c>
    </row>
    <row r="574" spans="1:32" x14ac:dyDescent="0.25">
      <c r="A574" t="s">
        <v>33</v>
      </c>
      <c r="D574" t="s">
        <v>565</v>
      </c>
      <c r="E574" t="s">
        <v>566</v>
      </c>
      <c r="F574" t="s">
        <v>87</v>
      </c>
      <c r="G574" t="s">
        <v>1696</v>
      </c>
      <c r="H574" t="s">
        <v>143</v>
      </c>
      <c r="I574" t="s">
        <v>144</v>
      </c>
      <c r="J574" t="s">
        <v>745</v>
      </c>
      <c r="K574" t="s">
        <v>262</v>
      </c>
      <c r="L574" t="s">
        <v>1697</v>
      </c>
      <c r="M574" t="s">
        <v>746</v>
      </c>
      <c r="N574" t="s">
        <v>1460</v>
      </c>
      <c r="O574" t="s">
        <v>147</v>
      </c>
      <c r="R574" t="s">
        <v>1704</v>
      </c>
      <c r="S574" t="s">
        <v>573</v>
      </c>
      <c r="V574" t="s">
        <v>574</v>
      </c>
      <c r="W574" t="s">
        <v>568</v>
      </c>
      <c r="AD574" t="s">
        <v>1481</v>
      </c>
    </row>
    <row r="575" spans="1:32" x14ac:dyDescent="0.25">
      <c r="A575" t="s">
        <v>33</v>
      </c>
      <c r="D575" t="s">
        <v>565</v>
      </c>
      <c r="E575" t="s">
        <v>566</v>
      </c>
      <c r="F575" t="s">
        <v>87</v>
      </c>
      <c r="G575" t="s">
        <v>1696</v>
      </c>
      <c r="H575" t="s">
        <v>89</v>
      </c>
      <c r="I575" t="s">
        <v>90</v>
      </c>
      <c r="J575" t="s">
        <v>91</v>
      </c>
      <c r="K575" t="s">
        <v>92</v>
      </c>
      <c r="L575" t="s">
        <v>1697</v>
      </c>
      <c r="M575" t="s">
        <v>94</v>
      </c>
      <c r="N575" t="s">
        <v>1460</v>
      </c>
      <c r="O575" t="s">
        <v>383</v>
      </c>
      <c r="P575">
        <v>1E-3</v>
      </c>
      <c r="R575" t="s">
        <v>1705</v>
      </c>
      <c r="S575" t="s">
        <v>573</v>
      </c>
      <c r="V575" t="s">
        <v>574</v>
      </c>
      <c r="W575" t="s">
        <v>568</v>
      </c>
      <c r="AD575" t="s">
        <v>1656</v>
      </c>
    </row>
    <row r="576" spans="1:32" x14ac:dyDescent="0.25">
      <c r="A576" t="s">
        <v>33</v>
      </c>
      <c r="D576" t="s">
        <v>565</v>
      </c>
      <c r="E576" t="s">
        <v>566</v>
      </c>
      <c r="F576" t="s">
        <v>36</v>
      </c>
      <c r="G576" t="s">
        <v>958</v>
      </c>
      <c r="H576" t="s">
        <v>153</v>
      </c>
      <c r="I576" t="s">
        <v>721</v>
      </c>
      <c r="J576" t="s">
        <v>154</v>
      </c>
      <c r="K576" t="s">
        <v>155</v>
      </c>
      <c r="L576" t="s">
        <v>959</v>
      </c>
      <c r="N576" t="s">
        <v>961</v>
      </c>
      <c r="O576" t="s">
        <v>722</v>
      </c>
      <c r="R576" t="s">
        <v>1706</v>
      </c>
      <c r="S576" t="s">
        <v>573</v>
      </c>
      <c r="V576" t="s">
        <v>574</v>
      </c>
      <c r="W576" t="s">
        <v>568</v>
      </c>
      <c r="AD576" t="s">
        <v>1707</v>
      </c>
    </row>
    <row r="577" spans="1:32" x14ac:dyDescent="0.25">
      <c r="A577" t="s">
        <v>33</v>
      </c>
      <c r="D577" t="s">
        <v>565</v>
      </c>
      <c r="E577" t="s">
        <v>566</v>
      </c>
      <c r="F577" t="s">
        <v>87</v>
      </c>
      <c r="G577" t="s">
        <v>1696</v>
      </c>
      <c r="H577" t="s">
        <v>143</v>
      </c>
      <c r="I577" t="s">
        <v>90</v>
      </c>
      <c r="J577" t="s">
        <v>745</v>
      </c>
      <c r="K577" t="s">
        <v>262</v>
      </c>
      <c r="L577" t="s">
        <v>1697</v>
      </c>
      <c r="M577" t="s">
        <v>746</v>
      </c>
      <c r="N577" t="s">
        <v>1460</v>
      </c>
      <c r="O577" t="s">
        <v>380</v>
      </c>
      <c r="R577" t="s">
        <v>1708</v>
      </c>
      <c r="S577" t="s">
        <v>573</v>
      </c>
      <c r="V577" t="s">
        <v>574</v>
      </c>
      <c r="W577" t="s">
        <v>568</v>
      </c>
      <c r="AD577" t="s">
        <v>1658</v>
      </c>
    </row>
    <row r="578" spans="1:32" x14ac:dyDescent="0.25">
      <c r="A578" t="s">
        <v>33</v>
      </c>
      <c r="D578" t="s">
        <v>565</v>
      </c>
      <c r="E578" t="s">
        <v>566</v>
      </c>
      <c r="F578" t="s">
        <v>87</v>
      </c>
      <c r="G578" t="s">
        <v>1696</v>
      </c>
      <c r="H578" t="s">
        <v>38</v>
      </c>
      <c r="I578" t="s">
        <v>106</v>
      </c>
      <c r="J578" t="s">
        <v>40</v>
      </c>
      <c r="K578" t="s">
        <v>41</v>
      </c>
      <c r="L578" t="s">
        <v>1697</v>
      </c>
      <c r="M578" t="s">
        <v>746</v>
      </c>
      <c r="N578" t="s">
        <v>1460</v>
      </c>
      <c r="O578" t="s">
        <v>109</v>
      </c>
      <c r="R578" t="s">
        <v>1709</v>
      </c>
      <c r="S578" t="s">
        <v>573</v>
      </c>
      <c r="V578" t="s">
        <v>574</v>
      </c>
      <c r="W578" t="s">
        <v>568</v>
      </c>
      <c r="AD578" t="s">
        <v>1662</v>
      </c>
    </row>
    <row r="579" spans="1:32" x14ac:dyDescent="0.25">
      <c r="A579" t="s">
        <v>33</v>
      </c>
      <c r="D579" t="s">
        <v>565</v>
      </c>
      <c r="E579" t="s">
        <v>566</v>
      </c>
      <c r="F579" t="s">
        <v>87</v>
      </c>
      <c r="G579" t="s">
        <v>1238</v>
      </c>
      <c r="H579" t="s">
        <v>153</v>
      </c>
      <c r="I579" t="s">
        <v>100</v>
      </c>
      <c r="J579" t="s">
        <v>154</v>
      </c>
      <c r="K579" t="s">
        <v>155</v>
      </c>
      <c r="L579" t="s">
        <v>1239</v>
      </c>
      <c r="N579" t="s">
        <v>1240</v>
      </c>
      <c r="O579" t="s">
        <v>213</v>
      </c>
      <c r="R579" t="s">
        <v>1710</v>
      </c>
      <c r="S579" t="s">
        <v>573</v>
      </c>
      <c r="V579" t="s">
        <v>574</v>
      </c>
      <c r="W579" t="s">
        <v>568</v>
      </c>
      <c r="AD579" t="s">
        <v>1711</v>
      </c>
    </row>
    <row r="580" spans="1:32" x14ac:dyDescent="0.25">
      <c r="A580" t="s">
        <v>33</v>
      </c>
      <c r="D580" t="s">
        <v>565</v>
      </c>
      <c r="E580" t="s">
        <v>566</v>
      </c>
      <c r="F580" t="s">
        <v>87</v>
      </c>
      <c r="G580" t="s">
        <v>1712</v>
      </c>
      <c r="H580" t="s">
        <v>153</v>
      </c>
      <c r="I580" t="s">
        <v>90</v>
      </c>
      <c r="J580" t="s">
        <v>154</v>
      </c>
      <c r="K580" t="s">
        <v>155</v>
      </c>
      <c r="L580" t="s">
        <v>1713</v>
      </c>
      <c r="N580" t="s">
        <v>1714</v>
      </c>
      <c r="O580" t="s">
        <v>386</v>
      </c>
      <c r="R580" t="s">
        <v>1715</v>
      </c>
      <c r="S580" t="s">
        <v>573</v>
      </c>
      <c r="V580" t="s">
        <v>574</v>
      </c>
      <c r="W580" t="s">
        <v>568</v>
      </c>
      <c r="AC580" t="s">
        <v>1716</v>
      </c>
      <c r="AD580" t="s">
        <v>1717</v>
      </c>
      <c r="AE580" t="s">
        <v>577</v>
      </c>
      <c r="AF580">
        <v>41</v>
      </c>
    </row>
    <row r="581" spans="1:32" x14ac:dyDescent="0.25">
      <c r="A581" t="s">
        <v>33</v>
      </c>
      <c r="D581" t="s">
        <v>565</v>
      </c>
      <c r="E581" t="s">
        <v>566</v>
      </c>
      <c r="F581" t="s">
        <v>87</v>
      </c>
      <c r="G581" t="s">
        <v>1712</v>
      </c>
      <c r="H581" t="s">
        <v>153</v>
      </c>
      <c r="I581" t="s">
        <v>144</v>
      </c>
      <c r="J581" t="s">
        <v>154</v>
      </c>
      <c r="K581" t="s">
        <v>155</v>
      </c>
      <c r="L581" t="s">
        <v>1713</v>
      </c>
      <c r="N581" t="s">
        <v>1714</v>
      </c>
      <c r="O581" t="s">
        <v>156</v>
      </c>
      <c r="R581" t="s">
        <v>1718</v>
      </c>
      <c r="S581" t="s">
        <v>573</v>
      </c>
      <c r="V581" t="s">
        <v>574</v>
      </c>
      <c r="W581" t="s">
        <v>568</v>
      </c>
      <c r="AD581" t="s">
        <v>1719</v>
      </c>
    </row>
    <row r="582" spans="1:32" x14ac:dyDescent="0.25">
      <c r="A582" t="s">
        <v>33</v>
      </c>
      <c r="D582" t="s">
        <v>565</v>
      </c>
      <c r="E582" t="s">
        <v>566</v>
      </c>
      <c r="F582" t="s">
        <v>36</v>
      </c>
      <c r="G582" t="s">
        <v>958</v>
      </c>
      <c r="H582" t="s">
        <v>153</v>
      </c>
      <c r="I582" t="s">
        <v>100</v>
      </c>
      <c r="J582" t="s">
        <v>154</v>
      </c>
      <c r="K582" t="s">
        <v>155</v>
      </c>
      <c r="L582" t="s">
        <v>959</v>
      </c>
      <c r="N582" t="s">
        <v>961</v>
      </c>
      <c r="O582" t="s">
        <v>448</v>
      </c>
      <c r="R582" t="s">
        <v>1720</v>
      </c>
      <c r="S582" t="s">
        <v>573</v>
      </c>
      <c r="V582" t="s">
        <v>574</v>
      </c>
      <c r="W582" t="s">
        <v>568</v>
      </c>
      <c r="AD582" t="s">
        <v>1721</v>
      </c>
    </row>
    <row r="583" spans="1:32" x14ac:dyDescent="0.25">
      <c r="A583" t="s">
        <v>33</v>
      </c>
      <c r="D583" t="s">
        <v>565</v>
      </c>
      <c r="E583" t="s">
        <v>566</v>
      </c>
      <c r="F583" t="s">
        <v>87</v>
      </c>
      <c r="G583" t="s">
        <v>1712</v>
      </c>
      <c r="H583" t="s">
        <v>89</v>
      </c>
      <c r="I583" t="s">
        <v>144</v>
      </c>
      <c r="J583" t="s">
        <v>91</v>
      </c>
      <c r="K583" t="s">
        <v>92</v>
      </c>
      <c r="L583" t="s">
        <v>1713</v>
      </c>
      <c r="M583" t="s">
        <v>94</v>
      </c>
      <c r="N583" t="s">
        <v>1714</v>
      </c>
      <c r="O583" t="s">
        <v>150</v>
      </c>
      <c r="P583">
        <v>1E-3</v>
      </c>
      <c r="R583" t="s">
        <v>1722</v>
      </c>
      <c r="S583" t="s">
        <v>573</v>
      </c>
      <c r="V583" t="s">
        <v>574</v>
      </c>
      <c r="W583" t="s">
        <v>568</v>
      </c>
      <c r="AD583" t="s">
        <v>1723</v>
      </c>
    </row>
    <row r="584" spans="1:32" x14ac:dyDescent="0.25">
      <c r="A584" t="s">
        <v>33</v>
      </c>
      <c r="D584" t="s">
        <v>565</v>
      </c>
      <c r="E584" t="s">
        <v>566</v>
      </c>
      <c r="F584" t="s">
        <v>87</v>
      </c>
      <c r="G584" t="s">
        <v>1712</v>
      </c>
      <c r="H584" t="s">
        <v>143</v>
      </c>
      <c r="I584" t="s">
        <v>144</v>
      </c>
      <c r="J584" t="s">
        <v>745</v>
      </c>
      <c r="K584" t="s">
        <v>262</v>
      </c>
      <c r="L584" t="s">
        <v>1713</v>
      </c>
      <c r="M584" t="s">
        <v>746</v>
      </c>
      <c r="N584" t="s">
        <v>1714</v>
      </c>
      <c r="O584" t="s">
        <v>147</v>
      </c>
      <c r="R584" t="s">
        <v>1724</v>
      </c>
      <c r="S584" t="s">
        <v>573</v>
      </c>
      <c r="V584" t="s">
        <v>574</v>
      </c>
      <c r="W584" t="s">
        <v>568</v>
      </c>
      <c r="AD584" t="s">
        <v>1725</v>
      </c>
    </row>
    <row r="585" spans="1:32" x14ac:dyDescent="0.25">
      <c r="A585" t="s">
        <v>33</v>
      </c>
      <c r="D585" t="s">
        <v>565</v>
      </c>
      <c r="E585" t="s">
        <v>566</v>
      </c>
      <c r="F585" t="s">
        <v>87</v>
      </c>
      <c r="G585" t="s">
        <v>1712</v>
      </c>
      <c r="H585" t="s">
        <v>89</v>
      </c>
      <c r="I585" t="s">
        <v>90</v>
      </c>
      <c r="J585" t="s">
        <v>91</v>
      </c>
      <c r="K585" t="s">
        <v>92</v>
      </c>
      <c r="L585" t="s">
        <v>1713</v>
      </c>
      <c r="M585" t="s">
        <v>94</v>
      </c>
      <c r="N585" t="s">
        <v>1714</v>
      </c>
      <c r="O585" t="s">
        <v>383</v>
      </c>
      <c r="P585">
        <v>1E-3</v>
      </c>
      <c r="R585" t="s">
        <v>1726</v>
      </c>
      <c r="S585" t="s">
        <v>573</v>
      </c>
      <c r="V585" t="s">
        <v>574</v>
      </c>
      <c r="W585" t="s">
        <v>568</v>
      </c>
      <c r="AD585" t="s">
        <v>1727</v>
      </c>
    </row>
    <row r="586" spans="1:32" x14ac:dyDescent="0.25">
      <c r="A586" t="s">
        <v>33</v>
      </c>
      <c r="D586" t="s">
        <v>565</v>
      </c>
      <c r="E586" t="s">
        <v>566</v>
      </c>
      <c r="F586" t="s">
        <v>87</v>
      </c>
      <c r="G586" t="s">
        <v>1712</v>
      </c>
      <c r="H586" t="s">
        <v>143</v>
      </c>
      <c r="I586" t="s">
        <v>90</v>
      </c>
      <c r="J586" t="s">
        <v>745</v>
      </c>
      <c r="K586" t="s">
        <v>262</v>
      </c>
      <c r="L586" t="s">
        <v>1713</v>
      </c>
      <c r="M586" t="s">
        <v>746</v>
      </c>
      <c r="N586" t="s">
        <v>1714</v>
      </c>
      <c r="O586" t="s">
        <v>380</v>
      </c>
      <c r="R586" t="s">
        <v>1728</v>
      </c>
      <c r="S586" t="s">
        <v>573</v>
      </c>
      <c r="V586" t="s">
        <v>574</v>
      </c>
      <c r="W586" t="s">
        <v>568</v>
      </c>
      <c r="AD586" t="s">
        <v>1729</v>
      </c>
    </row>
    <row r="587" spans="1:32" x14ac:dyDescent="0.25">
      <c r="A587" t="s">
        <v>33</v>
      </c>
      <c r="D587" t="s">
        <v>565</v>
      </c>
      <c r="E587" t="s">
        <v>566</v>
      </c>
      <c r="F587" t="s">
        <v>87</v>
      </c>
      <c r="G587" t="s">
        <v>1712</v>
      </c>
      <c r="H587" t="s">
        <v>38</v>
      </c>
      <c r="I587" t="s">
        <v>106</v>
      </c>
      <c r="J587" t="s">
        <v>40</v>
      </c>
      <c r="K587" t="s">
        <v>41</v>
      </c>
      <c r="L587" t="s">
        <v>1713</v>
      </c>
      <c r="M587" t="s">
        <v>746</v>
      </c>
      <c r="N587" t="s">
        <v>1714</v>
      </c>
      <c r="O587" t="s">
        <v>109</v>
      </c>
      <c r="R587" t="s">
        <v>1730</v>
      </c>
      <c r="S587" t="s">
        <v>573</v>
      </c>
      <c r="V587" t="s">
        <v>574</v>
      </c>
      <c r="W587" t="s">
        <v>568</v>
      </c>
      <c r="AD587" t="s">
        <v>1731</v>
      </c>
    </row>
    <row r="588" spans="1:32" x14ac:dyDescent="0.25">
      <c r="A588" t="s">
        <v>33</v>
      </c>
      <c r="D588" t="s">
        <v>565</v>
      </c>
      <c r="E588" t="s">
        <v>566</v>
      </c>
      <c r="F588" t="s">
        <v>87</v>
      </c>
      <c r="G588" t="s">
        <v>1732</v>
      </c>
      <c r="H588" t="s">
        <v>153</v>
      </c>
      <c r="I588" t="s">
        <v>90</v>
      </c>
      <c r="J588" t="s">
        <v>154</v>
      </c>
      <c r="K588" t="s">
        <v>155</v>
      </c>
      <c r="L588" t="s">
        <v>1733</v>
      </c>
      <c r="N588" t="s">
        <v>1714</v>
      </c>
      <c r="O588" t="s">
        <v>386</v>
      </c>
      <c r="R588" t="s">
        <v>1734</v>
      </c>
      <c r="S588" t="s">
        <v>573</v>
      </c>
      <c r="V588" t="s">
        <v>574</v>
      </c>
      <c r="W588" t="s">
        <v>568</v>
      </c>
      <c r="AC588" t="s">
        <v>1735</v>
      </c>
      <c r="AD588" t="s">
        <v>1717</v>
      </c>
      <c r="AE588" t="s">
        <v>577</v>
      </c>
      <c r="AF588">
        <v>42</v>
      </c>
    </row>
    <row r="589" spans="1:32" x14ac:dyDescent="0.25">
      <c r="A589" t="s">
        <v>33</v>
      </c>
      <c r="D589" t="s">
        <v>565</v>
      </c>
      <c r="E589" t="s">
        <v>566</v>
      </c>
      <c r="F589" t="s">
        <v>87</v>
      </c>
      <c r="G589" t="s">
        <v>1732</v>
      </c>
      <c r="H589" t="s">
        <v>153</v>
      </c>
      <c r="I589" t="s">
        <v>144</v>
      </c>
      <c r="J589" t="s">
        <v>154</v>
      </c>
      <c r="K589" t="s">
        <v>155</v>
      </c>
      <c r="L589" t="s">
        <v>1733</v>
      </c>
      <c r="N589" t="s">
        <v>1714</v>
      </c>
      <c r="O589" t="s">
        <v>156</v>
      </c>
      <c r="R589" t="s">
        <v>1736</v>
      </c>
      <c r="S589" t="s">
        <v>573</v>
      </c>
      <c r="V589" t="s">
        <v>574</v>
      </c>
      <c r="W589" t="s">
        <v>568</v>
      </c>
      <c r="AD589" t="s">
        <v>1719</v>
      </c>
    </row>
    <row r="590" spans="1:32" x14ac:dyDescent="0.25">
      <c r="A590" t="s">
        <v>33</v>
      </c>
      <c r="D590" t="s">
        <v>565</v>
      </c>
      <c r="E590" t="s">
        <v>566</v>
      </c>
      <c r="F590" t="s">
        <v>87</v>
      </c>
      <c r="G590" t="s">
        <v>1732</v>
      </c>
      <c r="H590" t="s">
        <v>89</v>
      </c>
      <c r="I590" t="s">
        <v>144</v>
      </c>
      <c r="J590" t="s">
        <v>91</v>
      </c>
      <c r="K590" t="s">
        <v>92</v>
      </c>
      <c r="L590" t="s">
        <v>1733</v>
      </c>
      <c r="M590" t="s">
        <v>94</v>
      </c>
      <c r="N590" t="s">
        <v>1714</v>
      </c>
      <c r="O590" t="s">
        <v>150</v>
      </c>
      <c r="P590">
        <v>1E-3</v>
      </c>
      <c r="R590" t="s">
        <v>1737</v>
      </c>
      <c r="S590" t="s">
        <v>573</v>
      </c>
      <c r="V590" t="s">
        <v>574</v>
      </c>
      <c r="W590" t="s">
        <v>568</v>
      </c>
      <c r="AD590" t="s">
        <v>1723</v>
      </c>
    </row>
    <row r="591" spans="1:32" x14ac:dyDescent="0.25">
      <c r="A591" t="s">
        <v>33</v>
      </c>
      <c r="D591" t="s">
        <v>565</v>
      </c>
      <c r="E591" t="s">
        <v>566</v>
      </c>
      <c r="F591" t="s">
        <v>87</v>
      </c>
      <c r="G591" t="s">
        <v>1732</v>
      </c>
      <c r="H591" t="s">
        <v>143</v>
      </c>
      <c r="I591" t="s">
        <v>144</v>
      </c>
      <c r="J591" t="s">
        <v>745</v>
      </c>
      <c r="K591" t="s">
        <v>262</v>
      </c>
      <c r="L591" t="s">
        <v>1733</v>
      </c>
      <c r="M591" t="s">
        <v>746</v>
      </c>
      <c r="N591" t="s">
        <v>1714</v>
      </c>
      <c r="O591" t="s">
        <v>147</v>
      </c>
      <c r="R591" t="s">
        <v>1738</v>
      </c>
      <c r="S591" t="s">
        <v>573</v>
      </c>
      <c r="V591" t="s">
        <v>574</v>
      </c>
      <c r="W591" t="s">
        <v>568</v>
      </c>
      <c r="AD591" t="s">
        <v>1725</v>
      </c>
    </row>
    <row r="592" spans="1:32" x14ac:dyDescent="0.25">
      <c r="A592" t="s">
        <v>33</v>
      </c>
      <c r="D592" t="s">
        <v>565</v>
      </c>
      <c r="E592" t="s">
        <v>566</v>
      </c>
      <c r="F592" t="s">
        <v>87</v>
      </c>
      <c r="G592" t="s">
        <v>1732</v>
      </c>
      <c r="H592" t="s">
        <v>89</v>
      </c>
      <c r="I592" t="s">
        <v>90</v>
      </c>
      <c r="J592" t="s">
        <v>91</v>
      </c>
      <c r="K592" t="s">
        <v>92</v>
      </c>
      <c r="L592" t="s">
        <v>1733</v>
      </c>
      <c r="M592" t="s">
        <v>94</v>
      </c>
      <c r="N592" t="s">
        <v>1714</v>
      </c>
      <c r="O592" t="s">
        <v>383</v>
      </c>
      <c r="P592">
        <v>1E-3</v>
      </c>
      <c r="R592" t="s">
        <v>1739</v>
      </c>
      <c r="S592" t="s">
        <v>573</v>
      </c>
      <c r="V592" t="s">
        <v>574</v>
      </c>
      <c r="W592" t="s">
        <v>568</v>
      </c>
      <c r="AD592" t="s">
        <v>1727</v>
      </c>
    </row>
    <row r="593" spans="1:32" x14ac:dyDescent="0.25">
      <c r="A593" t="s">
        <v>33</v>
      </c>
      <c r="D593" t="s">
        <v>565</v>
      </c>
      <c r="E593" t="s">
        <v>566</v>
      </c>
      <c r="F593" t="s">
        <v>87</v>
      </c>
      <c r="G593" t="s">
        <v>1732</v>
      </c>
      <c r="H593" t="s">
        <v>143</v>
      </c>
      <c r="I593" t="s">
        <v>90</v>
      </c>
      <c r="J593" t="s">
        <v>745</v>
      </c>
      <c r="K593" t="s">
        <v>262</v>
      </c>
      <c r="L593" t="s">
        <v>1733</v>
      </c>
      <c r="M593" t="s">
        <v>746</v>
      </c>
      <c r="N593" t="s">
        <v>1714</v>
      </c>
      <c r="O593" t="s">
        <v>380</v>
      </c>
      <c r="R593" t="s">
        <v>1740</v>
      </c>
      <c r="S593" t="s">
        <v>573</v>
      </c>
      <c r="V593" t="s">
        <v>574</v>
      </c>
      <c r="W593" t="s">
        <v>568</v>
      </c>
      <c r="AD593" t="s">
        <v>1729</v>
      </c>
    </row>
    <row r="594" spans="1:32" x14ac:dyDescent="0.25">
      <c r="A594" t="s">
        <v>33</v>
      </c>
      <c r="D594" t="s">
        <v>565</v>
      </c>
      <c r="E594" t="s">
        <v>566</v>
      </c>
      <c r="F594" t="s">
        <v>87</v>
      </c>
      <c r="G594" t="s">
        <v>1732</v>
      </c>
      <c r="H594" t="s">
        <v>38</v>
      </c>
      <c r="I594" t="s">
        <v>106</v>
      </c>
      <c r="J594" t="s">
        <v>40</v>
      </c>
      <c r="K594" t="s">
        <v>41</v>
      </c>
      <c r="L594" t="s">
        <v>1733</v>
      </c>
      <c r="M594" t="s">
        <v>746</v>
      </c>
      <c r="N594" t="s">
        <v>1714</v>
      </c>
      <c r="O594" t="s">
        <v>109</v>
      </c>
      <c r="R594" t="s">
        <v>1741</v>
      </c>
      <c r="S594" t="s">
        <v>573</v>
      </c>
      <c r="V594" t="s">
        <v>574</v>
      </c>
      <c r="W594" t="s">
        <v>568</v>
      </c>
      <c r="AD594" t="s">
        <v>1731</v>
      </c>
    </row>
    <row r="595" spans="1:32" x14ac:dyDescent="0.25">
      <c r="A595" t="s">
        <v>33</v>
      </c>
      <c r="D595" t="s">
        <v>565</v>
      </c>
      <c r="E595" t="s">
        <v>566</v>
      </c>
      <c r="F595" t="s">
        <v>87</v>
      </c>
      <c r="G595" t="s">
        <v>1742</v>
      </c>
      <c r="H595" t="s">
        <v>153</v>
      </c>
      <c r="I595" t="s">
        <v>90</v>
      </c>
      <c r="J595" t="s">
        <v>154</v>
      </c>
      <c r="K595" t="s">
        <v>155</v>
      </c>
      <c r="L595" t="s">
        <v>1743</v>
      </c>
      <c r="N595" t="s">
        <v>1744</v>
      </c>
      <c r="O595" t="s">
        <v>386</v>
      </c>
      <c r="R595" t="s">
        <v>1745</v>
      </c>
      <c r="S595" t="s">
        <v>573</v>
      </c>
      <c r="V595" t="s">
        <v>574</v>
      </c>
      <c r="W595" t="s">
        <v>568</v>
      </c>
      <c r="AC595" t="s">
        <v>1746</v>
      </c>
      <c r="AD595" t="s">
        <v>1747</v>
      </c>
      <c r="AE595" t="s">
        <v>577</v>
      </c>
      <c r="AF595">
        <v>43</v>
      </c>
    </row>
    <row r="596" spans="1:32" x14ac:dyDescent="0.25">
      <c r="A596" t="s">
        <v>33</v>
      </c>
      <c r="D596" t="s">
        <v>565</v>
      </c>
      <c r="E596" t="s">
        <v>566</v>
      </c>
      <c r="F596" t="s">
        <v>87</v>
      </c>
      <c r="G596" t="s">
        <v>1742</v>
      </c>
      <c r="H596" t="s">
        <v>153</v>
      </c>
      <c r="I596" t="s">
        <v>144</v>
      </c>
      <c r="J596" t="s">
        <v>154</v>
      </c>
      <c r="K596" t="s">
        <v>155</v>
      </c>
      <c r="L596" t="s">
        <v>1743</v>
      </c>
      <c r="N596" t="s">
        <v>1744</v>
      </c>
      <c r="O596" t="s">
        <v>156</v>
      </c>
      <c r="R596" t="s">
        <v>1748</v>
      </c>
      <c r="S596" t="s">
        <v>573</v>
      </c>
      <c r="V596" t="s">
        <v>574</v>
      </c>
      <c r="W596" t="s">
        <v>568</v>
      </c>
      <c r="AD596" t="s">
        <v>1749</v>
      </c>
    </row>
    <row r="597" spans="1:32" x14ac:dyDescent="0.25">
      <c r="A597" t="s">
        <v>33</v>
      </c>
      <c r="D597" t="s">
        <v>565</v>
      </c>
      <c r="E597" t="s">
        <v>566</v>
      </c>
      <c r="F597" t="s">
        <v>87</v>
      </c>
      <c r="G597" t="s">
        <v>1742</v>
      </c>
      <c r="H597" t="s">
        <v>89</v>
      </c>
      <c r="I597" t="s">
        <v>144</v>
      </c>
      <c r="J597" t="s">
        <v>91</v>
      </c>
      <c r="K597" t="s">
        <v>92</v>
      </c>
      <c r="L597" t="s">
        <v>1743</v>
      </c>
      <c r="M597" t="s">
        <v>94</v>
      </c>
      <c r="N597" t="s">
        <v>1744</v>
      </c>
      <c r="O597" t="s">
        <v>150</v>
      </c>
      <c r="P597">
        <v>1E-3</v>
      </c>
      <c r="R597" t="s">
        <v>1750</v>
      </c>
      <c r="S597" t="s">
        <v>573</v>
      </c>
      <c r="V597" t="s">
        <v>574</v>
      </c>
      <c r="W597" t="s">
        <v>568</v>
      </c>
      <c r="AD597" t="s">
        <v>1751</v>
      </c>
    </row>
    <row r="598" spans="1:32" x14ac:dyDescent="0.25">
      <c r="A598" t="s">
        <v>33</v>
      </c>
      <c r="D598" t="s">
        <v>565</v>
      </c>
      <c r="E598" t="s">
        <v>566</v>
      </c>
      <c r="F598" t="s">
        <v>87</v>
      </c>
      <c r="G598" t="s">
        <v>1742</v>
      </c>
      <c r="H598" t="s">
        <v>143</v>
      </c>
      <c r="I598" t="s">
        <v>144</v>
      </c>
      <c r="J598" t="s">
        <v>745</v>
      </c>
      <c r="K598" t="s">
        <v>262</v>
      </c>
      <c r="L598" t="s">
        <v>1743</v>
      </c>
      <c r="M598" t="s">
        <v>746</v>
      </c>
      <c r="N598" t="s">
        <v>1744</v>
      </c>
      <c r="O598" t="s">
        <v>147</v>
      </c>
      <c r="R598" t="s">
        <v>1752</v>
      </c>
      <c r="S598" t="s">
        <v>573</v>
      </c>
      <c r="V598" t="s">
        <v>574</v>
      </c>
      <c r="W598" t="s">
        <v>568</v>
      </c>
      <c r="AD598" t="s">
        <v>1753</v>
      </c>
    </row>
    <row r="599" spans="1:32" x14ac:dyDescent="0.25">
      <c r="A599" t="s">
        <v>33</v>
      </c>
      <c r="D599" t="s">
        <v>565</v>
      </c>
      <c r="E599" t="s">
        <v>566</v>
      </c>
      <c r="F599" t="s">
        <v>87</v>
      </c>
      <c r="G599" t="s">
        <v>1742</v>
      </c>
      <c r="H599" t="s">
        <v>89</v>
      </c>
      <c r="I599" t="s">
        <v>90</v>
      </c>
      <c r="J599" t="s">
        <v>91</v>
      </c>
      <c r="K599" t="s">
        <v>92</v>
      </c>
      <c r="L599" t="s">
        <v>1743</v>
      </c>
      <c r="M599" t="s">
        <v>94</v>
      </c>
      <c r="N599" t="s">
        <v>1744</v>
      </c>
      <c r="O599" t="s">
        <v>383</v>
      </c>
      <c r="P599">
        <v>1E-3</v>
      </c>
      <c r="R599" t="s">
        <v>1754</v>
      </c>
      <c r="S599" t="s">
        <v>573</v>
      </c>
      <c r="V599" t="s">
        <v>574</v>
      </c>
      <c r="W599" t="s">
        <v>568</v>
      </c>
      <c r="AD599" t="s">
        <v>1755</v>
      </c>
    </row>
    <row r="600" spans="1:32" x14ac:dyDescent="0.25">
      <c r="A600" t="s">
        <v>33</v>
      </c>
      <c r="D600" t="s">
        <v>565</v>
      </c>
      <c r="E600" t="s">
        <v>566</v>
      </c>
      <c r="F600" t="s">
        <v>87</v>
      </c>
      <c r="G600" t="s">
        <v>1742</v>
      </c>
      <c r="H600" t="s">
        <v>143</v>
      </c>
      <c r="I600" t="s">
        <v>90</v>
      </c>
      <c r="J600" t="s">
        <v>745</v>
      </c>
      <c r="K600" t="s">
        <v>262</v>
      </c>
      <c r="L600" t="s">
        <v>1743</v>
      </c>
      <c r="M600" t="s">
        <v>746</v>
      </c>
      <c r="N600" t="s">
        <v>1744</v>
      </c>
      <c r="O600" t="s">
        <v>380</v>
      </c>
      <c r="R600" t="s">
        <v>1756</v>
      </c>
      <c r="S600" t="s">
        <v>573</v>
      </c>
      <c r="V600" t="s">
        <v>574</v>
      </c>
      <c r="W600" t="s">
        <v>568</v>
      </c>
      <c r="AD600" t="s">
        <v>1757</v>
      </c>
    </row>
    <row r="601" spans="1:32" x14ac:dyDescent="0.25">
      <c r="A601" t="s">
        <v>33</v>
      </c>
      <c r="D601" t="s">
        <v>565</v>
      </c>
      <c r="E601" t="s">
        <v>566</v>
      </c>
      <c r="F601" t="s">
        <v>87</v>
      </c>
      <c r="G601" t="s">
        <v>763</v>
      </c>
      <c r="H601" t="s">
        <v>89</v>
      </c>
      <c r="I601" t="s">
        <v>144</v>
      </c>
      <c r="J601" t="s">
        <v>91</v>
      </c>
      <c r="K601" t="s">
        <v>92</v>
      </c>
      <c r="L601" t="s">
        <v>764</v>
      </c>
      <c r="M601" t="s">
        <v>94</v>
      </c>
      <c r="N601" t="s">
        <v>765</v>
      </c>
      <c r="O601" t="s">
        <v>150</v>
      </c>
      <c r="P601">
        <v>1E-3</v>
      </c>
      <c r="R601" t="s">
        <v>1758</v>
      </c>
      <c r="S601" t="s">
        <v>573</v>
      </c>
      <c r="V601" t="s">
        <v>574</v>
      </c>
      <c r="W601" t="s">
        <v>568</v>
      </c>
      <c r="AD601" t="s">
        <v>1759</v>
      </c>
    </row>
    <row r="602" spans="1:32" x14ac:dyDescent="0.25">
      <c r="A602" t="s">
        <v>33</v>
      </c>
      <c r="D602" t="s">
        <v>565</v>
      </c>
      <c r="E602" t="s">
        <v>566</v>
      </c>
      <c r="F602" t="s">
        <v>87</v>
      </c>
      <c r="G602" t="s">
        <v>763</v>
      </c>
      <c r="H602" t="s">
        <v>143</v>
      </c>
      <c r="I602" t="s">
        <v>144</v>
      </c>
      <c r="J602" t="s">
        <v>145</v>
      </c>
      <c r="K602" t="s">
        <v>146</v>
      </c>
      <c r="L602" t="s">
        <v>764</v>
      </c>
      <c r="M602" t="s">
        <v>493</v>
      </c>
      <c r="N602" t="s">
        <v>765</v>
      </c>
      <c r="O602" t="s">
        <v>147</v>
      </c>
      <c r="R602" t="s">
        <v>1760</v>
      </c>
      <c r="S602" t="s">
        <v>573</v>
      </c>
      <c r="V602" t="s">
        <v>574</v>
      </c>
      <c r="W602" t="s">
        <v>568</v>
      </c>
      <c r="AD602" t="s">
        <v>1761</v>
      </c>
    </row>
    <row r="603" spans="1:32" x14ac:dyDescent="0.25">
      <c r="A603" t="s">
        <v>33</v>
      </c>
      <c r="D603" t="s">
        <v>565</v>
      </c>
      <c r="E603" t="s">
        <v>566</v>
      </c>
      <c r="F603" t="s">
        <v>87</v>
      </c>
      <c r="G603" t="s">
        <v>457</v>
      </c>
      <c r="H603" t="s">
        <v>153</v>
      </c>
      <c r="I603" t="s">
        <v>235</v>
      </c>
      <c r="J603" t="s">
        <v>154</v>
      </c>
      <c r="K603" t="s">
        <v>155</v>
      </c>
      <c r="L603" t="s">
        <v>458</v>
      </c>
      <c r="N603" t="s">
        <v>694</v>
      </c>
      <c r="O603" t="s">
        <v>1762</v>
      </c>
      <c r="R603" t="s">
        <v>1763</v>
      </c>
      <c r="S603" t="s">
        <v>573</v>
      </c>
      <c r="V603" t="s">
        <v>574</v>
      </c>
      <c r="W603" t="s">
        <v>568</v>
      </c>
      <c r="AD603" t="s">
        <v>1764</v>
      </c>
    </row>
    <row r="604" spans="1:32" x14ac:dyDescent="0.25">
      <c r="A604" t="s">
        <v>33</v>
      </c>
      <c r="D604" t="s">
        <v>565</v>
      </c>
      <c r="E604" t="s">
        <v>566</v>
      </c>
      <c r="F604" t="s">
        <v>87</v>
      </c>
      <c r="G604" t="s">
        <v>763</v>
      </c>
      <c r="H604" t="s">
        <v>89</v>
      </c>
      <c r="I604" t="s">
        <v>90</v>
      </c>
      <c r="J604" t="s">
        <v>91</v>
      </c>
      <c r="K604" t="s">
        <v>92</v>
      </c>
      <c r="L604" t="s">
        <v>764</v>
      </c>
      <c r="M604" t="s">
        <v>94</v>
      </c>
      <c r="N604" t="s">
        <v>765</v>
      </c>
      <c r="O604" t="s">
        <v>383</v>
      </c>
      <c r="P604">
        <v>1E-3</v>
      </c>
      <c r="R604" t="s">
        <v>1765</v>
      </c>
      <c r="S604" t="s">
        <v>573</v>
      </c>
      <c r="V604" t="s">
        <v>574</v>
      </c>
      <c r="W604" t="s">
        <v>568</v>
      </c>
      <c r="AD604" t="s">
        <v>1766</v>
      </c>
    </row>
    <row r="605" spans="1:32" x14ac:dyDescent="0.25">
      <c r="A605" t="s">
        <v>33</v>
      </c>
      <c r="D605" t="s">
        <v>565</v>
      </c>
      <c r="E605" t="s">
        <v>566</v>
      </c>
      <c r="F605" t="s">
        <v>87</v>
      </c>
      <c r="G605" t="s">
        <v>763</v>
      </c>
      <c r="H605" t="s">
        <v>143</v>
      </c>
      <c r="I605" t="s">
        <v>90</v>
      </c>
      <c r="J605" t="s">
        <v>145</v>
      </c>
      <c r="K605" t="s">
        <v>146</v>
      </c>
      <c r="L605" t="s">
        <v>764</v>
      </c>
      <c r="M605" t="s">
        <v>493</v>
      </c>
      <c r="N605" t="s">
        <v>765</v>
      </c>
      <c r="O605" t="s">
        <v>380</v>
      </c>
      <c r="R605" t="s">
        <v>1767</v>
      </c>
      <c r="S605" t="s">
        <v>573</v>
      </c>
      <c r="V605" t="s">
        <v>574</v>
      </c>
      <c r="W605" t="s">
        <v>568</v>
      </c>
      <c r="AD605" t="s">
        <v>1768</v>
      </c>
    </row>
    <row r="606" spans="1:32" x14ac:dyDescent="0.25">
      <c r="A606" t="s">
        <v>33</v>
      </c>
      <c r="D606" t="s">
        <v>565</v>
      </c>
      <c r="E606" t="s">
        <v>566</v>
      </c>
      <c r="F606" t="s">
        <v>87</v>
      </c>
      <c r="G606" t="s">
        <v>701</v>
      </c>
      <c r="H606" t="s">
        <v>153</v>
      </c>
      <c r="I606" t="s">
        <v>235</v>
      </c>
      <c r="J606" t="s">
        <v>154</v>
      </c>
      <c r="K606" t="s">
        <v>155</v>
      </c>
      <c r="L606" t="s">
        <v>702</v>
      </c>
      <c r="N606" t="s">
        <v>703</v>
      </c>
      <c r="O606" t="s">
        <v>1762</v>
      </c>
      <c r="R606" t="s">
        <v>1769</v>
      </c>
      <c r="S606" t="s">
        <v>573</v>
      </c>
      <c r="V606" t="s">
        <v>574</v>
      </c>
      <c r="W606" t="s">
        <v>568</v>
      </c>
      <c r="AD606" t="s">
        <v>1770</v>
      </c>
    </row>
    <row r="607" spans="1:32" x14ac:dyDescent="0.25">
      <c r="A607" t="s">
        <v>33</v>
      </c>
      <c r="D607" t="s">
        <v>565</v>
      </c>
      <c r="E607" t="s">
        <v>566</v>
      </c>
      <c r="F607" t="s">
        <v>87</v>
      </c>
      <c r="G607" t="s">
        <v>763</v>
      </c>
      <c r="H607" t="s">
        <v>89</v>
      </c>
      <c r="I607" t="s">
        <v>180</v>
      </c>
      <c r="J607" t="s">
        <v>91</v>
      </c>
      <c r="K607" t="s">
        <v>92</v>
      </c>
      <c r="L607" t="s">
        <v>764</v>
      </c>
      <c r="M607" t="s">
        <v>94</v>
      </c>
      <c r="N607" t="s">
        <v>765</v>
      </c>
      <c r="O607" t="s">
        <v>184</v>
      </c>
      <c r="P607">
        <v>1E-3</v>
      </c>
      <c r="R607" t="s">
        <v>1771</v>
      </c>
      <c r="S607" t="s">
        <v>573</v>
      </c>
      <c r="V607" t="s">
        <v>574</v>
      </c>
      <c r="W607" t="s">
        <v>568</v>
      </c>
      <c r="AD607" t="s">
        <v>1772</v>
      </c>
    </row>
    <row r="608" spans="1:32" x14ac:dyDescent="0.25">
      <c r="A608" t="s">
        <v>33</v>
      </c>
      <c r="D608" t="s">
        <v>565</v>
      </c>
      <c r="E608" t="s">
        <v>566</v>
      </c>
      <c r="F608" t="s">
        <v>87</v>
      </c>
      <c r="G608" t="s">
        <v>763</v>
      </c>
      <c r="H608" t="s">
        <v>143</v>
      </c>
      <c r="I608" t="s">
        <v>180</v>
      </c>
      <c r="J608" t="s">
        <v>145</v>
      </c>
      <c r="K608" t="s">
        <v>146</v>
      </c>
      <c r="L608" t="s">
        <v>764</v>
      </c>
      <c r="M608" t="s">
        <v>493</v>
      </c>
      <c r="N608" t="s">
        <v>765</v>
      </c>
      <c r="O608" t="s">
        <v>181</v>
      </c>
      <c r="R608" t="s">
        <v>1773</v>
      </c>
      <c r="S608" t="s">
        <v>573</v>
      </c>
      <c r="V608" t="s">
        <v>574</v>
      </c>
      <c r="W608" t="s">
        <v>568</v>
      </c>
      <c r="AD608" t="s">
        <v>1774</v>
      </c>
    </row>
    <row r="609" spans="1:30" x14ac:dyDescent="0.25">
      <c r="A609" t="s">
        <v>33</v>
      </c>
      <c r="D609" t="s">
        <v>565</v>
      </c>
      <c r="E609" t="s">
        <v>566</v>
      </c>
      <c r="F609" t="s">
        <v>87</v>
      </c>
      <c r="G609" t="s">
        <v>726</v>
      </c>
      <c r="H609" t="s">
        <v>153</v>
      </c>
      <c r="I609" t="s">
        <v>235</v>
      </c>
      <c r="J609" t="s">
        <v>154</v>
      </c>
      <c r="K609" t="s">
        <v>155</v>
      </c>
      <c r="L609" t="s">
        <v>727</v>
      </c>
      <c r="N609" t="s">
        <v>728</v>
      </c>
      <c r="O609" t="s">
        <v>1762</v>
      </c>
      <c r="R609" t="s">
        <v>1775</v>
      </c>
      <c r="S609" t="s">
        <v>573</v>
      </c>
      <c r="V609" t="s">
        <v>574</v>
      </c>
      <c r="W609" t="s">
        <v>568</v>
      </c>
      <c r="AD609" t="s">
        <v>1776</v>
      </c>
    </row>
    <row r="610" spans="1:30" x14ac:dyDescent="0.25">
      <c r="A610" t="s">
        <v>33</v>
      </c>
      <c r="D610" t="s">
        <v>565</v>
      </c>
      <c r="E610" t="s">
        <v>566</v>
      </c>
      <c r="F610" t="s">
        <v>87</v>
      </c>
      <c r="G610" t="s">
        <v>763</v>
      </c>
      <c r="H610" t="s">
        <v>89</v>
      </c>
      <c r="I610" t="s">
        <v>100</v>
      </c>
      <c r="J610" t="s">
        <v>91</v>
      </c>
      <c r="K610" t="s">
        <v>92</v>
      </c>
      <c r="L610" t="s">
        <v>764</v>
      </c>
      <c r="M610" t="s">
        <v>94</v>
      </c>
      <c r="N610" t="s">
        <v>765</v>
      </c>
      <c r="O610" t="s">
        <v>445</v>
      </c>
      <c r="P610">
        <v>1E-3</v>
      </c>
      <c r="R610" t="s">
        <v>1777</v>
      </c>
      <c r="S610" t="s">
        <v>573</v>
      </c>
      <c r="V610" t="s">
        <v>574</v>
      </c>
      <c r="W610" t="s">
        <v>568</v>
      </c>
      <c r="AD610" t="s">
        <v>1778</v>
      </c>
    </row>
    <row r="611" spans="1:30" x14ac:dyDescent="0.25">
      <c r="A611" t="s">
        <v>33</v>
      </c>
      <c r="D611" t="s">
        <v>565</v>
      </c>
      <c r="E611" t="s">
        <v>566</v>
      </c>
      <c r="F611" t="s">
        <v>87</v>
      </c>
      <c r="G611" t="s">
        <v>763</v>
      </c>
      <c r="H611" t="s">
        <v>143</v>
      </c>
      <c r="I611" t="s">
        <v>100</v>
      </c>
      <c r="J611" t="s">
        <v>145</v>
      </c>
      <c r="K611" t="s">
        <v>146</v>
      </c>
      <c r="L611" t="s">
        <v>764</v>
      </c>
      <c r="M611" t="s">
        <v>493</v>
      </c>
      <c r="N611" t="s">
        <v>765</v>
      </c>
      <c r="O611" t="s">
        <v>442</v>
      </c>
      <c r="R611" t="s">
        <v>1779</v>
      </c>
      <c r="S611" t="s">
        <v>573</v>
      </c>
      <c r="V611" t="s">
        <v>574</v>
      </c>
      <c r="W611" t="s">
        <v>568</v>
      </c>
      <c r="AD611" t="s">
        <v>1780</v>
      </c>
    </row>
    <row r="612" spans="1:30" x14ac:dyDescent="0.25">
      <c r="A612" t="s">
        <v>33</v>
      </c>
      <c r="D612" t="s">
        <v>565</v>
      </c>
      <c r="E612" t="s">
        <v>566</v>
      </c>
      <c r="F612" t="s">
        <v>87</v>
      </c>
      <c r="G612" t="s">
        <v>763</v>
      </c>
      <c r="H612" t="s">
        <v>38</v>
      </c>
      <c r="I612" t="s">
        <v>106</v>
      </c>
      <c r="J612" t="s">
        <v>40</v>
      </c>
      <c r="K612" t="s">
        <v>41</v>
      </c>
      <c r="L612" t="s">
        <v>764</v>
      </c>
      <c r="M612" t="s">
        <v>493</v>
      </c>
      <c r="N612" t="s">
        <v>765</v>
      </c>
      <c r="O612" t="s">
        <v>109</v>
      </c>
      <c r="R612" t="s">
        <v>1781</v>
      </c>
      <c r="S612" t="s">
        <v>573</v>
      </c>
      <c r="V612" t="s">
        <v>574</v>
      </c>
      <c r="W612" t="s">
        <v>568</v>
      </c>
      <c r="AD612" t="s">
        <v>1782</v>
      </c>
    </row>
    <row r="613" spans="1:30" x14ac:dyDescent="0.25">
      <c r="A613" t="s">
        <v>33</v>
      </c>
      <c r="D613" t="s">
        <v>565</v>
      </c>
      <c r="E613" t="s">
        <v>566</v>
      </c>
      <c r="F613" t="s">
        <v>87</v>
      </c>
      <c r="G613" t="s">
        <v>763</v>
      </c>
      <c r="H613" t="s">
        <v>38</v>
      </c>
      <c r="I613" t="s">
        <v>25</v>
      </c>
      <c r="J613" t="s">
        <v>69</v>
      </c>
      <c r="K613" t="s">
        <v>41</v>
      </c>
      <c r="L613" t="s">
        <v>764</v>
      </c>
      <c r="M613" t="s">
        <v>493</v>
      </c>
      <c r="N613" t="s">
        <v>765</v>
      </c>
      <c r="O613" t="s">
        <v>512</v>
      </c>
      <c r="R613" t="s">
        <v>1783</v>
      </c>
      <c r="S613" t="s">
        <v>573</v>
      </c>
      <c r="V613" t="s">
        <v>574</v>
      </c>
      <c r="W613" t="s">
        <v>568</v>
      </c>
      <c r="AD613" t="s">
        <v>1784</v>
      </c>
    </row>
    <row r="614" spans="1:30" x14ac:dyDescent="0.25">
      <c r="A614" t="s">
        <v>33</v>
      </c>
      <c r="D614" t="s">
        <v>565</v>
      </c>
      <c r="E614" t="s">
        <v>566</v>
      </c>
      <c r="F614" t="s">
        <v>87</v>
      </c>
      <c r="G614" t="s">
        <v>763</v>
      </c>
      <c r="H614" t="s">
        <v>38</v>
      </c>
      <c r="I614" t="s">
        <v>24</v>
      </c>
      <c r="J614" t="s">
        <v>69</v>
      </c>
      <c r="K614" t="s">
        <v>41</v>
      </c>
      <c r="L614" t="s">
        <v>764</v>
      </c>
      <c r="M614" t="s">
        <v>493</v>
      </c>
      <c r="N614" t="s">
        <v>765</v>
      </c>
      <c r="O614" t="s">
        <v>509</v>
      </c>
      <c r="R614" t="s">
        <v>1785</v>
      </c>
      <c r="S614" t="s">
        <v>573</v>
      </c>
      <c r="V614" t="s">
        <v>574</v>
      </c>
      <c r="W614" t="s">
        <v>568</v>
      </c>
      <c r="AD614" t="s">
        <v>1786</v>
      </c>
    </row>
    <row r="615" spans="1:30" x14ac:dyDescent="0.25">
      <c r="A615" t="s">
        <v>33</v>
      </c>
      <c r="D615" t="s">
        <v>565</v>
      </c>
      <c r="E615" t="s">
        <v>566</v>
      </c>
      <c r="F615" t="s">
        <v>87</v>
      </c>
      <c r="G615" t="s">
        <v>763</v>
      </c>
      <c r="H615" t="s">
        <v>153</v>
      </c>
      <c r="I615" t="s">
        <v>235</v>
      </c>
      <c r="J615" t="s">
        <v>154</v>
      </c>
      <c r="K615" t="s">
        <v>155</v>
      </c>
      <c r="L615" t="s">
        <v>764</v>
      </c>
      <c r="N615" t="s">
        <v>765</v>
      </c>
      <c r="O615" t="s">
        <v>1762</v>
      </c>
      <c r="R615" t="s">
        <v>1787</v>
      </c>
      <c r="S615" t="s">
        <v>573</v>
      </c>
      <c r="V615" t="s">
        <v>574</v>
      </c>
      <c r="W615" t="s">
        <v>568</v>
      </c>
      <c r="AD615" t="s">
        <v>1788</v>
      </c>
    </row>
    <row r="616" spans="1:30" x14ac:dyDescent="0.25">
      <c r="A616" t="s">
        <v>33</v>
      </c>
      <c r="D616" t="s">
        <v>565</v>
      </c>
      <c r="E616" t="s">
        <v>566</v>
      </c>
      <c r="F616" t="s">
        <v>87</v>
      </c>
      <c r="G616" t="s">
        <v>781</v>
      </c>
      <c r="H616" t="s">
        <v>153</v>
      </c>
      <c r="I616" t="s">
        <v>235</v>
      </c>
      <c r="J616" t="s">
        <v>154</v>
      </c>
      <c r="K616" t="s">
        <v>155</v>
      </c>
      <c r="L616" t="s">
        <v>782</v>
      </c>
      <c r="N616" t="s">
        <v>783</v>
      </c>
      <c r="O616" t="s">
        <v>1762</v>
      </c>
      <c r="R616" t="s">
        <v>1789</v>
      </c>
      <c r="S616" t="s">
        <v>573</v>
      </c>
      <c r="V616" t="s">
        <v>574</v>
      </c>
      <c r="W616" t="s">
        <v>568</v>
      </c>
      <c r="AD616" t="s">
        <v>1790</v>
      </c>
    </row>
    <row r="617" spans="1:30" x14ac:dyDescent="0.25">
      <c r="A617" t="s">
        <v>33</v>
      </c>
      <c r="D617" t="s">
        <v>565</v>
      </c>
      <c r="E617" t="s">
        <v>566</v>
      </c>
      <c r="F617" t="s">
        <v>87</v>
      </c>
      <c r="G617" t="s">
        <v>772</v>
      </c>
      <c r="H617" t="s">
        <v>89</v>
      </c>
      <c r="I617" t="s">
        <v>144</v>
      </c>
      <c r="J617" t="s">
        <v>91</v>
      </c>
      <c r="K617" t="s">
        <v>92</v>
      </c>
      <c r="L617" t="s">
        <v>773</v>
      </c>
      <c r="M617" t="s">
        <v>94</v>
      </c>
      <c r="N617" t="s">
        <v>774</v>
      </c>
      <c r="O617" t="s">
        <v>150</v>
      </c>
      <c r="P617">
        <v>1E-3</v>
      </c>
      <c r="R617" t="s">
        <v>1791</v>
      </c>
      <c r="S617" t="s">
        <v>573</v>
      </c>
      <c r="V617" t="s">
        <v>574</v>
      </c>
      <c r="W617" t="s">
        <v>568</v>
      </c>
      <c r="AD617" t="s">
        <v>1792</v>
      </c>
    </row>
    <row r="618" spans="1:30" x14ac:dyDescent="0.25">
      <c r="A618" t="s">
        <v>33</v>
      </c>
      <c r="D618" t="s">
        <v>565</v>
      </c>
      <c r="E618" t="s">
        <v>566</v>
      </c>
      <c r="F618" t="s">
        <v>87</v>
      </c>
      <c r="G618" t="s">
        <v>772</v>
      </c>
      <c r="H618" t="s">
        <v>143</v>
      </c>
      <c r="I618" t="s">
        <v>144</v>
      </c>
      <c r="J618" t="s">
        <v>145</v>
      </c>
      <c r="K618" t="s">
        <v>146</v>
      </c>
      <c r="L618" t="s">
        <v>773</v>
      </c>
      <c r="M618" t="s">
        <v>493</v>
      </c>
      <c r="N618" t="s">
        <v>774</v>
      </c>
      <c r="O618" t="s">
        <v>147</v>
      </c>
      <c r="R618" t="s">
        <v>1793</v>
      </c>
      <c r="S618" t="s">
        <v>573</v>
      </c>
      <c r="V618" t="s">
        <v>574</v>
      </c>
      <c r="W618" t="s">
        <v>568</v>
      </c>
      <c r="AD618" t="s">
        <v>1794</v>
      </c>
    </row>
    <row r="619" spans="1:30" x14ac:dyDescent="0.25">
      <c r="A619" t="s">
        <v>33</v>
      </c>
      <c r="D619" t="s">
        <v>565</v>
      </c>
      <c r="E619" t="s">
        <v>566</v>
      </c>
      <c r="F619" t="s">
        <v>87</v>
      </c>
      <c r="G619" t="s">
        <v>772</v>
      </c>
      <c r="H619" t="s">
        <v>153</v>
      </c>
      <c r="I619" t="s">
        <v>235</v>
      </c>
      <c r="J619" t="s">
        <v>154</v>
      </c>
      <c r="K619" t="s">
        <v>155</v>
      </c>
      <c r="L619" t="s">
        <v>773</v>
      </c>
      <c r="N619" t="s">
        <v>774</v>
      </c>
      <c r="O619" t="s">
        <v>1762</v>
      </c>
      <c r="R619" t="s">
        <v>1795</v>
      </c>
      <c r="S619" t="s">
        <v>573</v>
      </c>
      <c r="V619" t="s">
        <v>574</v>
      </c>
      <c r="W619" t="s">
        <v>568</v>
      </c>
      <c r="AD619" t="s">
        <v>1796</v>
      </c>
    </row>
    <row r="620" spans="1:30" x14ac:dyDescent="0.25">
      <c r="A620" t="s">
        <v>33</v>
      </c>
      <c r="D620" t="s">
        <v>565</v>
      </c>
      <c r="E620" t="s">
        <v>566</v>
      </c>
      <c r="F620" t="s">
        <v>87</v>
      </c>
      <c r="G620" t="s">
        <v>772</v>
      </c>
      <c r="H620" t="s">
        <v>89</v>
      </c>
      <c r="I620" t="s">
        <v>90</v>
      </c>
      <c r="J620" t="s">
        <v>91</v>
      </c>
      <c r="K620" t="s">
        <v>92</v>
      </c>
      <c r="L620" t="s">
        <v>773</v>
      </c>
      <c r="M620" t="s">
        <v>94</v>
      </c>
      <c r="N620" t="s">
        <v>774</v>
      </c>
      <c r="O620" t="s">
        <v>383</v>
      </c>
      <c r="P620">
        <v>1E-3</v>
      </c>
      <c r="R620" t="s">
        <v>1797</v>
      </c>
      <c r="S620" t="s">
        <v>573</v>
      </c>
      <c r="V620" t="s">
        <v>574</v>
      </c>
      <c r="W620" t="s">
        <v>568</v>
      </c>
      <c r="AD620" t="s">
        <v>1798</v>
      </c>
    </row>
    <row r="621" spans="1:30" x14ac:dyDescent="0.25">
      <c r="A621" t="s">
        <v>33</v>
      </c>
      <c r="D621" t="s">
        <v>565</v>
      </c>
      <c r="E621" t="s">
        <v>566</v>
      </c>
      <c r="F621" t="s">
        <v>87</v>
      </c>
      <c r="G621" t="s">
        <v>772</v>
      </c>
      <c r="H621" t="s">
        <v>143</v>
      </c>
      <c r="I621" t="s">
        <v>90</v>
      </c>
      <c r="J621" t="s">
        <v>145</v>
      </c>
      <c r="K621" t="s">
        <v>146</v>
      </c>
      <c r="L621" t="s">
        <v>773</v>
      </c>
      <c r="M621" t="s">
        <v>493</v>
      </c>
      <c r="N621" t="s">
        <v>774</v>
      </c>
      <c r="O621" t="s">
        <v>380</v>
      </c>
      <c r="R621" t="s">
        <v>1799</v>
      </c>
      <c r="S621" t="s">
        <v>573</v>
      </c>
      <c r="V621" t="s">
        <v>574</v>
      </c>
      <c r="W621" t="s">
        <v>568</v>
      </c>
      <c r="AD621" t="s">
        <v>1800</v>
      </c>
    </row>
    <row r="622" spans="1:30" x14ac:dyDescent="0.25">
      <c r="A622" t="s">
        <v>33</v>
      </c>
      <c r="D622" t="s">
        <v>565</v>
      </c>
      <c r="E622" t="s">
        <v>566</v>
      </c>
      <c r="F622" t="s">
        <v>87</v>
      </c>
      <c r="G622" t="s">
        <v>1540</v>
      </c>
      <c r="H622" t="s">
        <v>153</v>
      </c>
      <c r="I622" t="s">
        <v>235</v>
      </c>
      <c r="J622" t="s">
        <v>154</v>
      </c>
      <c r="K622" t="s">
        <v>155</v>
      </c>
      <c r="L622" t="s">
        <v>1541</v>
      </c>
      <c r="N622" t="s">
        <v>1542</v>
      </c>
      <c r="O622" t="s">
        <v>1762</v>
      </c>
      <c r="R622" t="s">
        <v>1801</v>
      </c>
      <c r="S622" t="s">
        <v>573</v>
      </c>
      <c r="V622" t="s">
        <v>574</v>
      </c>
      <c r="W622" t="s">
        <v>568</v>
      </c>
      <c r="AD622" t="s">
        <v>1802</v>
      </c>
    </row>
    <row r="623" spans="1:30" x14ac:dyDescent="0.25">
      <c r="A623" t="s">
        <v>33</v>
      </c>
      <c r="D623" t="s">
        <v>565</v>
      </c>
      <c r="E623" t="s">
        <v>566</v>
      </c>
      <c r="F623" t="s">
        <v>87</v>
      </c>
      <c r="G623" t="s">
        <v>772</v>
      </c>
      <c r="H623" t="s">
        <v>89</v>
      </c>
      <c r="I623" t="s">
        <v>180</v>
      </c>
      <c r="J623" t="s">
        <v>91</v>
      </c>
      <c r="K623" t="s">
        <v>92</v>
      </c>
      <c r="L623" t="s">
        <v>773</v>
      </c>
      <c r="M623" t="s">
        <v>94</v>
      </c>
      <c r="N623" t="s">
        <v>774</v>
      </c>
      <c r="O623" t="s">
        <v>184</v>
      </c>
      <c r="P623">
        <v>1E-3</v>
      </c>
      <c r="R623" t="s">
        <v>1803</v>
      </c>
      <c r="S623" t="s">
        <v>573</v>
      </c>
      <c r="V623" t="s">
        <v>574</v>
      </c>
      <c r="W623" t="s">
        <v>568</v>
      </c>
      <c r="AD623" t="s">
        <v>1804</v>
      </c>
    </row>
    <row r="624" spans="1:30" x14ac:dyDescent="0.25">
      <c r="A624" t="s">
        <v>33</v>
      </c>
      <c r="D624" t="s">
        <v>565</v>
      </c>
      <c r="E624" t="s">
        <v>566</v>
      </c>
      <c r="F624" t="s">
        <v>87</v>
      </c>
      <c r="G624" t="s">
        <v>772</v>
      </c>
      <c r="H624" t="s">
        <v>143</v>
      </c>
      <c r="I624" t="s">
        <v>180</v>
      </c>
      <c r="J624" t="s">
        <v>145</v>
      </c>
      <c r="K624" t="s">
        <v>146</v>
      </c>
      <c r="L624" t="s">
        <v>773</v>
      </c>
      <c r="M624" t="s">
        <v>493</v>
      </c>
      <c r="N624" t="s">
        <v>774</v>
      </c>
      <c r="O624" t="s">
        <v>181</v>
      </c>
      <c r="R624" t="s">
        <v>1805</v>
      </c>
      <c r="S624" t="s">
        <v>573</v>
      </c>
      <c r="V624" t="s">
        <v>574</v>
      </c>
      <c r="W624" t="s">
        <v>568</v>
      </c>
      <c r="AD624" t="s">
        <v>1806</v>
      </c>
    </row>
    <row r="625" spans="1:30" x14ac:dyDescent="0.25">
      <c r="A625" t="s">
        <v>33</v>
      </c>
      <c r="D625" t="s">
        <v>565</v>
      </c>
      <c r="E625" t="s">
        <v>566</v>
      </c>
      <c r="F625" t="s">
        <v>87</v>
      </c>
      <c r="G625" t="s">
        <v>710</v>
      </c>
      <c r="H625" t="s">
        <v>153</v>
      </c>
      <c r="I625" t="s">
        <v>235</v>
      </c>
      <c r="J625" t="s">
        <v>154</v>
      </c>
      <c r="K625" t="s">
        <v>155</v>
      </c>
      <c r="L625" t="s">
        <v>711</v>
      </c>
      <c r="N625" t="s">
        <v>712</v>
      </c>
      <c r="O625" t="s">
        <v>1762</v>
      </c>
      <c r="R625" t="s">
        <v>1807</v>
      </c>
      <c r="S625" t="s">
        <v>573</v>
      </c>
      <c r="V625" t="s">
        <v>574</v>
      </c>
      <c r="W625" t="s">
        <v>568</v>
      </c>
      <c r="AD625" t="s">
        <v>1808</v>
      </c>
    </row>
    <row r="626" spans="1:30" x14ac:dyDescent="0.25">
      <c r="A626" t="s">
        <v>33</v>
      </c>
      <c r="D626" t="s">
        <v>565</v>
      </c>
      <c r="E626" t="s">
        <v>566</v>
      </c>
      <c r="F626" t="s">
        <v>87</v>
      </c>
      <c r="G626" t="s">
        <v>772</v>
      </c>
      <c r="H626" t="s">
        <v>89</v>
      </c>
      <c r="I626" t="s">
        <v>100</v>
      </c>
      <c r="J626" t="s">
        <v>91</v>
      </c>
      <c r="K626" t="s">
        <v>92</v>
      </c>
      <c r="L626" t="s">
        <v>773</v>
      </c>
      <c r="M626" t="s">
        <v>94</v>
      </c>
      <c r="N626" t="s">
        <v>774</v>
      </c>
      <c r="O626" t="s">
        <v>445</v>
      </c>
      <c r="P626">
        <v>1E-3</v>
      </c>
      <c r="R626" t="s">
        <v>1809</v>
      </c>
      <c r="S626" t="s">
        <v>573</v>
      </c>
      <c r="V626" t="s">
        <v>574</v>
      </c>
      <c r="W626" t="s">
        <v>568</v>
      </c>
      <c r="AD626" t="s">
        <v>1810</v>
      </c>
    </row>
    <row r="627" spans="1:30" x14ac:dyDescent="0.25">
      <c r="A627" t="s">
        <v>33</v>
      </c>
      <c r="D627" t="s">
        <v>565</v>
      </c>
      <c r="E627" t="s">
        <v>566</v>
      </c>
      <c r="F627" t="s">
        <v>87</v>
      </c>
      <c r="G627" t="s">
        <v>772</v>
      </c>
      <c r="H627" t="s">
        <v>143</v>
      </c>
      <c r="I627" t="s">
        <v>100</v>
      </c>
      <c r="J627" t="s">
        <v>145</v>
      </c>
      <c r="K627" t="s">
        <v>146</v>
      </c>
      <c r="L627" t="s">
        <v>773</v>
      </c>
      <c r="M627" t="s">
        <v>493</v>
      </c>
      <c r="N627" t="s">
        <v>774</v>
      </c>
      <c r="O627" t="s">
        <v>442</v>
      </c>
      <c r="R627" t="s">
        <v>1811</v>
      </c>
      <c r="S627" t="s">
        <v>573</v>
      </c>
      <c r="V627" t="s">
        <v>574</v>
      </c>
      <c r="W627" t="s">
        <v>568</v>
      </c>
      <c r="AD627" t="s">
        <v>1812</v>
      </c>
    </row>
    <row r="628" spans="1:30" x14ac:dyDescent="0.25">
      <c r="A628" t="s">
        <v>33</v>
      </c>
      <c r="D628" t="s">
        <v>565</v>
      </c>
      <c r="E628" t="s">
        <v>566</v>
      </c>
      <c r="F628" t="s">
        <v>87</v>
      </c>
      <c r="G628" t="s">
        <v>772</v>
      </c>
      <c r="H628" t="s">
        <v>38</v>
      </c>
      <c r="I628" t="s">
        <v>106</v>
      </c>
      <c r="J628" t="s">
        <v>40</v>
      </c>
      <c r="K628" t="s">
        <v>41</v>
      </c>
      <c r="L628" t="s">
        <v>773</v>
      </c>
      <c r="M628" t="s">
        <v>493</v>
      </c>
      <c r="N628" t="s">
        <v>774</v>
      </c>
      <c r="O628" t="s">
        <v>109</v>
      </c>
      <c r="R628" t="s">
        <v>1813</v>
      </c>
      <c r="S628" t="s">
        <v>573</v>
      </c>
      <c r="V628" t="s">
        <v>574</v>
      </c>
      <c r="W628" t="s">
        <v>568</v>
      </c>
      <c r="AD628" t="s">
        <v>1814</v>
      </c>
    </row>
    <row r="629" spans="1:30" x14ac:dyDescent="0.25">
      <c r="A629" t="s">
        <v>33</v>
      </c>
      <c r="D629" t="s">
        <v>565</v>
      </c>
      <c r="E629" t="s">
        <v>566</v>
      </c>
      <c r="F629" t="s">
        <v>87</v>
      </c>
      <c r="G629" t="s">
        <v>772</v>
      </c>
      <c r="H629" t="s">
        <v>38</v>
      </c>
      <c r="I629" t="s">
        <v>25</v>
      </c>
      <c r="J629" t="s">
        <v>69</v>
      </c>
      <c r="K629" t="s">
        <v>41</v>
      </c>
      <c r="L629" t="s">
        <v>773</v>
      </c>
      <c r="M629" t="s">
        <v>493</v>
      </c>
      <c r="N629" t="s">
        <v>774</v>
      </c>
      <c r="O629" t="s">
        <v>512</v>
      </c>
      <c r="R629" t="s">
        <v>1815</v>
      </c>
      <c r="S629" t="s">
        <v>573</v>
      </c>
      <c r="V629" t="s">
        <v>574</v>
      </c>
      <c r="W629" t="s">
        <v>568</v>
      </c>
      <c r="AD629" t="s">
        <v>1816</v>
      </c>
    </row>
    <row r="630" spans="1:30" x14ac:dyDescent="0.25">
      <c r="A630" t="s">
        <v>33</v>
      </c>
      <c r="D630" t="s">
        <v>565</v>
      </c>
      <c r="E630" t="s">
        <v>566</v>
      </c>
      <c r="F630" t="s">
        <v>87</v>
      </c>
      <c r="G630" t="s">
        <v>772</v>
      </c>
      <c r="H630" t="s">
        <v>38</v>
      </c>
      <c r="I630" t="s">
        <v>24</v>
      </c>
      <c r="J630" t="s">
        <v>69</v>
      </c>
      <c r="K630" t="s">
        <v>41</v>
      </c>
      <c r="L630" t="s">
        <v>773</v>
      </c>
      <c r="M630" t="s">
        <v>493</v>
      </c>
      <c r="N630" t="s">
        <v>774</v>
      </c>
      <c r="O630" t="s">
        <v>509</v>
      </c>
      <c r="R630" t="s">
        <v>1817</v>
      </c>
      <c r="S630" t="s">
        <v>573</v>
      </c>
      <c r="V630" t="s">
        <v>574</v>
      </c>
      <c r="W630" t="s">
        <v>568</v>
      </c>
      <c r="AD630" t="s">
        <v>1818</v>
      </c>
    </row>
    <row r="631" spans="1:30" x14ac:dyDescent="0.25">
      <c r="A631" t="s">
        <v>33</v>
      </c>
      <c r="D631" t="s">
        <v>565</v>
      </c>
      <c r="E631" t="s">
        <v>566</v>
      </c>
      <c r="F631" t="s">
        <v>78</v>
      </c>
      <c r="G631" t="s">
        <v>904</v>
      </c>
      <c r="H631" t="s">
        <v>153</v>
      </c>
      <c r="I631" t="s">
        <v>1819</v>
      </c>
      <c r="J631" t="s">
        <v>154</v>
      </c>
      <c r="K631" t="s">
        <v>155</v>
      </c>
      <c r="L631" t="s">
        <v>905</v>
      </c>
      <c r="N631" t="s">
        <v>906</v>
      </c>
      <c r="O631" t="s">
        <v>1820</v>
      </c>
      <c r="R631" t="s">
        <v>1821</v>
      </c>
      <c r="S631" t="s">
        <v>573</v>
      </c>
      <c r="V631" t="s">
        <v>574</v>
      </c>
      <c r="W631" t="s">
        <v>568</v>
      </c>
      <c r="AD631" t="s">
        <v>1822</v>
      </c>
    </row>
    <row r="632" spans="1:30" x14ac:dyDescent="0.25">
      <c r="A632" t="s">
        <v>33</v>
      </c>
      <c r="D632" t="s">
        <v>565</v>
      </c>
      <c r="E632" t="s">
        <v>566</v>
      </c>
      <c r="F632" t="s">
        <v>78</v>
      </c>
      <c r="G632" t="s">
        <v>929</v>
      </c>
      <c r="H632" t="s">
        <v>153</v>
      </c>
      <c r="I632" t="s">
        <v>1819</v>
      </c>
      <c r="J632" t="s">
        <v>154</v>
      </c>
      <c r="K632" t="s">
        <v>155</v>
      </c>
      <c r="L632" t="s">
        <v>930</v>
      </c>
      <c r="N632" t="s">
        <v>931</v>
      </c>
      <c r="O632" t="s">
        <v>1820</v>
      </c>
      <c r="R632" t="s">
        <v>1823</v>
      </c>
      <c r="S632" t="s">
        <v>573</v>
      </c>
      <c r="V632" t="s">
        <v>574</v>
      </c>
      <c r="W632" t="s">
        <v>568</v>
      </c>
      <c r="AD632" t="s">
        <v>1824</v>
      </c>
    </row>
    <row r="633" spans="1:30" x14ac:dyDescent="0.25">
      <c r="A633" t="s">
        <v>33</v>
      </c>
      <c r="D633" t="s">
        <v>565</v>
      </c>
      <c r="E633" t="s">
        <v>566</v>
      </c>
      <c r="F633" t="s">
        <v>87</v>
      </c>
      <c r="G633" t="s">
        <v>781</v>
      </c>
      <c r="H633" t="s">
        <v>89</v>
      </c>
      <c r="I633" t="s">
        <v>144</v>
      </c>
      <c r="J633" t="s">
        <v>91</v>
      </c>
      <c r="K633" t="s">
        <v>92</v>
      </c>
      <c r="L633" t="s">
        <v>782</v>
      </c>
      <c r="M633" t="s">
        <v>94</v>
      </c>
      <c r="N633" t="s">
        <v>783</v>
      </c>
      <c r="O633" t="s">
        <v>150</v>
      </c>
      <c r="P633">
        <v>1E-3</v>
      </c>
      <c r="R633" t="s">
        <v>1825</v>
      </c>
      <c r="S633" t="s">
        <v>573</v>
      </c>
      <c r="V633" t="s">
        <v>574</v>
      </c>
      <c r="W633" t="s">
        <v>568</v>
      </c>
      <c r="AD633" t="s">
        <v>1826</v>
      </c>
    </row>
    <row r="634" spans="1:30" x14ac:dyDescent="0.25">
      <c r="A634" t="s">
        <v>33</v>
      </c>
      <c r="D634" t="s">
        <v>565</v>
      </c>
      <c r="E634" t="s">
        <v>566</v>
      </c>
      <c r="F634" t="s">
        <v>87</v>
      </c>
      <c r="G634" t="s">
        <v>781</v>
      </c>
      <c r="H634" t="s">
        <v>143</v>
      </c>
      <c r="I634" t="s">
        <v>144</v>
      </c>
      <c r="J634" t="s">
        <v>145</v>
      </c>
      <c r="K634" t="s">
        <v>146</v>
      </c>
      <c r="L634" t="s">
        <v>782</v>
      </c>
      <c r="M634" t="s">
        <v>493</v>
      </c>
      <c r="N634" t="s">
        <v>783</v>
      </c>
      <c r="O634" t="s">
        <v>147</v>
      </c>
      <c r="R634" t="s">
        <v>1827</v>
      </c>
      <c r="S634" t="s">
        <v>573</v>
      </c>
      <c r="V634" t="s">
        <v>574</v>
      </c>
      <c r="W634" t="s">
        <v>568</v>
      </c>
      <c r="AD634" t="s">
        <v>1828</v>
      </c>
    </row>
    <row r="635" spans="1:30" x14ac:dyDescent="0.25">
      <c r="A635" t="s">
        <v>33</v>
      </c>
      <c r="D635" t="s">
        <v>565</v>
      </c>
      <c r="E635" t="s">
        <v>566</v>
      </c>
      <c r="F635" t="s">
        <v>87</v>
      </c>
      <c r="G635" t="s">
        <v>632</v>
      </c>
      <c r="H635" t="s">
        <v>153</v>
      </c>
      <c r="I635" t="s">
        <v>235</v>
      </c>
      <c r="J635" t="s">
        <v>154</v>
      </c>
      <c r="K635" t="s">
        <v>155</v>
      </c>
      <c r="L635" t="s">
        <v>633</v>
      </c>
      <c r="N635" t="s">
        <v>634</v>
      </c>
      <c r="O635" t="s">
        <v>1762</v>
      </c>
      <c r="R635" t="s">
        <v>1829</v>
      </c>
      <c r="S635" t="s">
        <v>573</v>
      </c>
      <c r="V635" t="s">
        <v>574</v>
      </c>
      <c r="W635" t="s">
        <v>568</v>
      </c>
      <c r="AD635" t="s">
        <v>1830</v>
      </c>
    </row>
    <row r="636" spans="1:30" x14ac:dyDescent="0.25">
      <c r="A636" t="s">
        <v>33</v>
      </c>
      <c r="D636" t="s">
        <v>565</v>
      </c>
      <c r="E636" t="s">
        <v>566</v>
      </c>
      <c r="F636" t="s">
        <v>87</v>
      </c>
      <c r="G636" t="s">
        <v>781</v>
      </c>
      <c r="H636" t="s">
        <v>89</v>
      </c>
      <c r="I636" t="s">
        <v>90</v>
      </c>
      <c r="J636" t="s">
        <v>91</v>
      </c>
      <c r="K636" t="s">
        <v>92</v>
      </c>
      <c r="L636" t="s">
        <v>782</v>
      </c>
      <c r="M636" t="s">
        <v>94</v>
      </c>
      <c r="N636" t="s">
        <v>783</v>
      </c>
      <c r="O636" t="s">
        <v>383</v>
      </c>
      <c r="P636">
        <v>1E-3</v>
      </c>
      <c r="R636" t="s">
        <v>1831</v>
      </c>
      <c r="S636" t="s">
        <v>573</v>
      </c>
      <c r="V636" t="s">
        <v>574</v>
      </c>
      <c r="W636" t="s">
        <v>568</v>
      </c>
      <c r="AD636" t="s">
        <v>1832</v>
      </c>
    </row>
    <row r="637" spans="1:30" x14ac:dyDescent="0.25">
      <c r="A637" t="s">
        <v>33</v>
      </c>
      <c r="D637" t="s">
        <v>565</v>
      </c>
      <c r="E637" t="s">
        <v>566</v>
      </c>
      <c r="F637" t="s">
        <v>87</v>
      </c>
      <c r="G637" t="s">
        <v>781</v>
      </c>
      <c r="H637" t="s">
        <v>143</v>
      </c>
      <c r="I637" t="s">
        <v>90</v>
      </c>
      <c r="J637" t="s">
        <v>145</v>
      </c>
      <c r="K637" t="s">
        <v>146</v>
      </c>
      <c r="L637" t="s">
        <v>782</v>
      </c>
      <c r="M637" t="s">
        <v>493</v>
      </c>
      <c r="N637" t="s">
        <v>783</v>
      </c>
      <c r="O637" t="s">
        <v>380</v>
      </c>
      <c r="R637" t="s">
        <v>1833</v>
      </c>
      <c r="S637" t="s">
        <v>573</v>
      </c>
      <c r="V637" t="s">
        <v>574</v>
      </c>
      <c r="W637" t="s">
        <v>568</v>
      </c>
      <c r="AD637" t="s">
        <v>1834</v>
      </c>
    </row>
    <row r="638" spans="1:30" x14ac:dyDescent="0.25">
      <c r="A638" t="s">
        <v>33</v>
      </c>
      <c r="D638" t="s">
        <v>565</v>
      </c>
      <c r="E638" t="s">
        <v>566</v>
      </c>
      <c r="F638" t="s">
        <v>87</v>
      </c>
      <c r="G638" t="s">
        <v>790</v>
      </c>
      <c r="H638" t="s">
        <v>153</v>
      </c>
      <c r="I638" t="s">
        <v>235</v>
      </c>
      <c r="J638" t="s">
        <v>154</v>
      </c>
      <c r="K638" t="s">
        <v>155</v>
      </c>
      <c r="L638" t="s">
        <v>791</v>
      </c>
      <c r="N638" t="s">
        <v>792</v>
      </c>
      <c r="O638" t="s">
        <v>1762</v>
      </c>
      <c r="R638" t="s">
        <v>1835</v>
      </c>
      <c r="S638" t="s">
        <v>573</v>
      </c>
      <c r="V638" t="s">
        <v>574</v>
      </c>
      <c r="W638" t="s">
        <v>568</v>
      </c>
      <c r="AD638" t="s">
        <v>1836</v>
      </c>
    </row>
    <row r="639" spans="1:30" x14ac:dyDescent="0.25">
      <c r="A639" t="s">
        <v>33</v>
      </c>
      <c r="D639" t="s">
        <v>565</v>
      </c>
      <c r="E639" t="s">
        <v>566</v>
      </c>
      <c r="F639" t="s">
        <v>87</v>
      </c>
      <c r="G639" t="s">
        <v>781</v>
      </c>
      <c r="H639" t="s">
        <v>89</v>
      </c>
      <c r="I639" t="s">
        <v>180</v>
      </c>
      <c r="J639" t="s">
        <v>91</v>
      </c>
      <c r="K639" t="s">
        <v>92</v>
      </c>
      <c r="L639" t="s">
        <v>782</v>
      </c>
      <c r="M639" t="s">
        <v>94</v>
      </c>
      <c r="N639" t="s">
        <v>783</v>
      </c>
      <c r="O639" t="s">
        <v>184</v>
      </c>
      <c r="P639">
        <v>1E-3</v>
      </c>
      <c r="R639" t="s">
        <v>1837</v>
      </c>
      <c r="S639" t="s">
        <v>573</v>
      </c>
      <c r="V639" t="s">
        <v>574</v>
      </c>
      <c r="W639" t="s">
        <v>568</v>
      </c>
      <c r="AD639" t="s">
        <v>1838</v>
      </c>
    </row>
    <row r="640" spans="1:30" x14ac:dyDescent="0.25">
      <c r="A640" t="s">
        <v>33</v>
      </c>
      <c r="D640" t="s">
        <v>565</v>
      </c>
      <c r="E640" t="s">
        <v>566</v>
      </c>
      <c r="F640" t="s">
        <v>87</v>
      </c>
      <c r="G640" t="s">
        <v>781</v>
      </c>
      <c r="H640" t="s">
        <v>143</v>
      </c>
      <c r="I640" t="s">
        <v>180</v>
      </c>
      <c r="J640" t="s">
        <v>145</v>
      </c>
      <c r="K640" t="s">
        <v>146</v>
      </c>
      <c r="L640" t="s">
        <v>782</v>
      </c>
      <c r="M640" t="s">
        <v>493</v>
      </c>
      <c r="N640" t="s">
        <v>783</v>
      </c>
      <c r="O640" t="s">
        <v>181</v>
      </c>
      <c r="R640" t="s">
        <v>1839</v>
      </c>
      <c r="S640" t="s">
        <v>573</v>
      </c>
      <c r="V640" t="s">
        <v>574</v>
      </c>
      <c r="W640" t="s">
        <v>568</v>
      </c>
      <c r="AD640" t="s">
        <v>1840</v>
      </c>
    </row>
    <row r="641" spans="1:30" x14ac:dyDescent="0.25">
      <c r="A641" t="s">
        <v>33</v>
      </c>
      <c r="D641" t="s">
        <v>565</v>
      </c>
      <c r="E641" t="s">
        <v>566</v>
      </c>
      <c r="F641" t="s">
        <v>87</v>
      </c>
      <c r="G641" t="s">
        <v>796</v>
      </c>
      <c r="H641" t="s">
        <v>153</v>
      </c>
      <c r="I641" t="s">
        <v>235</v>
      </c>
      <c r="J641" t="s">
        <v>154</v>
      </c>
      <c r="K641" t="s">
        <v>155</v>
      </c>
      <c r="L641" t="s">
        <v>797</v>
      </c>
      <c r="N641" t="s">
        <v>798</v>
      </c>
      <c r="O641" t="s">
        <v>1762</v>
      </c>
      <c r="R641" t="s">
        <v>1841</v>
      </c>
      <c r="S641" t="s">
        <v>573</v>
      </c>
      <c r="V641" t="s">
        <v>574</v>
      </c>
      <c r="W641" t="s">
        <v>568</v>
      </c>
      <c r="AD641" t="s">
        <v>1842</v>
      </c>
    </row>
    <row r="642" spans="1:30" x14ac:dyDescent="0.25">
      <c r="A642" t="s">
        <v>33</v>
      </c>
      <c r="D642" t="s">
        <v>565</v>
      </c>
      <c r="E642" t="s">
        <v>566</v>
      </c>
      <c r="F642" t="s">
        <v>87</v>
      </c>
      <c r="G642" t="s">
        <v>781</v>
      </c>
      <c r="H642" t="s">
        <v>89</v>
      </c>
      <c r="I642" t="s">
        <v>100</v>
      </c>
      <c r="J642" t="s">
        <v>91</v>
      </c>
      <c r="K642" t="s">
        <v>92</v>
      </c>
      <c r="L642" t="s">
        <v>782</v>
      </c>
      <c r="M642" t="s">
        <v>94</v>
      </c>
      <c r="N642" t="s">
        <v>783</v>
      </c>
      <c r="O642" t="s">
        <v>445</v>
      </c>
      <c r="P642">
        <v>1E-3</v>
      </c>
      <c r="R642" t="s">
        <v>1843</v>
      </c>
      <c r="S642" t="s">
        <v>573</v>
      </c>
      <c r="V642" t="s">
        <v>574</v>
      </c>
      <c r="W642" t="s">
        <v>568</v>
      </c>
      <c r="AD642" t="s">
        <v>1844</v>
      </c>
    </row>
    <row r="643" spans="1:30" x14ac:dyDescent="0.25">
      <c r="A643" t="s">
        <v>33</v>
      </c>
      <c r="D643" t="s">
        <v>565</v>
      </c>
      <c r="E643" t="s">
        <v>566</v>
      </c>
      <c r="F643" t="s">
        <v>87</v>
      </c>
      <c r="G643" t="s">
        <v>781</v>
      </c>
      <c r="H643" t="s">
        <v>143</v>
      </c>
      <c r="I643" t="s">
        <v>100</v>
      </c>
      <c r="J643" t="s">
        <v>145</v>
      </c>
      <c r="K643" t="s">
        <v>146</v>
      </c>
      <c r="L643" t="s">
        <v>782</v>
      </c>
      <c r="M643" t="s">
        <v>493</v>
      </c>
      <c r="N643" t="s">
        <v>783</v>
      </c>
      <c r="O643" t="s">
        <v>442</v>
      </c>
      <c r="R643" t="s">
        <v>1845</v>
      </c>
      <c r="S643" t="s">
        <v>573</v>
      </c>
      <c r="V643" t="s">
        <v>574</v>
      </c>
      <c r="W643" t="s">
        <v>568</v>
      </c>
      <c r="AD643" t="s">
        <v>1846</v>
      </c>
    </row>
    <row r="644" spans="1:30" x14ac:dyDescent="0.25">
      <c r="A644" t="s">
        <v>33</v>
      </c>
      <c r="D644" t="s">
        <v>565</v>
      </c>
      <c r="E644" t="s">
        <v>566</v>
      </c>
      <c r="F644" t="s">
        <v>87</v>
      </c>
      <c r="G644" t="s">
        <v>781</v>
      </c>
      <c r="H644" t="s">
        <v>38</v>
      </c>
      <c r="I644" t="s">
        <v>106</v>
      </c>
      <c r="J644" t="s">
        <v>40</v>
      </c>
      <c r="K644" t="s">
        <v>41</v>
      </c>
      <c r="L644" t="s">
        <v>782</v>
      </c>
      <c r="M644" t="s">
        <v>493</v>
      </c>
      <c r="N644" t="s">
        <v>783</v>
      </c>
      <c r="O644" t="s">
        <v>109</v>
      </c>
      <c r="R644" t="s">
        <v>1847</v>
      </c>
      <c r="S644" t="s">
        <v>573</v>
      </c>
      <c r="V644" t="s">
        <v>574</v>
      </c>
      <c r="W644" t="s">
        <v>568</v>
      </c>
      <c r="AD644" t="s">
        <v>1848</v>
      </c>
    </row>
    <row r="645" spans="1:30" x14ac:dyDescent="0.25">
      <c r="A645" t="s">
        <v>33</v>
      </c>
      <c r="D645" t="s">
        <v>565</v>
      </c>
      <c r="E645" t="s">
        <v>566</v>
      </c>
      <c r="F645" t="s">
        <v>87</v>
      </c>
      <c r="G645" t="s">
        <v>781</v>
      </c>
      <c r="H645" t="s">
        <v>38</v>
      </c>
      <c r="I645" t="s">
        <v>25</v>
      </c>
      <c r="J645" t="s">
        <v>69</v>
      </c>
      <c r="K645" t="s">
        <v>41</v>
      </c>
      <c r="L645" t="s">
        <v>782</v>
      </c>
      <c r="M645" t="s">
        <v>493</v>
      </c>
      <c r="N645" t="s">
        <v>783</v>
      </c>
      <c r="O645" t="s">
        <v>512</v>
      </c>
      <c r="R645" t="s">
        <v>1849</v>
      </c>
      <c r="S645" t="s">
        <v>573</v>
      </c>
      <c r="V645" t="s">
        <v>574</v>
      </c>
      <c r="W645" t="s">
        <v>568</v>
      </c>
      <c r="AD645" t="s">
        <v>1850</v>
      </c>
    </row>
    <row r="646" spans="1:30" x14ac:dyDescent="0.25">
      <c r="A646" t="s">
        <v>33</v>
      </c>
      <c r="D646" t="s">
        <v>565</v>
      </c>
      <c r="E646" t="s">
        <v>566</v>
      </c>
      <c r="F646" t="s">
        <v>87</v>
      </c>
      <c r="G646" t="s">
        <v>781</v>
      </c>
      <c r="H646" t="s">
        <v>38</v>
      </c>
      <c r="I646" t="s">
        <v>24</v>
      </c>
      <c r="J646" t="s">
        <v>69</v>
      </c>
      <c r="K646" t="s">
        <v>41</v>
      </c>
      <c r="L646" t="s">
        <v>782</v>
      </c>
      <c r="M646" t="s">
        <v>493</v>
      </c>
      <c r="N646" t="s">
        <v>783</v>
      </c>
      <c r="O646" t="s">
        <v>509</v>
      </c>
      <c r="R646" t="s">
        <v>1851</v>
      </c>
      <c r="S646" t="s">
        <v>573</v>
      </c>
      <c r="V646" t="s">
        <v>574</v>
      </c>
      <c r="W646" t="s">
        <v>568</v>
      </c>
      <c r="AD646" t="s">
        <v>1852</v>
      </c>
    </row>
    <row r="647" spans="1:30" x14ac:dyDescent="0.25">
      <c r="A647" t="s">
        <v>33</v>
      </c>
      <c r="D647" t="s">
        <v>565</v>
      </c>
      <c r="E647" t="s">
        <v>566</v>
      </c>
      <c r="F647" t="s">
        <v>87</v>
      </c>
      <c r="G647" t="s">
        <v>1353</v>
      </c>
      <c r="H647" t="s">
        <v>153</v>
      </c>
      <c r="I647" t="s">
        <v>235</v>
      </c>
      <c r="J647" t="s">
        <v>154</v>
      </c>
      <c r="K647" t="s">
        <v>155</v>
      </c>
      <c r="L647" t="s">
        <v>1354</v>
      </c>
      <c r="N647" t="s">
        <v>459</v>
      </c>
      <c r="O647" t="s">
        <v>1762</v>
      </c>
      <c r="R647" t="s">
        <v>1853</v>
      </c>
      <c r="S647" t="s">
        <v>573</v>
      </c>
      <c r="V647" t="s">
        <v>574</v>
      </c>
      <c r="W647" t="s">
        <v>568</v>
      </c>
      <c r="AD647" t="s">
        <v>1854</v>
      </c>
    </row>
    <row r="648" spans="1:30" x14ac:dyDescent="0.25">
      <c r="A648" t="s">
        <v>33</v>
      </c>
      <c r="D648" t="s">
        <v>565</v>
      </c>
      <c r="E648" t="s">
        <v>566</v>
      </c>
      <c r="F648" t="s">
        <v>87</v>
      </c>
      <c r="G648" t="s">
        <v>815</v>
      </c>
      <c r="H648" t="s">
        <v>153</v>
      </c>
      <c r="I648" t="s">
        <v>235</v>
      </c>
      <c r="J648" t="s">
        <v>154</v>
      </c>
      <c r="K648" t="s">
        <v>155</v>
      </c>
      <c r="L648" t="s">
        <v>816</v>
      </c>
      <c r="N648" t="s">
        <v>817</v>
      </c>
      <c r="O648" t="s">
        <v>1762</v>
      </c>
      <c r="R648" t="s">
        <v>1855</v>
      </c>
      <c r="S648" t="s">
        <v>573</v>
      </c>
      <c r="V648" t="s">
        <v>574</v>
      </c>
      <c r="W648" t="s">
        <v>568</v>
      </c>
      <c r="AD648" t="s">
        <v>1856</v>
      </c>
    </row>
    <row r="649" spans="1:30" x14ac:dyDescent="0.25">
      <c r="A649" t="s">
        <v>33</v>
      </c>
      <c r="D649" t="s">
        <v>565</v>
      </c>
      <c r="E649" t="s">
        <v>566</v>
      </c>
      <c r="F649" t="s">
        <v>87</v>
      </c>
      <c r="G649" t="s">
        <v>1270</v>
      </c>
      <c r="H649" t="s">
        <v>89</v>
      </c>
      <c r="I649" t="s">
        <v>144</v>
      </c>
      <c r="J649" t="s">
        <v>91</v>
      </c>
      <c r="K649" t="s">
        <v>92</v>
      </c>
      <c r="L649" t="s">
        <v>1271</v>
      </c>
      <c r="M649" t="s">
        <v>94</v>
      </c>
      <c r="N649" t="s">
        <v>1272</v>
      </c>
      <c r="O649" t="s">
        <v>150</v>
      </c>
      <c r="P649">
        <v>1E-3</v>
      </c>
      <c r="R649" t="s">
        <v>1857</v>
      </c>
      <c r="S649" t="s">
        <v>573</v>
      </c>
      <c r="V649" t="s">
        <v>574</v>
      </c>
      <c r="W649" t="s">
        <v>568</v>
      </c>
      <c r="AD649" t="s">
        <v>1858</v>
      </c>
    </row>
    <row r="650" spans="1:30" x14ac:dyDescent="0.25">
      <c r="A650" t="s">
        <v>33</v>
      </c>
      <c r="D650" t="s">
        <v>565</v>
      </c>
      <c r="E650" t="s">
        <v>566</v>
      </c>
      <c r="F650" t="s">
        <v>87</v>
      </c>
      <c r="G650" t="s">
        <v>1270</v>
      </c>
      <c r="H650" t="s">
        <v>143</v>
      </c>
      <c r="I650" t="s">
        <v>144</v>
      </c>
      <c r="J650" t="s">
        <v>145</v>
      </c>
      <c r="K650" t="s">
        <v>146</v>
      </c>
      <c r="L650" t="s">
        <v>1271</v>
      </c>
      <c r="M650" t="s">
        <v>493</v>
      </c>
      <c r="N650" t="s">
        <v>1272</v>
      </c>
      <c r="O650" t="s">
        <v>147</v>
      </c>
      <c r="R650" t="s">
        <v>1859</v>
      </c>
      <c r="S650" t="s">
        <v>573</v>
      </c>
      <c r="V650" t="s">
        <v>574</v>
      </c>
      <c r="W650" t="s">
        <v>568</v>
      </c>
      <c r="AD650" t="s">
        <v>1860</v>
      </c>
    </row>
    <row r="651" spans="1:30" x14ac:dyDescent="0.25">
      <c r="A651" t="s">
        <v>33</v>
      </c>
      <c r="D651" t="s">
        <v>565</v>
      </c>
      <c r="E651" t="s">
        <v>566</v>
      </c>
      <c r="F651" t="s">
        <v>87</v>
      </c>
      <c r="G651" t="s">
        <v>1270</v>
      </c>
      <c r="H651" t="s">
        <v>38</v>
      </c>
      <c r="I651" t="s">
        <v>106</v>
      </c>
      <c r="J651" t="s">
        <v>40</v>
      </c>
      <c r="K651" t="s">
        <v>41</v>
      </c>
      <c r="L651" t="s">
        <v>1271</v>
      </c>
      <c r="M651" t="s">
        <v>493</v>
      </c>
      <c r="N651" t="s">
        <v>1272</v>
      </c>
      <c r="O651" t="s">
        <v>109</v>
      </c>
      <c r="R651" t="s">
        <v>1861</v>
      </c>
      <c r="S651" t="s">
        <v>573</v>
      </c>
      <c r="V651" t="s">
        <v>574</v>
      </c>
      <c r="W651" t="s">
        <v>568</v>
      </c>
      <c r="AD651" t="s">
        <v>1862</v>
      </c>
    </row>
    <row r="652" spans="1:30" x14ac:dyDescent="0.25">
      <c r="A652" t="s">
        <v>33</v>
      </c>
      <c r="D652" t="s">
        <v>565</v>
      </c>
      <c r="E652" t="s">
        <v>566</v>
      </c>
      <c r="F652" t="s">
        <v>87</v>
      </c>
      <c r="G652" t="s">
        <v>1270</v>
      </c>
      <c r="H652" t="s">
        <v>38</v>
      </c>
      <c r="I652" t="s">
        <v>25</v>
      </c>
      <c r="J652" t="s">
        <v>69</v>
      </c>
      <c r="K652" t="s">
        <v>41</v>
      </c>
      <c r="L652" t="s">
        <v>1271</v>
      </c>
      <c r="M652" t="s">
        <v>493</v>
      </c>
      <c r="N652" t="s">
        <v>1272</v>
      </c>
      <c r="O652" t="s">
        <v>512</v>
      </c>
      <c r="R652" t="s">
        <v>1863</v>
      </c>
      <c r="S652" t="s">
        <v>573</v>
      </c>
      <c r="V652" t="s">
        <v>574</v>
      </c>
      <c r="W652" t="s">
        <v>568</v>
      </c>
      <c r="AD652" t="s">
        <v>1864</v>
      </c>
    </row>
    <row r="653" spans="1:30" x14ac:dyDescent="0.25">
      <c r="A653" t="s">
        <v>33</v>
      </c>
      <c r="D653" t="s">
        <v>565</v>
      </c>
      <c r="E653" t="s">
        <v>566</v>
      </c>
      <c r="F653" t="s">
        <v>87</v>
      </c>
      <c r="G653" t="s">
        <v>1270</v>
      </c>
      <c r="H653" t="s">
        <v>38</v>
      </c>
      <c r="I653" t="s">
        <v>24</v>
      </c>
      <c r="J653" t="s">
        <v>69</v>
      </c>
      <c r="K653" t="s">
        <v>41</v>
      </c>
      <c r="L653" t="s">
        <v>1271</v>
      </c>
      <c r="M653" t="s">
        <v>493</v>
      </c>
      <c r="N653" t="s">
        <v>1272</v>
      </c>
      <c r="O653" t="s">
        <v>509</v>
      </c>
      <c r="R653" t="s">
        <v>1865</v>
      </c>
      <c r="S653" t="s">
        <v>573</v>
      </c>
      <c r="V653" t="s">
        <v>574</v>
      </c>
      <c r="W653" t="s">
        <v>568</v>
      </c>
      <c r="AD653" t="s">
        <v>1866</v>
      </c>
    </row>
    <row r="654" spans="1:30" x14ac:dyDescent="0.25">
      <c r="A654" t="s">
        <v>33</v>
      </c>
      <c r="D654" t="s">
        <v>565</v>
      </c>
      <c r="E654" t="s">
        <v>566</v>
      </c>
      <c r="F654" t="s">
        <v>1867</v>
      </c>
      <c r="G654" t="s">
        <v>1868</v>
      </c>
      <c r="H654" t="s">
        <v>166</v>
      </c>
      <c r="I654" t="s">
        <v>1869</v>
      </c>
      <c r="J654" t="s">
        <v>167</v>
      </c>
      <c r="K654" t="s">
        <v>41</v>
      </c>
      <c r="L654" t="s">
        <v>1870</v>
      </c>
      <c r="N654" t="s">
        <v>1871</v>
      </c>
      <c r="O654" t="s">
        <v>1872</v>
      </c>
      <c r="Q654" t="s">
        <v>863</v>
      </c>
      <c r="R654" t="s">
        <v>1873</v>
      </c>
      <c r="S654" t="s">
        <v>573</v>
      </c>
      <c r="V654" t="s">
        <v>574</v>
      </c>
      <c r="W654" t="s">
        <v>568</v>
      </c>
      <c r="AD654" t="s">
        <v>1874</v>
      </c>
    </row>
    <row r="655" spans="1:30" x14ac:dyDescent="0.25">
      <c r="A655" t="s">
        <v>33</v>
      </c>
      <c r="D655" t="s">
        <v>565</v>
      </c>
      <c r="E655" t="s">
        <v>566</v>
      </c>
      <c r="F655" t="s">
        <v>87</v>
      </c>
      <c r="G655" t="s">
        <v>1498</v>
      </c>
      <c r="H655" t="s">
        <v>153</v>
      </c>
      <c r="I655" t="s">
        <v>235</v>
      </c>
      <c r="J655" t="s">
        <v>154</v>
      </c>
      <c r="K655" t="s">
        <v>155</v>
      </c>
      <c r="L655" t="s">
        <v>1499</v>
      </c>
      <c r="N655" t="s">
        <v>1500</v>
      </c>
      <c r="O655" t="s">
        <v>1762</v>
      </c>
      <c r="R655" t="s">
        <v>1875</v>
      </c>
      <c r="S655" t="s">
        <v>573</v>
      </c>
      <c r="V655" t="s">
        <v>574</v>
      </c>
      <c r="W655" t="s">
        <v>568</v>
      </c>
      <c r="AD655" t="s">
        <v>1876</v>
      </c>
    </row>
    <row r="656" spans="1:30" x14ac:dyDescent="0.25">
      <c r="A656" t="s">
        <v>33</v>
      </c>
      <c r="D656" t="s">
        <v>565</v>
      </c>
      <c r="E656" t="s">
        <v>566</v>
      </c>
      <c r="F656" t="s">
        <v>87</v>
      </c>
      <c r="G656" t="s">
        <v>790</v>
      </c>
      <c r="H656" t="s">
        <v>89</v>
      </c>
      <c r="I656" t="s">
        <v>144</v>
      </c>
      <c r="J656" t="s">
        <v>91</v>
      </c>
      <c r="K656" t="s">
        <v>92</v>
      </c>
      <c r="L656" t="s">
        <v>791</v>
      </c>
      <c r="M656" t="s">
        <v>94</v>
      </c>
      <c r="N656" t="s">
        <v>792</v>
      </c>
      <c r="O656" t="s">
        <v>150</v>
      </c>
      <c r="P656">
        <v>1E-3</v>
      </c>
      <c r="R656" t="s">
        <v>1877</v>
      </c>
      <c r="S656" t="s">
        <v>573</v>
      </c>
      <c r="V656" t="s">
        <v>574</v>
      </c>
      <c r="W656" t="s">
        <v>568</v>
      </c>
      <c r="AD656" t="s">
        <v>1878</v>
      </c>
    </row>
    <row r="657" spans="1:30" x14ac:dyDescent="0.25">
      <c r="A657" t="s">
        <v>33</v>
      </c>
      <c r="D657" t="s">
        <v>565</v>
      </c>
      <c r="E657" t="s">
        <v>566</v>
      </c>
      <c r="F657" t="s">
        <v>87</v>
      </c>
      <c r="G657" t="s">
        <v>790</v>
      </c>
      <c r="H657" t="s">
        <v>143</v>
      </c>
      <c r="I657" t="s">
        <v>144</v>
      </c>
      <c r="J657" t="s">
        <v>145</v>
      </c>
      <c r="K657" t="s">
        <v>146</v>
      </c>
      <c r="L657" t="s">
        <v>791</v>
      </c>
      <c r="M657" t="s">
        <v>1879</v>
      </c>
      <c r="N657" t="s">
        <v>792</v>
      </c>
      <c r="O657" t="s">
        <v>147</v>
      </c>
      <c r="R657" t="s">
        <v>1880</v>
      </c>
      <c r="S657" t="s">
        <v>573</v>
      </c>
      <c r="V657" t="s">
        <v>574</v>
      </c>
      <c r="W657" t="s">
        <v>568</v>
      </c>
      <c r="X657" t="s">
        <v>1881</v>
      </c>
      <c r="AD657" t="s">
        <v>1882</v>
      </c>
    </row>
    <row r="658" spans="1:30" x14ac:dyDescent="0.25">
      <c r="A658" t="s">
        <v>33</v>
      </c>
      <c r="D658" t="s">
        <v>565</v>
      </c>
      <c r="E658" t="s">
        <v>566</v>
      </c>
      <c r="F658" t="s">
        <v>87</v>
      </c>
      <c r="G658" t="s">
        <v>1363</v>
      </c>
      <c r="H658" t="s">
        <v>153</v>
      </c>
      <c r="I658" t="s">
        <v>235</v>
      </c>
      <c r="J658" t="s">
        <v>154</v>
      </c>
      <c r="K658" t="s">
        <v>155</v>
      </c>
      <c r="L658" t="s">
        <v>1364</v>
      </c>
      <c r="N658" t="s">
        <v>1365</v>
      </c>
      <c r="O658" t="s">
        <v>1762</v>
      </c>
      <c r="R658" t="s">
        <v>1883</v>
      </c>
      <c r="S658" t="s">
        <v>573</v>
      </c>
      <c r="V658" t="s">
        <v>574</v>
      </c>
      <c r="W658" t="s">
        <v>568</v>
      </c>
      <c r="AD658" t="s">
        <v>1884</v>
      </c>
    </row>
    <row r="659" spans="1:30" x14ac:dyDescent="0.25">
      <c r="A659" t="s">
        <v>33</v>
      </c>
      <c r="D659" t="s">
        <v>565</v>
      </c>
      <c r="E659" t="s">
        <v>566</v>
      </c>
      <c r="F659" t="s">
        <v>87</v>
      </c>
      <c r="G659" t="s">
        <v>790</v>
      </c>
      <c r="H659" t="s">
        <v>89</v>
      </c>
      <c r="I659" t="s">
        <v>90</v>
      </c>
      <c r="J659" t="s">
        <v>91</v>
      </c>
      <c r="K659" t="s">
        <v>92</v>
      </c>
      <c r="L659" t="s">
        <v>791</v>
      </c>
      <c r="M659" t="s">
        <v>94</v>
      </c>
      <c r="N659" t="s">
        <v>792</v>
      </c>
      <c r="O659" t="s">
        <v>383</v>
      </c>
      <c r="P659">
        <v>1E-3</v>
      </c>
      <c r="R659" t="s">
        <v>1885</v>
      </c>
      <c r="S659" t="s">
        <v>573</v>
      </c>
      <c r="V659" t="s">
        <v>574</v>
      </c>
      <c r="W659" t="s">
        <v>568</v>
      </c>
      <c r="AD659" t="s">
        <v>1886</v>
      </c>
    </row>
    <row r="660" spans="1:30" x14ac:dyDescent="0.25">
      <c r="A660" t="s">
        <v>33</v>
      </c>
      <c r="D660" t="s">
        <v>565</v>
      </c>
      <c r="E660" t="s">
        <v>566</v>
      </c>
      <c r="F660" t="s">
        <v>87</v>
      </c>
      <c r="G660" t="s">
        <v>790</v>
      </c>
      <c r="H660" t="s">
        <v>143</v>
      </c>
      <c r="I660" t="s">
        <v>90</v>
      </c>
      <c r="J660" t="s">
        <v>145</v>
      </c>
      <c r="K660" t="s">
        <v>146</v>
      </c>
      <c r="L660" t="s">
        <v>791</v>
      </c>
      <c r="M660" t="s">
        <v>1879</v>
      </c>
      <c r="N660" t="s">
        <v>792</v>
      </c>
      <c r="O660" t="s">
        <v>380</v>
      </c>
      <c r="R660" t="s">
        <v>1887</v>
      </c>
      <c r="S660" t="s">
        <v>573</v>
      </c>
      <c r="V660" t="s">
        <v>574</v>
      </c>
      <c r="W660" t="s">
        <v>568</v>
      </c>
      <c r="X660" t="s">
        <v>1881</v>
      </c>
      <c r="AD660" t="s">
        <v>1888</v>
      </c>
    </row>
    <row r="661" spans="1:30" x14ac:dyDescent="0.25">
      <c r="A661" t="s">
        <v>33</v>
      </c>
      <c r="D661" t="s">
        <v>565</v>
      </c>
      <c r="E661" t="s">
        <v>566</v>
      </c>
      <c r="F661" t="s">
        <v>87</v>
      </c>
      <c r="G661" t="s">
        <v>790</v>
      </c>
      <c r="H661" t="s">
        <v>38</v>
      </c>
      <c r="I661" t="s">
        <v>106</v>
      </c>
      <c r="J661" t="s">
        <v>40</v>
      </c>
      <c r="K661" t="s">
        <v>41</v>
      </c>
      <c r="L661" t="s">
        <v>791</v>
      </c>
      <c r="M661" t="s">
        <v>1879</v>
      </c>
      <c r="N661" t="s">
        <v>792</v>
      </c>
      <c r="O661" t="s">
        <v>109</v>
      </c>
      <c r="R661" t="s">
        <v>1889</v>
      </c>
      <c r="S661" t="s">
        <v>573</v>
      </c>
      <c r="V661" t="s">
        <v>574</v>
      </c>
      <c r="W661" t="s">
        <v>568</v>
      </c>
      <c r="X661" t="s">
        <v>1881</v>
      </c>
      <c r="AD661" t="s">
        <v>1890</v>
      </c>
    </row>
    <row r="662" spans="1:30" x14ac:dyDescent="0.25">
      <c r="A662" t="s">
        <v>33</v>
      </c>
      <c r="D662" t="s">
        <v>565</v>
      </c>
      <c r="E662" t="s">
        <v>566</v>
      </c>
      <c r="F662" t="s">
        <v>87</v>
      </c>
      <c r="G662" t="s">
        <v>790</v>
      </c>
      <c r="H662" t="s">
        <v>38</v>
      </c>
      <c r="I662" t="s">
        <v>25</v>
      </c>
      <c r="J662" t="s">
        <v>69</v>
      </c>
      <c r="K662" t="s">
        <v>41</v>
      </c>
      <c r="L662" t="s">
        <v>791</v>
      </c>
      <c r="M662" t="s">
        <v>1879</v>
      </c>
      <c r="N662" t="s">
        <v>792</v>
      </c>
      <c r="O662" t="s">
        <v>512</v>
      </c>
      <c r="R662" t="s">
        <v>513</v>
      </c>
      <c r="S662" t="s">
        <v>573</v>
      </c>
      <c r="V662" t="s">
        <v>574</v>
      </c>
      <c r="W662" t="s">
        <v>568</v>
      </c>
      <c r="X662" t="s">
        <v>1881</v>
      </c>
      <c r="AD662" t="s">
        <v>1891</v>
      </c>
    </row>
    <row r="663" spans="1:30" x14ac:dyDescent="0.25">
      <c r="A663" t="s">
        <v>33</v>
      </c>
      <c r="D663" t="s">
        <v>565</v>
      </c>
      <c r="E663" t="s">
        <v>566</v>
      </c>
      <c r="F663" t="s">
        <v>87</v>
      </c>
      <c r="G663" t="s">
        <v>790</v>
      </c>
      <c r="H663" t="s">
        <v>38</v>
      </c>
      <c r="I663" t="s">
        <v>24</v>
      </c>
      <c r="J663" t="s">
        <v>69</v>
      </c>
      <c r="K663" t="s">
        <v>41</v>
      </c>
      <c r="L663" t="s">
        <v>791</v>
      </c>
      <c r="M663" t="s">
        <v>1879</v>
      </c>
      <c r="N663" t="s">
        <v>792</v>
      </c>
      <c r="O663" t="s">
        <v>509</v>
      </c>
      <c r="R663" t="s">
        <v>510</v>
      </c>
      <c r="S663" t="s">
        <v>573</v>
      </c>
      <c r="V663" t="s">
        <v>574</v>
      </c>
      <c r="W663" t="s">
        <v>568</v>
      </c>
      <c r="X663" t="s">
        <v>1881</v>
      </c>
      <c r="AD663" t="s">
        <v>1892</v>
      </c>
    </row>
    <row r="664" spans="1:30" x14ac:dyDescent="0.25">
      <c r="A664" t="s">
        <v>33</v>
      </c>
      <c r="D664" t="s">
        <v>565</v>
      </c>
      <c r="E664" t="s">
        <v>566</v>
      </c>
      <c r="F664" t="s">
        <v>87</v>
      </c>
      <c r="G664" t="s">
        <v>1373</v>
      </c>
      <c r="H664" t="s">
        <v>153</v>
      </c>
      <c r="I664" t="s">
        <v>235</v>
      </c>
      <c r="J664" t="s">
        <v>154</v>
      </c>
      <c r="K664" t="s">
        <v>155</v>
      </c>
      <c r="L664" t="s">
        <v>1374</v>
      </c>
      <c r="N664" t="s">
        <v>1375</v>
      </c>
      <c r="O664" t="s">
        <v>1762</v>
      </c>
      <c r="R664" t="s">
        <v>1893</v>
      </c>
      <c r="S664" t="s">
        <v>573</v>
      </c>
      <c r="V664" t="s">
        <v>574</v>
      </c>
      <c r="W664" t="s">
        <v>568</v>
      </c>
      <c r="AD664" t="s">
        <v>1894</v>
      </c>
    </row>
    <row r="665" spans="1:30" x14ac:dyDescent="0.25">
      <c r="A665" t="s">
        <v>33</v>
      </c>
      <c r="D665" t="s">
        <v>565</v>
      </c>
      <c r="E665" t="s">
        <v>566</v>
      </c>
      <c r="F665" t="s">
        <v>87</v>
      </c>
      <c r="G665" t="s">
        <v>1386</v>
      </c>
      <c r="H665" t="s">
        <v>153</v>
      </c>
      <c r="I665" t="s">
        <v>235</v>
      </c>
      <c r="J665" t="s">
        <v>154</v>
      </c>
      <c r="K665" t="s">
        <v>155</v>
      </c>
      <c r="L665" t="s">
        <v>1387</v>
      </c>
      <c r="N665" t="s">
        <v>1388</v>
      </c>
      <c r="O665" t="s">
        <v>1762</v>
      </c>
      <c r="R665" t="s">
        <v>1895</v>
      </c>
      <c r="S665" t="s">
        <v>573</v>
      </c>
      <c r="V665" t="s">
        <v>574</v>
      </c>
      <c r="W665" t="s">
        <v>568</v>
      </c>
      <c r="AD665" t="s">
        <v>1896</v>
      </c>
    </row>
    <row r="666" spans="1:30" x14ac:dyDescent="0.25">
      <c r="A666" t="s">
        <v>33</v>
      </c>
      <c r="D666" t="s">
        <v>565</v>
      </c>
      <c r="E666" t="s">
        <v>566</v>
      </c>
      <c r="F666" t="s">
        <v>87</v>
      </c>
      <c r="G666" t="s">
        <v>796</v>
      </c>
      <c r="H666" t="s">
        <v>89</v>
      </c>
      <c r="I666" t="s">
        <v>144</v>
      </c>
      <c r="J666" t="s">
        <v>91</v>
      </c>
      <c r="K666" t="s">
        <v>92</v>
      </c>
      <c r="L666" t="s">
        <v>797</v>
      </c>
      <c r="M666" t="s">
        <v>94</v>
      </c>
      <c r="N666" t="s">
        <v>798</v>
      </c>
      <c r="O666" t="s">
        <v>150</v>
      </c>
      <c r="P666">
        <v>1E-3</v>
      </c>
      <c r="R666" t="s">
        <v>1897</v>
      </c>
      <c r="S666" t="s">
        <v>573</v>
      </c>
      <c r="V666" t="s">
        <v>574</v>
      </c>
      <c r="W666" t="s">
        <v>568</v>
      </c>
      <c r="AD666" t="s">
        <v>1898</v>
      </c>
    </row>
    <row r="667" spans="1:30" x14ac:dyDescent="0.25">
      <c r="A667" t="s">
        <v>33</v>
      </c>
      <c r="D667" t="s">
        <v>565</v>
      </c>
      <c r="E667" t="s">
        <v>566</v>
      </c>
      <c r="F667" t="s">
        <v>87</v>
      </c>
      <c r="G667" t="s">
        <v>796</v>
      </c>
      <c r="H667" t="s">
        <v>143</v>
      </c>
      <c r="I667" t="s">
        <v>144</v>
      </c>
      <c r="J667" t="s">
        <v>145</v>
      </c>
      <c r="K667" t="s">
        <v>146</v>
      </c>
      <c r="L667" t="s">
        <v>797</v>
      </c>
      <c r="M667" t="s">
        <v>1879</v>
      </c>
      <c r="N667" t="s">
        <v>798</v>
      </c>
      <c r="O667" t="s">
        <v>147</v>
      </c>
      <c r="R667" t="s">
        <v>1899</v>
      </c>
      <c r="S667" t="s">
        <v>573</v>
      </c>
      <c r="V667" t="s">
        <v>574</v>
      </c>
      <c r="W667" t="s">
        <v>568</v>
      </c>
      <c r="X667" t="s">
        <v>1881</v>
      </c>
      <c r="AD667" t="s">
        <v>1900</v>
      </c>
    </row>
    <row r="668" spans="1:30" x14ac:dyDescent="0.25">
      <c r="A668" t="s">
        <v>33</v>
      </c>
      <c r="D668" t="s">
        <v>565</v>
      </c>
      <c r="E668" t="s">
        <v>566</v>
      </c>
      <c r="F668" t="s">
        <v>87</v>
      </c>
      <c r="G668" t="s">
        <v>681</v>
      </c>
      <c r="H668" t="s">
        <v>153</v>
      </c>
      <c r="I668" t="s">
        <v>235</v>
      </c>
      <c r="J668" t="s">
        <v>154</v>
      </c>
      <c r="K668" t="s">
        <v>155</v>
      </c>
      <c r="L668" t="s">
        <v>682</v>
      </c>
      <c r="N668" t="s">
        <v>683</v>
      </c>
      <c r="O668" t="s">
        <v>1762</v>
      </c>
      <c r="R668" t="s">
        <v>1901</v>
      </c>
      <c r="S668" t="s">
        <v>573</v>
      </c>
      <c r="V668" t="s">
        <v>574</v>
      </c>
      <c r="W668" t="s">
        <v>568</v>
      </c>
      <c r="AD668" t="s">
        <v>1902</v>
      </c>
    </row>
    <row r="669" spans="1:30" x14ac:dyDescent="0.25">
      <c r="A669" t="s">
        <v>33</v>
      </c>
      <c r="D669" t="s">
        <v>565</v>
      </c>
      <c r="E669" t="s">
        <v>566</v>
      </c>
      <c r="F669" t="s">
        <v>87</v>
      </c>
      <c r="G669" t="s">
        <v>796</v>
      </c>
      <c r="H669" t="s">
        <v>89</v>
      </c>
      <c r="I669" t="s">
        <v>90</v>
      </c>
      <c r="J669" t="s">
        <v>91</v>
      </c>
      <c r="K669" t="s">
        <v>92</v>
      </c>
      <c r="L669" t="s">
        <v>797</v>
      </c>
      <c r="M669" t="s">
        <v>94</v>
      </c>
      <c r="N669" t="s">
        <v>798</v>
      </c>
      <c r="O669" t="s">
        <v>383</v>
      </c>
      <c r="P669">
        <v>1E-3</v>
      </c>
      <c r="R669" t="s">
        <v>1903</v>
      </c>
      <c r="S669" t="s">
        <v>573</v>
      </c>
      <c r="V669" t="s">
        <v>574</v>
      </c>
      <c r="W669" t="s">
        <v>568</v>
      </c>
      <c r="AD669" t="s">
        <v>1904</v>
      </c>
    </row>
    <row r="670" spans="1:30" x14ac:dyDescent="0.25">
      <c r="A670" t="s">
        <v>33</v>
      </c>
      <c r="D670" t="s">
        <v>565</v>
      </c>
      <c r="E670" t="s">
        <v>566</v>
      </c>
      <c r="F670" t="s">
        <v>87</v>
      </c>
      <c r="G670" t="s">
        <v>796</v>
      </c>
      <c r="H670" t="s">
        <v>143</v>
      </c>
      <c r="I670" t="s">
        <v>90</v>
      </c>
      <c r="J670" t="s">
        <v>145</v>
      </c>
      <c r="K670" t="s">
        <v>146</v>
      </c>
      <c r="L670" t="s">
        <v>797</v>
      </c>
      <c r="M670" t="s">
        <v>1879</v>
      </c>
      <c r="N670" t="s">
        <v>798</v>
      </c>
      <c r="O670" t="s">
        <v>380</v>
      </c>
      <c r="R670" t="s">
        <v>1905</v>
      </c>
      <c r="S670" t="s">
        <v>573</v>
      </c>
      <c r="V670" t="s">
        <v>574</v>
      </c>
      <c r="W670" t="s">
        <v>568</v>
      </c>
      <c r="X670" t="s">
        <v>1881</v>
      </c>
      <c r="AD670" t="s">
        <v>1906</v>
      </c>
    </row>
    <row r="671" spans="1:30" x14ac:dyDescent="0.25">
      <c r="A671" t="s">
        <v>33</v>
      </c>
      <c r="D671" t="s">
        <v>565</v>
      </c>
      <c r="E671" t="s">
        <v>566</v>
      </c>
      <c r="F671" t="s">
        <v>87</v>
      </c>
      <c r="G671" t="s">
        <v>796</v>
      </c>
      <c r="H671" t="s">
        <v>38</v>
      </c>
      <c r="I671" t="s">
        <v>106</v>
      </c>
      <c r="J671" t="s">
        <v>40</v>
      </c>
      <c r="K671" t="s">
        <v>41</v>
      </c>
      <c r="L671" t="s">
        <v>797</v>
      </c>
      <c r="M671" t="s">
        <v>1879</v>
      </c>
      <c r="N671" t="s">
        <v>798</v>
      </c>
      <c r="O671" t="s">
        <v>109</v>
      </c>
      <c r="R671" t="s">
        <v>1907</v>
      </c>
      <c r="S671" t="s">
        <v>573</v>
      </c>
      <c r="V671" t="s">
        <v>574</v>
      </c>
      <c r="W671" t="s">
        <v>568</v>
      </c>
      <c r="X671" t="s">
        <v>1881</v>
      </c>
      <c r="AD671" t="s">
        <v>1908</v>
      </c>
    </row>
    <row r="672" spans="1:30" x14ac:dyDescent="0.25">
      <c r="A672" t="s">
        <v>33</v>
      </c>
      <c r="D672" t="s">
        <v>565</v>
      </c>
      <c r="E672" t="s">
        <v>566</v>
      </c>
      <c r="F672" t="s">
        <v>87</v>
      </c>
      <c r="G672" t="s">
        <v>796</v>
      </c>
      <c r="H672" t="s">
        <v>38</v>
      </c>
      <c r="I672" t="s">
        <v>25</v>
      </c>
      <c r="J672" t="s">
        <v>69</v>
      </c>
      <c r="K672" t="s">
        <v>41</v>
      </c>
      <c r="L672" t="s">
        <v>797</v>
      </c>
      <c r="M672" t="s">
        <v>1879</v>
      </c>
      <c r="N672" t="s">
        <v>798</v>
      </c>
      <c r="O672" t="s">
        <v>512</v>
      </c>
      <c r="R672" t="s">
        <v>517</v>
      </c>
      <c r="S672" t="s">
        <v>573</v>
      </c>
      <c r="V672" t="s">
        <v>574</v>
      </c>
      <c r="W672" t="s">
        <v>568</v>
      </c>
      <c r="X672" t="s">
        <v>1881</v>
      </c>
      <c r="AD672" t="s">
        <v>1909</v>
      </c>
    </row>
    <row r="673" spans="1:30" x14ac:dyDescent="0.25">
      <c r="A673" t="s">
        <v>33</v>
      </c>
      <c r="D673" t="s">
        <v>565</v>
      </c>
      <c r="E673" t="s">
        <v>566</v>
      </c>
      <c r="F673" t="s">
        <v>87</v>
      </c>
      <c r="G673" t="s">
        <v>796</v>
      </c>
      <c r="H673" t="s">
        <v>38</v>
      </c>
      <c r="I673" t="s">
        <v>24</v>
      </c>
      <c r="J673" t="s">
        <v>69</v>
      </c>
      <c r="K673" t="s">
        <v>41</v>
      </c>
      <c r="L673" t="s">
        <v>797</v>
      </c>
      <c r="M673" t="s">
        <v>1879</v>
      </c>
      <c r="N673" t="s">
        <v>798</v>
      </c>
      <c r="O673" t="s">
        <v>509</v>
      </c>
      <c r="R673" t="s">
        <v>515</v>
      </c>
      <c r="S673" t="s">
        <v>573</v>
      </c>
      <c r="V673" t="s">
        <v>574</v>
      </c>
      <c r="W673" t="s">
        <v>568</v>
      </c>
      <c r="X673" t="s">
        <v>1881</v>
      </c>
      <c r="AD673" t="s">
        <v>1910</v>
      </c>
    </row>
    <row r="674" spans="1:30" x14ac:dyDescent="0.25">
      <c r="A674" t="s">
        <v>33</v>
      </c>
      <c r="D674" t="s">
        <v>565</v>
      </c>
      <c r="E674" t="s">
        <v>566</v>
      </c>
      <c r="F674" t="s">
        <v>87</v>
      </c>
      <c r="G674" t="s">
        <v>369</v>
      </c>
      <c r="H674" t="s">
        <v>153</v>
      </c>
      <c r="I674" t="s">
        <v>235</v>
      </c>
      <c r="J674" t="s">
        <v>154</v>
      </c>
      <c r="K674" t="s">
        <v>155</v>
      </c>
      <c r="L674" t="s">
        <v>370</v>
      </c>
      <c r="N674" t="s">
        <v>687</v>
      </c>
      <c r="O674" t="s">
        <v>1762</v>
      </c>
      <c r="R674" t="s">
        <v>1911</v>
      </c>
      <c r="S674" t="s">
        <v>573</v>
      </c>
      <c r="V674" t="s">
        <v>574</v>
      </c>
      <c r="W674" t="s">
        <v>568</v>
      </c>
      <c r="AD674" t="s">
        <v>1912</v>
      </c>
    </row>
    <row r="675" spans="1:30" x14ac:dyDescent="0.25">
      <c r="A675" t="s">
        <v>33</v>
      </c>
      <c r="D675" t="s">
        <v>565</v>
      </c>
      <c r="E675" t="s">
        <v>566</v>
      </c>
      <c r="F675" t="s">
        <v>87</v>
      </c>
      <c r="G675" t="s">
        <v>1164</v>
      </c>
      <c r="H675" t="s">
        <v>153</v>
      </c>
      <c r="I675" t="s">
        <v>235</v>
      </c>
      <c r="J675" t="s">
        <v>154</v>
      </c>
      <c r="K675" t="s">
        <v>155</v>
      </c>
      <c r="L675" t="s">
        <v>1165</v>
      </c>
      <c r="N675" t="s">
        <v>1166</v>
      </c>
      <c r="O675" t="s">
        <v>1762</v>
      </c>
      <c r="R675" t="s">
        <v>1913</v>
      </c>
      <c r="S675" t="s">
        <v>573</v>
      </c>
      <c r="V675" t="s">
        <v>574</v>
      </c>
      <c r="W675" t="s">
        <v>568</v>
      </c>
      <c r="AD675" t="s">
        <v>1914</v>
      </c>
    </row>
    <row r="676" spans="1:30" x14ac:dyDescent="0.25">
      <c r="A676" t="s">
        <v>33</v>
      </c>
      <c r="D676" t="s">
        <v>565</v>
      </c>
      <c r="E676" t="s">
        <v>566</v>
      </c>
      <c r="F676" t="s">
        <v>87</v>
      </c>
      <c r="G676" t="s">
        <v>802</v>
      </c>
      <c r="H676" t="s">
        <v>89</v>
      </c>
      <c r="I676" t="s">
        <v>144</v>
      </c>
      <c r="J676" t="s">
        <v>91</v>
      </c>
      <c r="K676" t="s">
        <v>92</v>
      </c>
      <c r="L676" t="s">
        <v>803</v>
      </c>
      <c r="M676" t="s">
        <v>94</v>
      </c>
      <c r="N676" t="s">
        <v>804</v>
      </c>
      <c r="O676" t="s">
        <v>96</v>
      </c>
      <c r="P676">
        <v>1E-3</v>
      </c>
      <c r="R676" t="s">
        <v>1915</v>
      </c>
      <c r="S676" t="s">
        <v>573</v>
      </c>
      <c r="V676" t="s">
        <v>574</v>
      </c>
      <c r="W676" t="s">
        <v>568</v>
      </c>
      <c r="AD676" t="s">
        <v>1916</v>
      </c>
    </row>
    <row r="677" spans="1:30" x14ac:dyDescent="0.25">
      <c r="A677" t="s">
        <v>33</v>
      </c>
      <c r="D677" t="s">
        <v>565</v>
      </c>
      <c r="E677" t="s">
        <v>566</v>
      </c>
      <c r="F677" t="s">
        <v>87</v>
      </c>
      <c r="G677" t="s">
        <v>802</v>
      </c>
      <c r="H677" t="s">
        <v>166</v>
      </c>
      <c r="I677" t="s">
        <v>216</v>
      </c>
      <c r="J677" t="s">
        <v>167</v>
      </c>
      <c r="K677" t="s">
        <v>41</v>
      </c>
      <c r="L677" t="s">
        <v>803</v>
      </c>
      <c r="N677" t="s">
        <v>804</v>
      </c>
      <c r="O677" t="s">
        <v>217</v>
      </c>
      <c r="Q677" t="s">
        <v>1917</v>
      </c>
      <c r="R677" t="s">
        <v>1918</v>
      </c>
      <c r="S677" t="s">
        <v>573</v>
      </c>
      <c r="V677" t="s">
        <v>574</v>
      </c>
      <c r="W677" t="s">
        <v>568</v>
      </c>
      <c r="AD677" t="s">
        <v>1919</v>
      </c>
    </row>
    <row r="678" spans="1:30" x14ac:dyDescent="0.25">
      <c r="A678" t="s">
        <v>33</v>
      </c>
      <c r="D678" t="s">
        <v>565</v>
      </c>
      <c r="E678" t="s">
        <v>566</v>
      </c>
      <c r="F678" t="s">
        <v>87</v>
      </c>
      <c r="G678" t="s">
        <v>1179</v>
      </c>
      <c r="H678" t="s">
        <v>153</v>
      </c>
      <c r="I678" t="s">
        <v>235</v>
      </c>
      <c r="J678" t="s">
        <v>154</v>
      </c>
      <c r="K678" t="s">
        <v>155</v>
      </c>
      <c r="L678" t="s">
        <v>1180</v>
      </c>
      <c r="N678" t="s">
        <v>177</v>
      </c>
      <c r="O678" t="s">
        <v>1762</v>
      </c>
      <c r="R678" t="s">
        <v>1920</v>
      </c>
      <c r="S678" t="s">
        <v>573</v>
      </c>
      <c r="V678" t="s">
        <v>574</v>
      </c>
      <c r="W678" t="s">
        <v>568</v>
      </c>
      <c r="AD678" t="s">
        <v>1921</v>
      </c>
    </row>
    <row r="679" spans="1:30" x14ac:dyDescent="0.25">
      <c r="A679" t="s">
        <v>33</v>
      </c>
      <c r="D679" t="s">
        <v>565</v>
      </c>
      <c r="E679" t="s">
        <v>566</v>
      </c>
      <c r="F679" t="s">
        <v>87</v>
      </c>
      <c r="G679" t="s">
        <v>807</v>
      </c>
      <c r="H679" t="s">
        <v>89</v>
      </c>
      <c r="I679" t="s">
        <v>144</v>
      </c>
      <c r="J679" t="s">
        <v>91</v>
      </c>
      <c r="K679" t="s">
        <v>92</v>
      </c>
      <c r="L679" t="s">
        <v>808</v>
      </c>
      <c r="M679" t="s">
        <v>94</v>
      </c>
      <c r="N679" t="s">
        <v>809</v>
      </c>
      <c r="O679" t="s">
        <v>96</v>
      </c>
      <c r="P679">
        <v>1E-3</v>
      </c>
      <c r="R679" t="s">
        <v>1922</v>
      </c>
      <c r="S679" t="s">
        <v>573</v>
      </c>
      <c r="V679" t="s">
        <v>574</v>
      </c>
      <c r="W679" t="s">
        <v>568</v>
      </c>
      <c r="AD679" t="s">
        <v>1923</v>
      </c>
    </row>
    <row r="680" spans="1:30" x14ac:dyDescent="0.25">
      <c r="A680" t="s">
        <v>33</v>
      </c>
      <c r="D680" t="s">
        <v>565</v>
      </c>
      <c r="E680" t="s">
        <v>566</v>
      </c>
      <c r="F680" t="s">
        <v>87</v>
      </c>
      <c r="G680" t="s">
        <v>807</v>
      </c>
      <c r="H680" t="s">
        <v>166</v>
      </c>
      <c r="I680" t="s">
        <v>216</v>
      </c>
      <c r="J680" t="s">
        <v>167</v>
      </c>
      <c r="K680" t="s">
        <v>41</v>
      </c>
      <c r="L680" t="s">
        <v>808</v>
      </c>
      <c r="N680" t="s">
        <v>809</v>
      </c>
      <c r="O680" t="s">
        <v>217</v>
      </c>
      <c r="Q680" t="s">
        <v>1917</v>
      </c>
      <c r="R680" t="s">
        <v>1924</v>
      </c>
      <c r="S680" t="s">
        <v>573</v>
      </c>
      <c r="V680" t="s">
        <v>574</v>
      </c>
      <c r="W680" t="s">
        <v>568</v>
      </c>
      <c r="AD680" t="s">
        <v>1925</v>
      </c>
    </row>
    <row r="681" spans="1:30" x14ac:dyDescent="0.25">
      <c r="A681" t="s">
        <v>33</v>
      </c>
      <c r="D681" t="s">
        <v>565</v>
      </c>
      <c r="E681" t="s">
        <v>566</v>
      </c>
      <c r="F681" t="s">
        <v>87</v>
      </c>
      <c r="G681" t="s">
        <v>1238</v>
      </c>
      <c r="H681" t="s">
        <v>153</v>
      </c>
      <c r="I681" t="s">
        <v>235</v>
      </c>
      <c r="J681" t="s">
        <v>154</v>
      </c>
      <c r="K681" t="s">
        <v>155</v>
      </c>
      <c r="L681" t="s">
        <v>1239</v>
      </c>
      <c r="N681" t="s">
        <v>1240</v>
      </c>
      <c r="O681" t="s">
        <v>1762</v>
      </c>
      <c r="R681" t="s">
        <v>1926</v>
      </c>
      <c r="S681" t="s">
        <v>573</v>
      </c>
      <c r="V681" t="s">
        <v>574</v>
      </c>
      <c r="W681" t="s">
        <v>568</v>
      </c>
      <c r="AD681" t="s">
        <v>1927</v>
      </c>
    </row>
    <row r="682" spans="1:30" x14ac:dyDescent="0.25">
      <c r="A682" t="s">
        <v>33</v>
      </c>
      <c r="D682" t="s">
        <v>565</v>
      </c>
      <c r="E682" t="s">
        <v>566</v>
      </c>
      <c r="F682" t="s">
        <v>87</v>
      </c>
      <c r="G682" t="s">
        <v>815</v>
      </c>
      <c r="H682" t="s">
        <v>89</v>
      </c>
      <c r="I682" t="s">
        <v>90</v>
      </c>
      <c r="J682" t="s">
        <v>91</v>
      </c>
      <c r="K682" t="s">
        <v>92</v>
      </c>
      <c r="L682" t="s">
        <v>816</v>
      </c>
      <c r="M682" t="s">
        <v>94</v>
      </c>
      <c r="N682" t="s">
        <v>817</v>
      </c>
      <c r="O682" t="s">
        <v>383</v>
      </c>
      <c r="P682">
        <v>1E-3</v>
      </c>
      <c r="R682" t="s">
        <v>1928</v>
      </c>
      <c r="S682" t="s">
        <v>573</v>
      </c>
      <c r="V682" t="s">
        <v>574</v>
      </c>
      <c r="W682" t="s">
        <v>568</v>
      </c>
      <c r="AD682" t="s">
        <v>1929</v>
      </c>
    </row>
    <row r="683" spans="1:30" x14ac:dyDescent="0.25">
      <c r="A683" t="s">
        <v>33</v>
      </c>
      <c r="D683" t="s">
        <v>565</v>
      </c>
      <c r="E683" t="s">
        <v>566</v>
      </c>
      <c r="F683" t="s">
        <v>87</v>
      </c>
      <c r="G683" t="s">
        <v>815</v>
      </c>
      <c r="H683" t="s">
        <v>143</v>
      </c>
      <c r="I683" t="s">
        <v>90</v>
      </c>
      <c r="J683" t="s">
        <v>145</v>
      </c>
      <c r="K683" t="s">
        <v>146</v>
      </c>
      <c r="L683" t="s">
        <v>816</v>
      </c>
      <c r="M683" t="s">
        <v>1191</v>
      </c>
      <c r="N683" t="s">
        <v>817</v>
      </c>
      <c r="O683" t="s">
        <v>380</v>
      </c>
      <c r="R683" t="s">
        <v>1930</v>
      </c>
      <c r="S683" t="s">
        <v>573</v>
      </c>
      <c r="V683" t="s">
        <v>574</v>
      </c>
      <c r="W683" t="s">
        <v>568</v>
      </c>
      <c r="X683" t="s">
        <v>1193</v>
      </c>
      <c r="AD683" t="s">
        <v>1931</v>
      </c>
    </row>
    <row r="684" spans="1:30" x14ac:dyDescent="0.25">
      <c r="A684" t="s">
        <v>33</v>
      </c>
      <c r="D684" t="s">
        <v>565</v>
      </c>
      <c r="E684" t="s">
        <v>566</v>
      </c>
      <c r="F684" t="s">
        <v>87</v>
      </c>
      <c r="G684" t="s">
        <v>815</v>
      </c>
      <c r="H684" t="s">
        <v>89</v>
      </c>
      <c r="I684" t="s">
        <v>1570</v>
      </c>
      <c r="J684" t="s">
        <v>1571</v>
      </c>
      <c r="K684" t="s">
        <v>1572</v>
      </c>
      <c r="L684" t="s">
        <v>816</v>
      </c>
      <c r="M684" t="s">
        <v>94</v>
      </c>
      <c r="N684" t="s">
        <v>817</v>
      </c>
      <c r="O684" t="s">
        <v>1932</v>
      </c>
      <c r="R684" t="s">
        <v>1933</v>
      </c>
      <c r="S684" t="s">
        <v>573</v>
      </c>
      <c r="V684" t="s">
        <v>574</v>
      </c>
      <c r="W684" t="s">
        <v>568</v>
      </c>
      <c r="AD684" t="s">
        <v>1934</v>
      </c>
    </row>
    <row r="685" spans="1:30" x14ac:dyDescent="0.25">
      <c r="A685" t="s">
        <v>33</v>
      </c>
      <c r="D685" t="s">
        <v>565</v>
      </c>
      <c r="E685" t="s">
        <v>566</v>
      </c>
      <c r="F685" t="s">
        <v>87</v>
      </c>
      <c r="G685" t="s">
        <v>815</v>
      </c>
      <c r="H685" t="s">
        <v>38</v>
      </c>
      <c r="I685" t="s">
        <v>106</v>
      </c>
      <c r="J685" t="s">
        <v>40</v>
      </c>
      <c r="K685" t="s">
        <v>41</v>
      </c>
      <c r="L685" t="s">
        <v>816</v>
      </c>
      <c r="M685" t="s">
        <v>1191</v>
      </c>
      <c r="N685" t="s">
        <v>817</v>
      </c>
      <c r="O685" t="s">
        <v>109</v>
      </c>
      <c r="R685" t="s">
        <v>1935</v>
      </c>
      <c r="S685" t="s">
        <v>573</v>
      </c>
      <c r="V685" t="s">
        <v>574</v>
      </c>
      <c r="W685" t="s">
        <v>568</v>
      </c>
      <c r="X685" t="s">
        <v>1193</v>
      </c>
      <c r="AD685" t="s">
        <v>1936</v>
      </c>
    </row>
    <row r="686" spans="1:30" x14ac:dyDescent="0.25">
      <c r="A686" t="s">
        <v>33</v>
      </c>
      <c r="D686" t="s">
        <v>565</v>
      </c>
      <c r="E686" t="s">
        <v>566</v>
      </c>
      <c r="F686" t="s">
        <v>87</v>
      </c>
      <c r="G686" t="s">
        <v>815</v>
      </c>
      <c r="H686" t="s">
        <v>38</v>
      </c>
      <c r="I686" t="s">
        <v>25</v>
      </c>
      <c r="J686" t="s">
        <v>69</v>
      </c>
      <c r="K686" t="s">
        <v>41</v>
      </c>
      <c r="L686" t="s">
        <v>816</v>
      </c>
      <c r="M686" t="s">
        <v>1191</v>
      </c>
      <c r="N686" t="s">
        <v>817</v>
      </c>
      <c r="O686" t="s">
        <v>512</v>
      </c>
      <c r="R686" t="s">
        <v>1937</v>
      </c>
      <c r="S686" t="s">
        <v>573</v>
      </c>
      <c r="V686" t="s">
        <v>574</v>
      </c>
      <c r="W686" t="s">
        <v>568</v>
      </c>
      <c r="X686" t="s">
        <v>1193</v>
      </c>
      <c r="AD686" t="s">
        <v>1938</v>
      </c>
    </row>
    <row r="687" spans="1:30" x14ac:dyDescent="0.25">
      <c r="A687" t="s">
        <v>33</v>
      </c>
      <c r="D687" t="s">
        <v>565</v>
      </c>
      <c r="E687" t="s">
        <v>566</v>
      </c>
      <c r="F687" t="s">
        <v>87</v>
      </c>
      <c r="G687" t="s">
        <v>815</v>
      </c>
      <c r="H687" t="s">
        <v>38</v>
      </c>
      <c r="I687" t="s">
        <v>24</v>
      </c>
      <c r="J687" t="s">
        <v>69</v>
      </c>
      <c r="K687" t="s">
        <v>41</v>
      </c>
      <c r="L687" t="s">
        <v>816</v>
      </c>
      <c r="M687" t="s">
        <v>1191</v>
      </c>
      <c r="N687" t="s">
        <v>817</v>
      </c>
      <c r="O687" t="s">
        <v>509</v>
      </c>
      <c r="R687" t="s">
        <v>1939</v>
      </c>
      <c r="S687" t="s">
        <v>573</v>
      </c>
      <c r="V687" t="s">
        <v>574</v>
      </c>
      <c r="W687" t="s">
        <v>568</v>
      </c>
      <c r="X687" t="s">
        <v>1193</v>
      </c>
      <c r="AD687" t="s">
        <v>1940</v>
      </c>
    </row>
    <row r="688" spans="1:30" x14ac:dyDescent="0.25">
      <c r="A688" t="s">
        <v>33</v>
      </c>
      <c r="D688" t="s">
        <v>565</v>
      </c>
      <c r="E688" t="s">
        <v>566</v>
      </c>
      <c r="F688" t="s">
        <v>87</v>
      </c>
      <c r="G688" t="s">
        <v>815</v>
      </c>
      <c r="H688" t="s">
        <v>166</v>
      </c>
      <c r="I688" t="s">
        <v>1941</v>
      </c>
      <c r="J688" t="s">
        <v>167</v>
      </c>
      <c r="K688" t="s">
        <v>41</v>
      </c>
      <c r="L688" t="s">
        <v>816</v>
      </c>
      <c r="N688" t="s">
        <v>817</v>
      </c>
      <c r="O688" t="s">
        <v>1942</v>
      </c>
      <c r="Q688" t="s">
        <v>1943</v>
      </c>
      <c r="R688" t="s">
        <v>1944</v>
      </c>
      <c r="S688" t="s">
        <v>573</v>
      </c>
      <c r="V688" t="s">
        <v>574</v>
      </c>
      <c r="W688" t="s">
        <v>568</v>
      </c>
      <c r="AD688" t="s">
        <v>1945</v>
      </c>
    </row>
    <row r="689" spans="1:30" x14ac:dyDescent="0.25">
      <c r="A689" t="s">
        <v>33</v>
      </c>
      <c r="D689" t="s">
        <v>565</v>
      </c>
      <c r="E689" t="s">
        <v>566</v>
      </c>
      <c r="F689" t="s">
        <v>87</v>
      </c>
      <c r="G689" t="s">
        <v>661</v>
      </c>
      <c r="H689" t="s">
        <v>153</v>
      </c>
      <c r="I689" t="s">
        <v>235</v>
      </c>
      <c r="J689" t="s">
        <v>154</v>
      </c>
      <c r="K689" t="s">
        <v>155</v>
      </c>
      <c r="L689" t="s">
        <v>662</v>
      </c>
      <c r="N689" t="s">
        <v>95</v>
      </c>
      <c r="O689" t="s">
        <v>1762</v>
      </c>
      <c r="R689" t="s">
        <v>1946</v>
      </c>
      <c r="S689" t="s">
        <v>573</v>
      </c>
      <c r="V689" t="s">
        <v>574</v>
      </c>
      <c r="W689" t="s">
        <v>568</v>
      </c>
      <c r="AD689" t="s">
        <v>1947</v>
      </c>
    </row>
    <row r="690" spans="1:30" x14ac:dyDescent="0.25">
      <c r="A690" t="s">
        <v>947</v>
      </c>
      <c r="B690" t="s">
        <v>1948</v>
      </c>
      <c r="C690" t="s">
        <v>1949</v>
      </c>
      <c r="D690" t="s">
        <v>565</v>
      </c>
      <c r="E690" t="s">
        <v>566</v>
      </c>
      <c r="F690" t="s">
        <v>87</v>
      </c>
      <c r="G690" t="s">
        <v>815</v>
      </c>
      <c r="H690" t="s">
        <v>89</v>
      </c>
      <c r="I690" t="s">
        <v>1570</v>
      </c>
      <c r="J690" t="s">
        <v>1571</v>
      </c>
      <c r="K690" t="s">
        <v>1576</v>
      </c>
      <c r="L690" t="s">
        <v>816</v>
      </c>
      <c r="M690" t="s">
        <v>94</v>
      </c>
      <c r="N690" t="s">
        <v>817</v>
      </c>
      <c r="O690" t="s">
        <v>1932</v>
      </c>
      <c r="R690" t="s">
        <v>1950</v>
      </c>
      <c r="S690" t="s">
        <v>573</v>
      </c>
      <c r="V690" t="s">
        <v>574</v>
      </c>
      <c r="W690" t="s">
        <v>568</v>
      </c>
      <c r="AD690" t="s">
        <v>1934</v>
      </c>
    </row>
    <row r="691" spans="1:30" x14ac:dyDescent="0.25">
      <c r="A691" t="s">
        <v>33</v>
      </c>
      <c r="D691" t="s">
        <v>565</v>
      </c>
      <c r="E691" t="s">
        <v>566</v>
      </c>
      <c r="F691" t="s">
        <v>78</v>
      </c>
      <c r="G691" t="s">
        <v>1951</v>
      </c>
      <c r="H691" t="s">
        <v>143</v>
      </c>
      <c r="I691" t="s">
        <v>909</v>
      </c>
      <c r="J691" t="s">
        <v>145</v>
      </c>
      <c r="K691" t="s">
        <v>146</v>
      </c>
      <c r="L691" t="s">
        <v>1952</v>
      </c>
      <c r="M691" t="s">
        <v>252</v>
      </c>
      <c r="N691" t="s">
        <v>1953</v>
      </c>
      <c r="O691" t="s">
        <v>1155</v>
      </c>
      <c r="R691" t="s">
        <v>1954</v>
      </c>
      <c r="S691" t="s">
        <v>573</v>
      </c>
      <c r="V691" t="s">
        <v>574</v>
      </c>
      <c r="W691" t="s">
        <v>568</v>
      </c>
      <c r="AD691" t="s">
        <v>1955</v>
      </c>
    </row>
    <row r="692" spans="1:30" x14ac:dyDescent="0.25">
      <c r="A692" t="s">
        <v>33</v>
      </c>
      <c r="D692" t="s">
        <v>565</v>
      </c>
      <c r="E692" t="s">
        <v>566</v>
      </c>
      <c r="F692" t="s">
        <v>78</v>
      </c>
      <c r="G692" t="s">
        <v>1951</v>
      </c>
      <c r="H692" t="s">
        <v>166</v>
      </c>
      <c r="I692" t="s">
        <v>80</v>
      </c>
      <c r="J692" t="s">
        <v>167</v>
      </c>
      <c r="K692" t="s">
        <v>41</v>
      </c>
      <c r="L692" t="s">
        <v>1952</v>
      </c>
      <c r="N692" t="s">
        <v>1953</v>
      </c>
      <c r="O692" t="s">
        <v>84</v>
      </c>
      <c r="Q692" t="s">
        <v>1161</v>
      </c>
      <c r="R692" t="s">
        <v>1956</v>
      </c>
      <c r="S692" t="s">
        <v>573</v>
      </c>
      <c r="V692" t="s">
        <v>574</v>
      </c>
      <c r="W692" t="s">
        <v>568</v>
      </c>
      <c r="AD692" t="s">
        <v>1957</v>
      </c>
    </row>
    <row r="693" spans="1:30" x14ac:dyDescent="0.25">
      <c r="A693" t="s">
        <v>33</v>
      </c>
      <c r="D693" t="s">
        <v>565</v>
      </c>
      <c r="E693" t="s">
        <v>566</v>
      </c>
      <c r="F693" t="s">
        <v>78</v>
      </c>
      <c r="G693" t="s">
        <v>828</v>
      </c>
      <c r="H693" t="s">
        <v>166</v>
      </c>
      <c r="I693" t="s">
        <v>216</v>
      </c>
      <c r="J693" t="s">
        <v>167</v>
      </c>
      <c r="K693" t="s">
        <v>41</v>
      </c>
      <c r="L693" t="s">
        <v>829</v>
      </c>
      <c r="N693" t="s">
        <v>830</v>
      </c>
      <c r="O693" t="s">
        <v>925</v>
      </c>
      <c r="Q693" t="s">
        <v>1958</v>
      </c>
      <c r="R693" t="s">
        <v>1959</v>
      </c>
      <c r="S693" t="s">
        <v>573</v>
      </c>
      <c r="V693" t="s">
        <v>574</v>
      </c>
      <c r="W693" t="s">
        <v>568</v>
      </c>
      <c r="AD693" t="s">
        <v>1960</v>
      </c>
    </row>
    <row r="694" spans="1:30" x14ac:dyDescent="0.25">
      <c r="A694" t="s">
        <v>33</v>
      </c>
      <c r="D694" t="s">
        <v>565</v>
      </c>
      <c r="E694" t="s">
        <v>566</v>
      </c>
      <c r="F694" t="s">
        <v>78</v>
      </c>
      <c r="G694" t="s">
        <v>821</v>
      </c>
      <c r="H694" t="s">
        <v>166</v>
      </c>
      <c r="I694" t="s">
        <v>216</v>
      </c>
      <c r="J694" t="s">
        <v>167</v>
      </c>
      <c r="K694" t="s">
        <v>41</v>
      </c>
      <c r="L694" t="s">
        <v>822</v>
      </c>
      <c r="N694" t="s">
        <v>823</v>
      </c>
      <c r="O694" t="s">
        <v>925</v>
      </c>
      <c r="Q694" t="s">
        <v>1958</v>
      </c>
      <c r="R694" t="s">
        <v>1959</v>
      </c>
      <c r="S694" t="s">
        <v>573</v>
      </c>
      <c r="V694" t="s">
        <v>574</v>
      </c>
      <c r="W694" t="s">
        <v>568</v>
      </c>
      <c r="AD694" t="s">
        <v>1961</v>
      </c>
    </row>
    <row r="695" spans="1:30" x14ac:dyDescent="0.25">
      <c r="A695" t="s">
        <v>33</v>
      </c>
      <c r="D695" t="s">
        <v>565</v>
      </c>
      <c r="E695" t="s">
        <v>566</v>
      </c>
      <c r="F695" t="s">
        <v>78</v>
      </c>
      <c r="G695" t="s">
        <v>1962</v>
      </c>
      <c r="H695" t="s">
        <v>166</v>
      </c>
      <c r="I695" t="s">
        <v>216</v>
      </c>
      <c r="J695" t="s">
        <v>167</v>
      </c>
      <c r="K695" t="s">
        <v>41</v>
      </c>
      <c r="L695" t="s">
        <v>1963</v>
      </c>
      <c r="N695" t="s">
        <v>1964</v>
      </c>
      <c r="O695" t="s">
        <v>925</v>
      </c>
      <c r="Q695" t="s">
        <v>1958</v>
      </c>
      <c r="R695" t="s">
        <v>1959</v>
      </c>
      <c r="S695" t="s">
        <v>573</v>
      </c>
      <c r="V695" t="s">
        <v>574</v>
      </c>
      <c r="W695" t="s">
        <v>568</v>
      </c>
      <c r="AD695" t="s">
        <v>1965</v>
      </c>
    </row>
    <row r="696" spans="1:30" x14ac:dyDescent="0.25">
      <c r="A696" t="s">
        <v>33</v>
      </c>
      <c r="D696" t="s">
        <v>565</v>
      </c>
      <c r="E696" t="s">
        <v>566</v>
      </c>
      <c r="F696" t="s">
        <v>78</v>
      </c>
      <c r="G696" t="s">
        <v>1966</v>
      </c>
      <c r="H696" t="s">
        <v>166</v>
      </c>
      <c r="I696" t="s">
        <v>216</v>
      </c>
      <c r="J696" t="s">
        <v>167</v>
      </c>
      <c r="K696" t="s">
        <v>41</v>
      </c>
      <c r="L696" t="s">
        <v>1967</v>
      </c>
      <c r="N696" t="s">
        <v>1968</v>
      </c>
      <c r="O696" t="s">
        <v>925</v>
      </c>
      <c r="Q696" t="s">
        <v>1958</v>
      </c>
      <c r="R696" t="s">
        <v>1959</v>
      </c>
      <c r="S696" t="s">
        <v>573</v>
      </c>
      <c r="V696" t="s">
        <v>574</v>
      </c>
      <c r="W696" t="s">
        <v>568</v>
      </c>
      <c r="AD696" t="s">
        <v>1969</v>
      </c>
    </row>
    <row r="697" spans="1:30" x14ac:dyDescent="0.25">
      <c r="A697" t="s">
        <v>33</v>
      </c>
      <c r="D697" t="s">
        <v>565</v>
      </c>
      <c r="E697" t="s">
        <v>566</v>
      </c>
      <c r="F697" t="s">
        <v>78</v>
      </c>
      <c r="G697" t="s">
        <v>828</v>
      </c>
      <c r="H697" t="s">
        <v>166</v>
      </c>
      <c r="I697" t="s">
        <v>243</v>
      </c>
      <c r="J697" t="s">
        <v>167</v>
      </c>
      <c r="K697" t="s">
        <v>41</v>
      </c>
      <c r="L697" t="s">
        <v>829</v>
      </c>
      <c r="N697" t="s">
        <v>830</v>
      </c>
      <c r="O697" t="s">
        <v>244</v>
      </c>
      <c r="Q697" t="s">
        <v>245</v>
      </c>
      <c r="R697" t="s">
        <v>1970</v>
      </c>
      <c r="S697" t="s">
        <v>573</v>
      </c>
      <c r="V697" t="s">
        <v>574</v>
      </c>
      <c r="W697" t="s">
        <v>568</v>
      </c>
      <c r="AD697" t="s">
        <v>1971</v>
      </c>
    </row>
    <row r="698" spans="1:30" x14ac:dyDescent="0.25">
      <c r="A698" t="s">
        <v>33</v>
      </c>
      <c r="D698" t="s">
        <v>565</v>
      </c>
      <c r="E698" t="s">
        <v>566</v>
      </c>
      <c r="F698" t="s">
        <v>78</v>
      </c>
      <c r="G698" t="s">
        <v>828</v>
      </c>
      <c r="H698" t="s">
        <v>166</v>
      </c>
      <c r="I698" t="s">
        <v>160</v>
      </c>
      <c r="J698" t="s">
        <v>167</v>
      </c>
      <c r="K698" t="s">
        <v>41</v>
      </c>
      <c r="L698" t="s">
        <v>829</v>
      </c>
      <c r="N698" t="s">
        <v>830</v>
      </c>
      <c r="O698" t="s">
        <v>168</v>
      </c>
      <c r="Q698" t="s">
        <v>1972</v>
      </c>
      <c r="R698" t="s">
        <v>1973</v>
      </c>
      <c r="S698" t="s">
        <v>573</v>
      </c>
      <c r="V698" t="s">
        <v>574</v>
      </c>
      <c r="W698" t="s">
        <v>568</v>
      </c>
      <c r="AD698" t="s">
        <v>1974</v>
      </c>
    </row>
    <row r="699" spans="1:30" x14ac:dyDescent="0.25">
      <c r="A699" t="s">
        <v>33</v>
      </c>
      <c r="D699" t="s">
        <v>565</v>
      </c>
      <c r="E699" t="s">
        <v>566</v>
      </c>
      <c r="F699" t="s">
        <v>87</v>
      </c>
      <c r="G699" t="s">
        <v>1186</v>
      </c>
      <c r="H699" t="s">
        <v>153</v>
      </c>
      <c r="I699" t="s">
        <v>235</v>
      </c>
      <c r="J699" t="s">
        <v>154</v>
      </c>
      <c r="K699" t="s">
        <v>155</v>
      </c>
      <c r="L699" t="s">
        <v>1187</v>
      </c>
      <c r="N699" t="s">
        <v>1188</v>
      </c>
      <c r="O699" t="s">
        <v>1762</v>
      </c>
      <c r="R699" t="s">
        <v>1975</v>
      </c>
      <c r="S699" t="s">
        <v>573</v>
      </c>
      <c r="V699" t="s">
        <v>574</v>
      </c>
      <c r="W699" t="s">
        <v>568</v>
      </c>
      <c r="AD699" t="s">
        <v>1976</v>
      </c>
    </row>
    <row r="700" spans="1:30" x14ac:dyDescent="0.25">
      <c r="A700" t="s">
        <v>33</v>
      </c>
      <c r="D700" t="s">
        <v>565</v>
      </c>
      <c r="E700" t="s">
        <v>566</v>
      </c>
      <c r="F700" t="s">
        <v>78</v>
      </c>
      <c r="G700" t="s">
        <v>821</v>
      </c>
      <c r="H700" t="s">
        <v>166</v>
      </c>
      <c r="I700" t="s">
        <v>243</v>
      </c>
      <c r="J700" t="s">
        <v>167</v>
      </c>
      <c r="K700" t="s">
        <v>41</v>
      </c>
      <c r="L700" t="s">
        <v>822</v>
      </c>
      <c r="N700" t="s">
        <v>823</v>
      </c>
      <c r="O700" t="s">
        <v>244</v>
      </c>
      <c r="Q700" t="s">
        <v>245</v>
      </c>
      <c r="R700" t="s">
        <v>1977</v>
      </c>
      <c r="S700" t="s">
        <v>573</v>
      </c>
      <c r="V700" t="s">
        <v>574</v>
      </c>
      <c r="W700" t="s">
        <v>568</v>
      </c>
      <c r="AD700" t="s">
        <v>1978</v>
      </c>
    </row>
    <row r="701" spans="1:30" x14ac:dyDescent="0.25">
      <c r="A701" t="s">
        <v>33</v>
      </c>
      <c r="D701" t="s">
        <v>565</v>
      </c>
      <c r="E701" t="s">
        <v>566</v>
      </c>
      <c r="F701" t="s">
        <v>78</v>
      </c>
      <c r="G701" t="s">
        <v>821</v>
      </c>
      <c r="H701" t="s">
        <v>166</v>
      </c>
      <c r="I701" t="s">
        <v>160</v>
      </c>
      <c r="J701" t="s">
        <v>167</v>
      </c>
      <c r="K701" t="s">
        <v>41</v>
      </c>
      <c r="L701" t="s">
        <v>822</v>
      </c>
      <c r="N701" t="s">
        <v>823</v>
      </c>
      <c r="O701" t="s">
        <v>168</v>
      </c>
      <c r="Q701" t="s">
        <v>1972</v>
      </c>
      <c r="R701" t="s">
        <v>1979</v>
      </c>
      <c r="S701" t="s">
        <v>573</v>
      </c>
      <c r="V701" t="s">
        <v>574</v>
      </c>
      <c r="W701" t="s">
        <v>568</v>
      </c>
      <c r="AD701" t="s">
        <v>1980</v>
      </c>
    </row>
    <row r="702" spans="1:30" x14ac:dyDescent="0.25">
      <c r="A702" t="s">
        <v>33</v>
      </c>
      <c r="D702" t="s">
        <v>565</v>
      </c>
      <c r="E702" t="s">
        <v>566</v>
      </c>
      <c r="F702" t="s">
        <v>36</v>
      </c>
      <c r="G702" t="s">
        <v>958</v>
      </c>
      <c r="H702" t="s">
        <v>153</v>
      </c>
      <c r="I702" t="s">
        <v>235</v>
      </c>
      <c r="J702" t="s">
        <v>154</v>
      </c>
      <c r="K702" t="s">
        <v>155</v>
      </c>
      <c r="L702" t="s">
        <v>959</v>
      </c>
      <c r="N702" t="s">
        <v>961</v>
      </c>
      <c r="O702" t="s">
        <v>1762</v>
      </c>
      <c r="R702" t="s">
        <v>1981</v>
      </c>
      <c r="S702" t="s">
        <v>573</v>
      </c>
      <c r="V702" t="s">
        <v>574</v>
      </c>
      <c r="W702" t="s">
        <v>568</v>
      </c>
      <c r="AD702" t="s">
        <v>1982</v>
      </c>
    </row>
    <row r="703" spans="1:30" x14ac:dyDescent="0.25">
      <c r="A703" t="s">
        <v>33</v>
      </c>
      <c r="D703" t="s">
        <v>565</v>
      </c>
      <c r="E703" t="s">
        <v>566</v>
      </c>
      <c r="F703" t="s">
        <v>78</v>
      </c>
      <c r="G703" t="s">
        <v>1962</v>
      </c>
      <c r="H703" t="s">
        <v>166</v>
      </c>
      <c r="I703" t="s">
        <v>243</v>
      </c>
      <c r="J703" t="s">
        <v>167</v>
      </c>
      <c r="K703" t="s">
        <v>41</v>
      </c>
      <c r="L703" t="s">
        <v>1963</v>
      </c>
      <c r="N703" t="s">
        <v>1964</v>
      </c>
      <c r="O703" t="s">
        <v>244</v>
      </c>
      <c r="Q703" t="s">
        <v>245</v>
      </c>
      <c r="R703" t="s">
        <v>1983</v>
      </c>
      <c r="S703" t="s">
        <v>573</v>
      </c>
      <c r="V703" t="s">
        <v>574</v>
      </c>
      <c r="W703" t="s">
        <v>568</v>
      </c>
      <c r="AD703" t="s">
        <v>1984</v>
      </c>
    </row>
    <row r="704" spans="1:30" x14ac:dyDescent="0.25">
      <c r="A704" t="s">
        <v>33</v>
      </c>
      <c r="D704" t="s">
        <v>565</v>
      </c>
      <c r="E704" t="s">
        <v>566</v>
      </c>
      <c r="F704" t="s">
        <v>78</v>
      </c>
      <c r="G704" t="s">
        <v>1962</v>
      </c>
      <c r="H704" t="s">
        <v>166</v>
      </c>
      <c r="I704" t="s">
        <v>160</v>
      </c>
      <c r="J704" t="s">
        <v>167</v>
      </c>
      <c r="K704" t="s">
        <v>41</v>
      </c>
      <c r="L704" t="s">
        <v>1963</v>
      </c>
      <c r="N704" t="s">
        <v>1964</v>
      </c>
      <c r="O704" t="s">
        <v>168</v>
      </c>
      <c r="Q704" t="s">
        <v>1972</v>
      </c>
      <c r="R704" t="s">
        <v>1985</v>
      </c>
      <c r="S704" t="s">
        <v>573</v>
      </c>
      <c r="V704" t="s">
        <v>574</v>
      </c>
      <c r="W704" t="s">
        <v>568</v>
      </c>
      <c r="AD704" t="s">
        <v>1986</v>
      </c>
    </row>
    <row r="705" spans="1:32" x14ac:dyDescent="0.25">
      <c r="A705" t="s">
        <v>33</v>
      </c>
      <c r="D705" t="s">
        <v>565</v>
      </c>
      <c r="E705" t="s">
        <v>566</v>
      </c>
      <c r="F705" t="s">
        <v>78</v>
      </c>
      <c r="G705" t="s">
        <v>1966</v>
      </c>
      <c r="H705" t="s">
        <v>166</v>
      </c>
      <c r="I705" t="s">
        <v>243</v>
      </c>
      <c r="J705" t="s">
        <v>167</v>
      </c>
      <c r="K705" t="s">
        <v>41</v>
      </c>
      <c r="L705" t="s">
        <v>1967</v>
      </c>
      <c r="N705" t="s">
        <v>1968</v>
      </c>
      <c r="O705" t="s">
        <v>244</v>
      </c>
      <c r="Q705" t="s">
        <v>245</v>
      </c>
      <c r="R705" t="s">
        <v>1987</v>
      </c>
      <c r="S705" t="s">
        <v>573</v>
      </c>
      <c r="V705" t="s">
        <v>574</v>
      </c>
      <c r="W705" t="s">
        <v>568</v>
      </c>
      <c r="AD705" t="s">
        <v>1988</v>
      </c>
    </row>
    <row r="706" spans="1:32" x14ac:dyDescent="0.25">
      <c r="A706" t="s">
        <v>33</v>
      </c>
      <c r="D706" t="s">
        <v>565</v>
      </c>
      <c r="E706" t="s">
        <v>566</v>
      </c>
      <c r="F706" t="s">
        <v>78</v>
      </c>
      <c r="G706" t="s">
        <v>1966</v>
      </c>
      <c r="H706" t="s">
        <v>166</v>
      </c>
      <c r="I706" t="s">
        <v>160</v>
      </c>
      <c r="J706" t="s">
        <v>167</v>
      </c>
      <c r="K706" t="s">
        <v>41</v>
      </c>
      <c r="L706" t="s">
        <v>1967</v>
      </c>
      <c r="N706" t="s">
        <v>1968</v>
      </c>
      <c r="O706" t="s">
        <v>168</v>
      </c>
      <c r="Q706" t="s">
        <v>1972</v>
      </c>
      <c r="R706" t="s">
        <v>1989</v>
      </c>
      <c r="S706" t="s">
        <v>573</v>
      </c>
      <c r="V706" t="s">
        <v>574</v>
      </c>
      <c r="W706" t="s">
        <v>568</v>
      </c>
      <c r="AD706" t="s">
        <v>1990</v>
      </c>
    </row>
    <row r="707" spans="1:32" x14ac:dyDescent="0.25">
      <c r="A707" t="s">
        <v>33</v>
      </c>
      <c r="D707" t="s">
        <v>1991</v>
      </c>
      <c r="E707" t="s">
        <v>1992</v>
      </c>
      <c r="H707" t="s">
        <v>166</v>
      </c>
      <c r="I707" t="s">
        <v>567</v>
      </c>
      <c r="J707" t="s">
        <v>167</v>
      </c>
      <c r="K707" t="s">
        <v>41</v>
      </c>
      <c r="L707" t="s">
        <v>1993</v>
      </c>
      <c r="N707" t="s">
        <v>1994</v>
      </c>
      <c r="O707" t="s">
        <v>570</v>
      </c>
      <c r="Q707" t="s">
        <v>571</v>
      </c>
      <c r="R707" t="s">
        <v>572</v>
      </c>
      <c r="S707" t="s">
        <v>1995</v>
      </c>
      <c r="V707" t="s">
        <v>1996</v>
      </c>
      <c r="W707" t="s">
        <v>1993</v>
      </c>
      <c r="AC707" t="s">
        <v>575</v>
      </c>
      <c r="AD707" t="s">
        <v>1997</v>
      </c>
      <c r="AE707" t="s">
        <v>577</v>
      </c>
      <c r="AF707">
        <v>1</v>
      </c>
    </row>
    <row r="708" spans="1:32" x14ac:dyDescent="0.25">
      <c r="A708" t="s">
        <v>33</v>
      </c>
      <c r="D708" t="s">
        <v>1991</v>
      </c>
      <c r="E708" t="s">
        <v>1992</v>
      </c>
      <c r="H708" t="s">
        <v>166</v>
      </c>
      <c r="I708" t="s">
        <v>578</v>
      </c>
      <c r="J708" t="s">
        <v>167</v>
      </c>
      <c r="K708" t="s">
        <v>41</v>
      </c>
      <c r="L708" t="s">
        <v>1993</v>
      </c>
      <c r="N708" t="s">
        <v>1994</v>
      </c>
      <c r="O708" t="s">
        <v>579</v>
      </c>
      <c r="Q708" t="s">
        <v>571</v>
      </c>
      <c r="R708" t="s">
        <v>580</v>
      </c>
      <c r="S708" t="s">
        <v>1995</v>
      </c>
      <c r="V708" t="s">
        <v>1996</v>
      </c>
      <c r="W708" t="s">
        <v>1993</v>
      </c>
      <c r="AC708" t="s">
        <v>581</v>
      </c>
      <c r="AD708" t="s">
        <v>1998</v>
      </c>
      <c r="AE708" t="s">
        <v>577</v>
      </c>
      <c r="AF708">
        <v>2</v>
      </c>
    </row>
    <row r="709" spans="1:32" x14ac:dyDescent="0.25">
      <c r="A709" t="s">
        <v>33</v>
      </c>
      <c r="D709" t="s">
        <v>1991</v>
      </c>
      <c r="E709" t="s">
        <v>1992</v>
      </c>
      <c r="H709" t="s">
        <v>153</v>
      </c>
      <c r="I709" t="s">
        <v>583</v>
      </c>
      <c r="J709" t="s">
        <v>154</v>
      </c>
      <c r="K709" t="s">
        <v>155</v>
      </c>
      <c r="L709" t="s">
        <v>1993</v>
      </c>
      <c r="N709" t="s">
        <v>1994</v>
      </c>
      <c r="O709" t="s">
        <v>584</v>
      </c>
      <c r="R709" t="s">
        <v>585</v>
      </c>
      <c r="S709" t="s">
        <v>1995</v>
      </c>
      <c r="V709" t="s">
        <v>1996</v>
      </c>
      <c r="W709" t="s">
        <v>1993</v>
      </c>
      <c r="AC709" t="s">
        <v>586</v>
      </c>
      <c r="AD709" t="s">
        <v>1999</v>
      </c>
      <c r="AE709" t="s">
        <v>577</v>
      </c>
      <c r="AF709">
        <v>3</v>
      </c>
    </row>
    <row r="710" spans="1:32" x14ac:dyDescent="0.25">
      <c r="A710" t="s">
        <v>33</v>
      </c>
      <c r="D710" t="s">
        <v>1991</v>
      </c>
      <c r="E710" t="s">
        <v>1992</v>
      </c>
      <c r="H710" t="s">
        <v>153</v>
      </c>
      <c r="I710" t="s">
        <v>588</v>
      </c>
      <c r="J710" t="s">
        <v>154</v>
      </c>
      <c r="K710" t="s">
        <v>155</v>
      </c>
      <c r="L710" t="s">
        <v>1993</v>
      </c>
      <c r="N710" t="s">
        <v>1994</v>
      </c>
      <c r="O710" t="s">
        <v>589</v>
      </c>
      <c r="R710" t="s">
        <v>590</v>
      </c>
      <c r="S710" t="s">
        <v>1995</v>
      </c>
      <c r="V710" t="s">
        <v>1996</v>
      </c>
      <c r="W710" t="s">
        <v>1993</v>
      </c>
      <c r="AC710" t="s">
        <v>591</v>
      </c>
      <c r="AD710" t="s">
        <v>2000</v>
      </c>
      <c r="AE710" t="s">
        <v>577</v>
      </c>
      <c r="AF710">
        <v>4</v>
      </c>
    </row>
    <row r="711" spans="1:32" x14ac:dyDescent="0.25">
      <c r="A711" t="s">
        <v>33</v>
      </c>
      <c r="D711" t="s">
        <v>1991</v>
      </c>
      <c r="E711" t="s">
        <v>1992</v>
      </c>
      <c r="H711" t="s">
        <v>153</v>
      </c>
      <c r="I711" t="s">
        <v>593</v>
      </c>
      <c r="J711" t="s">
        <v>154</v>
      </c>
      <c r="K711" t="s">
        <v>155</v>
      </c>
      <c r="L711" t="s">
        <v>1993</v>
      </c>
      <c r="N711" t="s">
        <v>1994</v>
      </c>
      <c r="O711" t="s">
        <v>594</v>
      </c>
      <c r="R711" t="s">
        <v>595</v>
      </c>
      <c r="S711" t="s">
        <v>1995</v>
      </c>
      <c r="V711" t="s">
        <v>1996</v>
      </c>
      <c r="W711" t="s">
        <v>1993</v>
      </c>
      <c r="AC711" t="s">
        <v>596</v>
      </c>
      <c r="AD711" t="s">
        <v>2001</v>
      </c>
      <c r="AE711" t="s">
        <v>577</v>
      </c>
      <c r="AF711">
        <v>5</v>
      </c>
    </row>
    <row r="712" spans="1:32" x14ac:dyDescent="0.25">
      <c r="A712" t="s">
        <v>33</v>
      </c>
      <c r="D712" t="s">
        <v>1991</v>
      </c>
      <c r="E712" t="s">
        <v>1992</v>
      </c>
      <c r="H712" t="s">
        <v>153</v>
      </c>
      <c r="I712" t="s">
        <v>598</v>
      </c>
      <c r="J712" t="s">
        <v>154</v>
      </c>
      <c r="K712" t="s">
        <v>155</v>
      </c>
      <c r="L712" t="s">
        <v>1993</v>
      </c>
      <c r="N712" t="s">
        <v>1994</v>
      </c>
      <c r="O712" t="s">
        <v>599</v>
      </c>
      <c r="R712" t="s">
        <v>600</v>
      </c>
      <c r="S712" t="s">
        <v>1995</v>
      </c>
      <c r="V712" t="s">
        <v>1996</v>
      </c>
      <c r="W712" t="s">
        <v>1993</v>
      </c>
      <c r="AC712" t="s">
        <v>599</v>
      </c>
      <c r="AD712" t="s">
        <v>2002</v>
      </c>
      <c r="AE712" t="s">
        <v>577</v>
      </c>
      <c r="AF712">
        <v>6</v>
      </c>
    </row>
    <row r="713" spans="1:32" x14ac:dyDescent="0.25">
      <c r="A713" t="s">
        <v>33</v>
      </c>
      <c r="D713" t="s">
        <v>1991</v>
      </c>
      <c r="E713" t="s">
        <v>1992</v>
      </c>
      <c r="H713" t="s">
        <v>153</v>
      </c>
      <c r="I713" t="s">
        <v>602</v>
      </c>
      <c r="J713" t="s">
        <v>154</v>
      </c>
      <c r="K713" t="s">
        <v>155</v>
      </c>
      <c r="L713" t="s">
        <v>1993</v>
      </c>
      <c r="N713" t="s">
        <v>1994</v>
      </c>
      <c r="O713" t="s">
        <v>603</v>
      </c>
      <c r="R713" t="s">
        <v>604</v>
      </c>
      <c r="S713" t="s">
        <v>1995</v>
      </c>
      <c r="V713" t="s">
        <v>1996</v>
      </c>
      <c r="W713" t="s">
        <v>1993</v>
      </c>
      <c r="AC713" t="s">
        <v>605</v>
      </c>
      <c r="AD713" t="s">
        <v>2003</v>
      </c>
      <c r="AE713" t="s">
        <v>577</v>
      </c>
      <c r="AF713">
        <v>7</v>
      </c>
    </row>
    <row r="714" spans="1:32" x14ac:dyDescent="0.25">
      <c r="A714" t="s">
        <v>33</v>
      </c>
      <c r="D714" t="s">
        <v>1991</v>
      </c>
      <c r="E714" t="s">
        <v>1992</v>
      </c>
      <c r="H714" t="s">
        <v>153</v>
      </c>
      <c r="I714" t="s">
        <v>607</v>
      </c>
      <c r="J714" t="s">
        <v>154</v>
      </c>
      <c r="K714" t="s">
        <v>155</v>
      </c>
      <c r="L714" t="s">
        <v>1993</v>
      </c>
      <c r="N714" t="s">
        <v>1994</v>
      </c>
      <c r="O714" t="s">
        <v>608</v>
      </c>
      <c r="R714" t="s">
        <v>609</v>
      </c>
      <c r="S714" t="s">
        <v>1995</v>
      </c>
      <c r="V714" t="s">
        <v>1996</v>
      </c>
      <c r="W714" t="s">
        <v>1993</v>
      </c>
      <c r="AC714" t="s">
        <v>610</v>
      </c>
      <c r="AD714" t="s">
        <v>2004</v>
      </c>
      <c r="AE714" t="s">
        <v>577</v>
      </c>
      <c r="AF714">
        <v>8</v>
      </c>
    </row>
    <row r="715" spans="1:32" x14ac:dyDescent="0.25">
      <c r="A715" t="s">
        <v>33</v>
      </c>
      <c r="D715" t="s">
        <v>1991</v>
      </c>
      <c r="E715" t="s">
        <v>1992</v>
      </c>
      <c r="H715" t="s">
        <v>153</v>
      </c>
      <c r="I715" t="s">
        <v>612</v>
      </c>
      <c r="J715" t="s">
        <v>154</v>
      </c>
      <c r="K715" t="s">
        <v>155</v>
      </c>
      <c r="L715" t="s">
        <v>1993</v>
      </c>
      <c r="N715" t="s">
        <v>1994</v>
      </c>
      <c r="O715" t="s">
        <v>613</v>
      </c>
      <c r="R715" t="s">
        <v>614</v>
      </c>
      <c r="S715" t="s">
        <v>1995</v>
      </c>
      <c r="V715" t="s">
        <v>1996</v>
      </c>
      <c r="W715" t="s">
        <v>1993</v>
      </c>
      <c r="AC715" t="s">
        <v>615</v>
      </c>
      <c r="AD715" t="s">
        <v>2005</v>
      </c>
      <c r="AE715" t="s">
        <v>577</v>
      </c>
      <c r="AF715">
        <v>9</v>
      </c>
    </row>
    <row r="716" spans="1:32" x14ac:dyDescent="0.25">
      <c r="A716" t="s">
        <v>33</v>
      </c>
      <c r="D716" t="s">
        <v>1991</v>
      </c>
      <c r="E716" t="s">
        <v>1992</v>
      </c>
      <c r="H716" t="s">
        <v>153</v>
      </c>
      <c r="I716" t="s">
        <v>617</v>
      </c>
      <c r="J716" t="s">
        <v>154</v>
      </c>
      <c r="K716" t="s">
        <v>155</v>
      </c>
      <c r="L716" t="s">
        <v>1993</v>
      </c>
      <c r="N716" t="s">
        <v>1994</v>
      </c>
      <c r="O716" t="s">
        <v>618</v>
      </c>
      <c r="R716" t="s">
        <v>619</v>
      </c>
      <c r="S716" t="s">
        <v>1995</v>
      </c>
      <c r="V716" t="s">
        <v>1996</v>
      </c>
      <c r="W716" t="s">
        <v>1993</v>
      </c>
      <c r="AC716" t="s">
        <v>620</v>
      </c>
      <c r="AD716" t="s">
        <v>2006</v>
      </c>
      <c r="AE716" t="s">
        <v>577</v>
      </c>
      <c r="AF716">
        <v>10</v>
      </c>
    </row>
    <row r="717" spans="1:32" x14ac:dyDescent="0.25">
      <c r="A717" t="s">
        <v>33</v>
      </c>
      <c r="D717" t="s">
        <v>1991</v>
      </c>
      <c r="E717" t="s">
        <v>1992</v>
      </c>
      <c r="H717" t="s">
        <v>153</v>
      </c>
      <c r="I717" t="s">
        <v>622</v>
      </c>
      <c r="J717" t="s">
        <v>154</v>
      </c>
      <c r="K717" t="s">
        <v>155</v>
      </c>
      <c r="L717" t="s">
        <v>1993</v>
      </c>
      <c r="N717" t="s">
        <v>1994</v>
      </c>
      <c r="O717" t="s">
        <v>623</v>
      </c>
      <c r="R717" t="s">
        <v>624</v>
      </c>
      <c r="S717" t="s">
        <v>1995</v>
      </c>
      <c r="V717" t="s">
        <v>1996</v>
      </c>
      <c r="W717" t="s">
        <v>1993</v>
      </c>
      <c r="AC717" t="s">
        <v>625</v>
      </c>
      <c r="AD717" t="s">
        <v>2007</v>
      </c>
      <c r="AE717" t="s">
        <v>577</v>
      </c>
      <c r="AF717">
        <v>11</v>
      </c>
    </row>
    <row r="718" spans="1:32" x14ac:dyDescent="0.25">
      <c r="A718" t="s">
        <v>33</v>
      </c>
      <c r="D718" t="s">
        <v>1991</v>
      </c>
      <c r="E718" t="s">
        <v>1992</v>
      </c>
      <c r="H718" t="s">
        <v>153</v>
      </c>
      <c r="I718" t="s">
        <v>627</v>
      </c>
      <c r="J718" t="s">
        <v>154</v>
      </c>
      <c r="K718" t="s">
        <v>155</v>
      </c>
      <c r="L718" t="s">
        <v>1993</v>
      </c>
      <c r="N718" t="s">
        <v>1994</v>
      </c>
      <c r="O718" t="s">
        <v>628</v>
      </c>
      <c r="R718" t="s">
        <v>629</v>
      </c>
      <c r="S718" t="s">
        <v>1995</v>
      </c>
      <c r="V718" t="s">
        <v>1996</v>
      </c>
      <c r="W718" t="s">
        <v>1993</v>
      </c>
      <c r="AC718" t="s">
        <v>630</v>
      </c>
      <c r="AD718" t="s">
        <v>2008</v>
      </c>
      <c r="AE718" t="s">
        <v>577</v>
      </c>
      <c r="AF718">
        <v>12</v>
      </c>
    </row>
    <row r="719" spans="1:32" x14ac:dyDescent="0.25">
      <c r="A719" t="s">
        <v>33</v>
      </c>
      <c r="D719" t="s">
        <v>1991</v>
      </c>
      <c r="E719" t="s">
        <v>1992</v>
      </c>
      <c r="F719" t="s">
        <v>87</v>
      </c>
      <c r="G719" t="s">
        <v>661</v>
      </c>
      <c r="H719" t="s">
        <v>153</v>
      </c>
      <c r="I719" t="s">
        <v>90</v>
      </c>
      <c r="J719" t="s">
        <v>154</v>
      </c>
      <c r="K719" t="s">
        <v>155</v>
      </c>
      <c r="L719" t="s">
        <v>662</v>
      </c>
      <c r="N719" t="s">
        <v>95</v>
      </c>
      <c r="O719" t="s">
        <v>213</v>
      </c>
      <c r="R719" t="s">
        <v>2009</v>
      </c>
      <c r="S719" t="s">
        <v>1995</v>
      </c>
      <c r="V719" t="s">
        <v>1996</v>
      </c>
      <c r="W719" t="s">
        <v>1993</v>
      </c>
      <c r="AC719" t="s">
        <v>662</v>
      </c>
      <c r="AD719" t="s">
        <v>215</v>
      </c>
      <c r="AE719" t="s">
        <v>577</v>
      </c>
      <c r="AF719">
        <v>17</v>
      </c>
    </row>
    <row r="720" spans="1:32" x14ac:dyDescent="0.25">
      <c r="A720" t="s">
        <v>33</v>
      </c>
      <c r="D720" t="s">
        <v>1991</v>
      </c>
      <c r="E720" t="s">
        <v>1992</v>
      </c>
      <c r="F720" t="s">
        <v>87</v>
      </c>
      <c r="G720" t="s">
        <v>669</v>
      </c>
      <c r="H720" t="s">
        <v>153</v>
      </c>
      <c r="I720" t="s">
        <v>100</v>
      </c>
      <c r="J720" t="s">
        <v>154</v>
      </c>
      <c r="K720" t="s">
        <v>155</v>
      </c>
      <c r="L720" t="s">
        <v>670</v>
      </c>
      <c r="N720" t="s">
        <v>671</v>
      </c>
      <c r="O720" t="s">
        <v>448</v>
      </c>
      <c r="R720" t="s">
        <v>672</v>
      </c>
      <c r="S720" t="s">
        <v>1995</v>
      </c>
      <c r="V720" t="s">
        <v>1996</v>
      </c>
      <c r="W720" t="s">
        <v>1993</v>
      </c>
      <c r="AC720" t="s">
        <v>2010</v>
      </c>
      <c r="AD720" t="s">
        <v>2011</v>
      </c>
      <c r="AE720" t="s">
        <v>577</v>
      </c>
      <c r="AF720">
        <v>19</v>
      </c>
    </row>
    <row r="721" spans="1:32" x14ac:dyDescent="0.25">
      <c r="A721" t="s">
        <v>33</v>
      </c>
      <c r="D721" t="s">
        <v>1991</v>
      </c>
      <c r="E721" t="s">
        <v>1992</v>
      </c>
      <c r="F721" t="s">
        <v>87</v>
      </c>
      <c r="G721" t="s">
        <v>389</v>
      </c>
      <c r="H721" t="s">
        <v>153</v>
      </c>
      <c r="I721" t="s">
        <v>90</v>
      </c>
      <c r="J721" t="s">
        <v>154</v>
      </c>
      <c r="K721" t="s">
        <v>155</v>
      </c>
      <c r="L721" t="s">
        <v>390</v>
      </c>
      <c r="N721" t="s">
        <v>371</v>
      </c>
      <c r="O721" t="s">
        <v>386</v>
      </c>
      <c r="R721" t="s">
        <v>688</v>
      </c>
      <c r="S721" t="s">
        <v>1995</v>
      </c>
      <c r="V721" t="s">
        <v>1996</v>
      </c>
      <c r="W721" t="s">
        <v>1993</v>
      </c>
      <c r="AC721" t="s">
        <v>2012</v>
      </c>
      <c r="AD721" t="s">
        <v>388</v>
      </c>
      <c r="AE721" t="s">
        <v>577</v>
      </c>
      <c r="AF721">
        <v>22</v>
      </c>
    </row>
    <row r="722" spans="1:32" x14ac:dyDescent="0.25">
      <c r="A722" t="s">
        <v>33</v>
      </c>
      <c r="D722" t="s">
        <v>1991</v>
      </c>
      <c r="E722" t="s">
        <v>1992</v>
      </c>
      <c r="F722" t="s">
        <v>87</v>
      </c>
      <c r="G722" t="s">
        <v>389</v>
      </c>
      <c r="H722" t="s">
        <v>153</v>
      </c>
      <c r="I722" t="s">
        <v>100</v>
      </c>
      <c r="J722" t="s">
        <v>154</v>
      </c>
      <c r="K722" t="s">
        <v>155</v>
      </c>
      <c r="L722" t="s">
        <v>390</v>
      </c>
      <c r="N722" t="s">
        <v>371</v>
      </c>
      <c r="O722" t="s">
        <v>448</v>
      </c>
      <c r="R722" t="s">
        <v>691</v>
      </c>
      <c r="S722" t="s">
        <v>1995</v>
      </c>
      <c r="V722" t="s">
        <v>1996</v>
      </c>
      <c r="W722" t="s">
        <v>1993</v>
      </c>
      <c r="AC722" t="s">
        <v>2013</v>
      </c>
      <c r="AD722" t="s">
        <v>2014</v>
      </c>
      <c r="AE722" t="s">
        <v>577</v>
      </c>
      <c r="AF722">
        <v>23</v>
      </c>
    </row>
    <row r="723" spans="1:32" x14ac:dyDescent="0.25">
      <c r="A723" t="s">
        <v>33</v>
      </c>
      <c r="D723" t="s">
        <v>1991</v>
      </c>
      <c r="E723" t="s">
        <v>1992</v>
      </c>
      <c r="F723" t="s">
        <v>87</v>
      </c>
      <c r="G723" t="s">
        <v>2015</v>
      </c>
      <c r="H723" t="s">
        <v>153</v>
      </c>
      <c r="I723" t="s">
        <v>90</v>
      </c>
      <c r="J723" t="s">
        <v>154</v>
      </c>
      <c r="K723" t="s">
        <v>155</v>
      </c>
      <c r="L723" t="s">
        <v>2016</v>
      </c>
      <c r="N723" t="s">
        <v>1744</v>
      </c>
      <c r="O723" t="s">
        <v>386</v>
      </c>
      <c r="R723" t="s">
        <v>2017</v>
      </c>
      <c r="S723" t="s">
        <v>1995</v>
      </c>
      <c r="V723" t="s">
        <v>1996</v>
      </c>
      <c r="W723" t="s">
        <v>1993</v>
      </c>
      <c r="AC723" t="s">
        <v>2018</v>
      </c>
      <c r="AD723" t="s">
        <v>1747</v>
      </c>
      <c r="AE723" t="s">
        <v>577</v>
      </c>
      <c r="AF723">
        <v>42</v>
      </c>
    </row>
    <row r="724" spans="1:32" x14ac:dyDescent="0.25">
      <c r="A724" t="s">
        <v>33</v>
      </c>
      <c r="D724" t="s">
        <v>1991</v>
      </c>
      <c r="E724" t="s">
        <v>1992</v>
      </c>
      <c r="F724" t="s">
        <v>87</v>
      </c>
      <c r="G724" t="s">
        <v>802</v>
      </c>
      <c r="H724" t="s">
        <v>153</v>
      </c>
      <c r="I724" t="s">
        <v>144</v>
      </c>
      <c r="J724" t="s">
        <v>154</v>
      </c>
      <c r="K724" t="s">
        <v>155</v>
      </c>
      <c r="L724" t="s">
        <v>803</v>
      </c>
      <c r="N724" t="s">
        <v>2019</v>
      </c>
      <c r="O724" t="s">
        <v>213</v>
      </c>
      <c r="R724" t="s">
        <v>805</v>
      </c>
      <c r="S724" t="s">
        <v>1995</v>
      </c>
      <c r="V724" t="s">
        <v>1996</v>
      </c>
      <c r="W724" t="s">
        <v>1993</v>
      </c>
      <c r="AC724" t="s">
        <v>803</v>
      </c>
      <c r="AD724" t="s">
        <v>2020</v>
      </c>
      <c r="AE724" t="s">
        <v>577</v>
      </c>
      <c r="AF724">
        <v>51</v>
      </c>
    </row>
    <row r="725" spans="1:32" x14ac:dyDescent="0.25">
      <c r="A725" t="s">
        <v>33</v>
      </c>
      <c r="D725" t="s">
        <v>1991</v>
      </c>
      <c r="E725" t="s">
        <v>1992</v>
      </c>
      <c r="F725" t="s">
        <v>87</v>
      </c>
      <c r="G725" t="s">
        <v>807</v>
      </c>
      <c r="H725" t="s">
        <v>153</v>
      </c>
      <c r="I725" t="s">
        <v>144</v>
      </c>
      <c r="J725" t="s">
        <v>154</v>
      </c>
      <c r="K725" t="s">
        <v>155</v>
      </c>
      <c r="L725" t="s">
        <v>808</v>
      </c>
      <c r="N725" t="s">
        <v>2021</v>
      </c>
      <c r="O725" t="s">
        <v>213</v>
      </c>
      <c r="R725" t="s">
        <v>810</v>
      </c>
      <c r="S725" t="s">
        <v>1995</v>
      </c>
      <c r="V725" t="s">
        <v>1996</v>
      </c>
      <c r="W725" t="s">
        <v>1993</v>
      </c>
      <c r="AC725" t="s">
        <v>808</v>
      </c>
      <c r="AD725" t="s">
        <v>2022</v>
      </c>
      <c r="AE725" t="s">
        <v>577</v>
      </c>
      <c r="AF725">
        <v>52</v>
      </c>
    </row>
    <row r="726" spans="1:32" x14ac:dyDescent="0.25">
      <c r="A726" t="s">
        <v>33</v>
      </c>
      <c r="D726" t="s">
        <v>1991</v>
      </c>
      <c r="E726" t="s">
        <v>1992</v>
      </c>
      <c r="F726" t="s">
        <v>87</v>
      </c>
      <c r="G726" t="s">
        <v>2023</v>
      </c>
      <c r="H726" t="s">
        <v>153</v>
      </c>
      <c r="I726" t="s">
        <v>90</v>
      </c>
      <c r="J726" t="s">
        <v>154</v>
      </c>
      <c r="K726" t="s">
        <v>155</v>
      </c>
      <c r="L726" t="s">
        <v>2024</v>
      </c>
      <c r="N726" t="s">
        <v>2025</v>
      </c>
      <c r="O726" t="s">
        <v>386</v>
      </c>
      <c r="R726" t="s">
        <v>2026</v>
      </c>
      <c r="S726" t="s">
        <v>1995</v>
      </c>
      <c r="V726" t="s">
        <v>1996</v>
      </c>
      <c r="W726" t="s">
        <v>1993</v>
      </c>
      <c r="AC726" t="s">
        <v>2027</v>
      </c>
      <c r="AD726" t="s">
        <v>2028</v>
      </c>
      <c r="AE726" t="s">
        <v>577</v>
      </c>
      <c r="AF726">
        <v>53</v>
      </c>
    </row>
    <row r="727" spans="1:32" x14ac:dyDescent="0.25">
      <c r="A727" t="s">
        <v>33</v>
      </c>
      <c r="D727" t="s">
        <v>1991</v>
      </c>
      <c r="E727" t="s">
        <v>1992</v>
      </c>
      <c r="F727" t="s">
        <v>87</v>
      </c>
      <c r="G727" t="s">
        <v>2029</v>
      </c>
      <c r="H727" t="s">
        <v>153</v>
      </c>
      <c r="I727" t="s">
        <v>100</v>
      </c>
      <c r="J727" t="s">
        <v>154</v>
      </c>
      <c r="K727" t="s">
        <v>155</v>
      </c>
      <c r="L727" t="s">
        <v>2030</v>
      </c>
      <c r="N727" t="s">
        <v>2031</v>
      </c>
      <c r="O727" t="s">
        <v>448</v>
      </c>
      <c r="R727" t="s">
        <v>2032</v>
      </c>
      <c r="S727" t="s">
        <v>1995</v>
      </c>
      <c r="V727" t="s">
        <v>1996</v>
      </c>
      <c r="W727" t="s">
        <v>1993</v>
      </c>
      <c r="AC727" t="s">
        <v>2033</v>
      </c>
      <c r="AD727" t="s">
        <v>2034</v>
      </c>
      <c r="AE727" t="s">
        <v>577</v>
      </c>
      <c r="AF727">
        <v>54</v>
      </c>
    </row>
    <row r="728" spans="1:32" x14ac:dyDescent="0.25">
      <c r="A728" t="s">
        <v>33</v>
      </c>
      <c r="D728" t="s">
        <v>1991</v>
      </c>
      <c r="E728" t="s">
        <v>1992</v>
      </c>
      <c r="H728" t="s">
        <v>153</v>
      </c>
      <c r="I728" t="s">
        <v>479</v>
      </c>
      <c r="J728" t="s">
        <v>154</v>
      </c>
      <c r="K728" t="s">
        <v>155</v>
      </c>
      <c r="L728" t="s">
        <v>1993</v>
      </c>
      <c r="N728" t="s">
        <v>1994</v>
      </c>
      <c r="O728" t="s">
        <v>480</v>
      </c>
      <c r="R728" t="s">
        <v>812</v>
      </c>
      <c r="S728" t="s">
        <v>1995</v>
      </c>
      <c r="V728" t="s">
        <v>1996</v>
      </c>
      <c r="W728" t="s">
        <v>1993</v>
      </c>
      <c r="AC728" t="s">
        <v>813</v>
      </c>
      <c r="AD728" t="s">
        <v>2035</v>
      </c>
      <c r="AE728" t="s">
        <v>577</v>
      </c>
      <c r="AF728">
        <v>55</v>
      </c>
    </row>
    <row r="729" spans="1:32" x14ac:dyDescent="0.25">
      <c r="A729" t="s">
        <v>33</v>
      </c>
      <c r="D729" t="s">
        <v>1991</v>
      </c>
      <c r="E729" t="s">
        <v>1992</v>
      </c>
      <c r="F729" t="s">
        <v>87</v>
      </c>
      <c r="G729" t="s">
        <v>2036</v>
      </c>
      <c r="H729" t="s">
        <v>153</v>
      </c>
      <c r="I729" t="s">
        <v>90</v>
      </c>
      <c r="J729" t="s">
        <v>154</v>
      </c>
      <c r="K729" t="s">
        <v>155</v>
      </c>
      <c r="L729" t="s">
        <v>2037</v>
      </c>
      <c r="N729" t="s">
        <v>817</v>
      </c>
      <c r="O729" t="s">
        <v>386</v>
      </c>
      <c r="R729" t="s">
        <v>818</v>
      </c>
      <c r="S729" t="s">
        <v>1995</v>
      </c>
      <c r="V729" t="s">
        <v>1996</v>
      </c>
      <c r="W729" t="s">
        <v>1993</v>
      </c>
      <c r="AC729" t="s">
        <v>819</v>
      </c>
      <c r="AD729" t="s">
        <v>820</v>
      </c>
      <c r="AE729" t="s">
        <v>577</v>
      </c>
      <c r="AF729">
        <v>56</v>
      </c>
    </row>
    <row r="730" spans="1:32" x14ac:dyDescent="0.25">
      <c r="A730" t="s">
        <v>33</v>
      </c>
      <c r="D730" t="s">
        <v>1991</v>
      </c>
      <c r="E730" t="s">
        <v>1992</v>
      </c>
      <c r="F730" t="s">
        <v>87</v>
      </c>
      <c r="G730" t="s">
        <v>2029</v>
      </c>
      <c r="H730" t="s">
        <v>153</v>
      </c>
      <c r="I730" t="s">
        <v>90</v>
      </c>
      <c r="J730" t="s">
        <v>154</v>
      </c>
      <c r="K730" t="s">
        <v>155</v>
      </c>
      <c r="L730" t="s">
        <v>2030</v>
      </c>
      <c r="N730" t="s">
        <v>2031</v>
      </c>
      <c r="O730" t="s">
        <v>386</v>
      </c>
      <c r="R730" t="s">
        <v>2038</v>
      </c>
      <c r="S730" t="s">
        <v>1995</v>
      </c>
      <c r="V730" t="s">
        <v>1996</v>
      </c>
      <c r="W730" t="s">
        <v>1993</v>
      </c>
      <c r="AC730" t="s">
        <v>2039</v>
      </c>
      <c r="AD730" t="s">
        <v>2040</v>
      </c>
      <c r="AE730" t="s">
        <v>577</v>
      </c>
      <c r="AF730">
        <v>57</v>
      </c>
    </row>
    <row r="731" spans="1:32" x14ac:dyDescent="0.25">
      <c r="A731" t="s">
        <v>33</v>
      </c>
      <c r="D731" t="s">
        <v>1991</v>
      </c>
      <c r="E731" t="s">
        <v>1992</v>
      </c>
      <c r="F731" t="s">
        <v>78</v>
      </c>
      <c r="G731" t="s">
        <v>2041</v>
      </c>
      <c r="H731" t="s">
        <v>153</v>
      </c>
      <c r="I731" t="s">
        <v>243</v>
      </c>
      <c r="J731" t="s">
        <v>154</v>
      </c>
      <c r="K731" t="s">
        <v>155</v>
      </c>
      <c r="L731" t="s">
        <v>2042</v>
      </c>
      <c r="N731" t="s">
        <v>823</v>
      </c>
      <c r="O731" t="s">
        <v>824</v>
      </c>
      <c r="R731" t="s">
        <v>825</v>
      </c>
      <c r="S731" t="s">
        <v>1995</v>
      </c>
      <c r="V731" t="s">
        <v>1996</v>
      </c>
      <c r="W731" t="s">
        <v>1993</v>
      </c>
      <c r="AC731" t="s">
        <v>826</v>
      </c>
      <c r="AD731" t="s">
        <v>827</v>
      </c>
      <c r="AE731" t="s">
        <v>577</v>
      </c>
      <c r="AF731">
        <v>58</v>
      </c>
    </row>
    <row r="732" spans="1:32" x14ac:dyDescent="0.25">
      <c r="A732" t="s">
        <v>33</v>
      </c>
      <c r="D732" t="s">
        <v>1991</v>
      </c>
      <c r="E732" t="s">
        <v>1992</v>
      </c>
      <c r="F732" t="s">
        <v>78</v>
      </c>
      <c r="G732" t="s">
        <v>497</v>
      </c>
      <c r="H732" t="s">
        <v>153</v>
      </c>
      <c r="I732" t="s">
        <v>243</v>
      </c>
      <c r="J732" t="s">
        <v>154</v>
      </c>
      <c r="K732" t="s">
        <v>155</v>
      </c>
      <c r="L732" t="s">
        <v>498</v>
      </c>
      <c r="N732" t="s">
        <v>830</v>
      </c>
      <c r="O732" t="s">
        <v>824</v>
      </c>
      <c r="R732" t="s">
        <v>831</v>
      </c>
      <c r="S732" t="s">
        <v>1995</v>
      </c>
      <c r="V732" t="s">
        <v>1996</v>
      </c>
      <c r="W732" t="s">
        <v>1993</v>
      </c>
      <c r="AC732" t="s">
        <v>832</v>
      </c>
      <c r="AD732" t="s">
        <v>833</v>
      </c>
      <c r="AE732" t="s">
        <v>577</v>
      </c>
      <c r="AF732">
        <v>59</v>
      </c>
    </row>
    <row r="733" spans="1:32" x14ac:dyDescent="0.25">
      <c r="A733" t="s">
        <v>33</v>
      </c>
      <c r="D733" t="s">
        <v>1991</v>
      </c>
      <c r="E733" t="s">
        <v>1992</v>
      </c>
      <c r="H733" t="s">
        <v>153</v>
      </c>
      <c r="I733" t="s">
        <v>834</v>
      </c>
      <c r="J733" t="s">
        <v>154</v>
      </c>
      <c r="K733" t="s">
        <v>155</v>
      </c>
      <c r="L733" t="s">
        <v>1993</v>
      </c>
      <c r="N733" t="s">
        <v>1994</v>
      </c>
      <c r="O733" t="s">
        <v>835</v>
      </c>
      <c r="R733" t="s">
        <v>836</v>
      </c>
      <c r="S733" t="s">
        <v>1995</v>
      </c>
      <c r="V733" t="s">
        <v>1996</v>
      </c>
      <c r="W733" t="s">
        <v>1993</v>
      </c>
      <c r="AD733" t="s">
        <v>2043</v>
      </c>
    </row>
    <row r="734" spans="1:32" x14ac:dyDescent="0.25">
      <c r="A734" t="s">
        <v>33</v>
      </c>
      <c r="D734" t="s">
        <v>1991</v>
      </c>
      <c r="E734" t="s">
        <v>1992</v>
      </c>
      <c r="F734" t="s">
        <v>87</v>
      </c>
      <c r="G734" t="s">
        <v>2023</v>
      </c>
      <c r="H734" t="s">
        <v>89</v>
      </c>
      <c r="I734" t="s">
        <v>144</v>
      </c>
      <c r="J734" t="s">
        <v>91</v>
      </c>
      <c r="K734" t="s">
        <v>92</v>
      </c>
      <c r="L734" t="s">
        <v>2024</v>
      </c>
      <c r="M734" t="s">
        <v>94</v>
      </c>
      <c r="N734" t="s">
        <v>2025</v>
      </c>
      <c r="O734" t="s">
        <v>150</v>
      </c>
      <c r="P734">
        <v>1E-3</v>
      </c>
      <c r="R734" t="s">
        <v>2044</v>
      </c>
      <c r="S734" t="s">
        <v>1995</v>
      </c>
      <c r="V734" t="s">
        <v>1996</v>
      </c>
      <c r="W734" t="s">
        <v>1993</v>
      </c>
      <c r="AD734" t="s">
        <v>2045</v>
      </c>
    </row>
    <row r="735" spans="1:32" x14ac:dyDescent="0.25">
      <c r="A735" t="s">
        <v>33</v>
      </c>
      <c r="D735" t="s">
        <v>1991</v>
      </c>
      <c r="E735" t="s">
        <v>1992</v>
      </c>
      <c r="F735" t="s">
        <v>87</v>
      </c>
      <c r="G735" t="s">
        <v>2023</v>
      </c>
      <c r="H735" t="s">
        <v>143</v>
      </c>
      <c r="I735" t="s">
        <v>144</v>
      </c>
      <c r="J735" t="s">
        <v>145</v>
      </c>
      <c r="K735" t="s">
        <v>146</v>
      </c>
      <c r="L735" t="s">
        <v>2024</v>
      </c>
      <c r="M735" t="s">
        <v>82</v>
      </c>
      <c r="N735" t="s">
        <v>2025</v>
      </c>
      <c r="O735" t="s">
        <v>147</v>
      </c>
      <c r="R735" t="s">
        <v>2046</v>
      </c>
      <c r="S735" t="s">
        <v>1995</v>
      </c>
      <c r="V735" t="s">
        <v>1996</v>
      </c>
      <c r="W735" t="s">
        <v>1993</v>
      </c>
      <c r="AD735" t="s">
        <v>2047</v>
      </c>
    </row>
    <row r="736" spans="1:32" x14ac:dyDescent="0.25">
      <c r="A736" t="s">
        <v>33</v>
      </c>
      <c r="D736" t="s">
        <v>1991</v>
      </c>
      <c r="E736" t="s">
        <v>1992</v>
      </c>
      <c r="F736" t="s">
        <v>87</v>
      </c>
      <c r="G736" t="s">
        <v>2023</v>
      </c>
      <c r="H736" t="s">
        <v>89</v>
      </c>
      <c r="I736" t="s">
        <v>90</v>
      </c>
      <c r="J736" t="s">
        <v>91</v>
      </c>
      <c r="K736" t="s">
        <v>92</v>
      </c>
      <c r="L736" t="s">
        <v>2024</v>
      </c>
      <c r="M736" t="s">
        <v>94</v>
      </c>
      <c r="N736" t="s">
        <v>2025</v>
      </c>
      <c r="O736" t="s">
        <v>383</v>
      </c>
      <c r="P736">
        <v>1E-3</v>
      </c>
      <c r="R736" t="s">
        <v>2048</v>
      </c>
      <c r="S736" t="s">
        <v>1995</v>
      </c>
      <c r="V736" t="s">
        <v>1996</v>
      </c>
      <c r="W736" t="s">
        <v>1993</v>
      </c>
      <c r="AD736" t="s">
        <v>2049</v>
      </c>
    </row>
    <row r="737" spans="1:30" x14ac:dyDescent="0.25">
      <c r="A737" t="s">
        <v>33</v>
      </c>
      <c r="D737" t="s">
        <v>1991</v>
      </c>
      <c r="E737" t="s">
        <v>1992</v>
      </c>
      <c r="F737" t="s">
        <v>87</v>
      </c>
      <c r="G737" t="s">
        <v>2023</v>
      </c>
      <c r="H737" t="s">
        <v>143</v>
      </c>
      <c r="I737" t="s">
        <v>90</v>
      </c>
      <c r="J737" t="s">
        <v>145</v>
      </c>
      <c r="K737" t="s">
        <v>146</v>
      </c>
      <c r="L737" t="s">
        <v>2024</v>
      </c>
      <c r="M737" t="s">
        <v>82</v>
      </c>
      <c r="N737" t="s">
        <v>2025</v>
      </c>
      <c r="O737" t="s">
        <v>380</v>
      </c>
      <c r="R737" t="s">
        <v>2050</v>
      </c>
      <c r="S737" t="s">
        <v>1995</v>
      </c>
      <c r="V737" t="s">
        <v>1996</v>
      </c>
      <c r="W737" t="s">
        <v>1993</v>
      </c>
      <c r="AD737" t="s">
        <v>2051</v>
      </c>
    </row>
    <row r="738" spans="1:30" x14ac:dyDescent="0.25">
      <c r="A738" t="s">
        <v>33</v>
      </c>
      <c r="D738" t="s">
        <v>1991</v>
      </c>
      <c r="E738" t="s">
        <v>1992</v>
      </c>
      <c r="F738" t="s">
        <v>87</v>
      </c>
      <c r="G738" t="s">
        <v>2023</v>
      </c>
      <c r="H738" t="s">
        <v>38</v>
      </c>
      <c r="I738" t="s">
        <v>106</v>
      </c>
      <c r="J738" t="s">
        <v>40</v>
      </c>
      <c r="K738" t="s">
        <v>41</v>
      </c>
      <c r="L738" t="s">
        <v>2024</v>
      </c>
      <c r="M738" t="s">
        <v>82</v>
      </c>
      <c r="N738" t="s">
        <v>2025</v>
      </c>
      <c r="O738" t="s">
        <v>109</v>
      </c>
      <c r="R738" t="s">
        <v>2052</v>
      </c>
      <c r="S738" t="s">
        <v>1995</v>
      </c>
      <c r="V738" t="s">
        <v>1996</v>
      </c>
      <c r="W738" t="s">
        <v>1993</v>
      </c>
      <c r="AD738" t="s">
        <v>2053</v>
      </c>
    </row>
    <row r="739" spans="1:30" x14ac:dyDescent="0.25">
      <c r="A739" t="s">
        <v>33</v>
      </c>
      <c r="D739" t="s">
        <v>1991</v>
      </c>
      <c r="E739" t="s">
        <v>1992</v>
      </c>
      <c r="F739" t="s">
        <v>87</v>
      </c>
      <c r="G739" t="s">
        <v>2023</v>
      </c>
      <c r="H739" t="s">
        <v>38</v>
      </c>
      <c r="I739" t="s">
        <v>25</v>
      </c>
      <c r="J739" t="s">
        <v>69</v>
      </c>
      <c r="K739" t="s">
        <v>41</v>
      </c>
      <c r="L739" t="s">
        <v>2024</v>
      </c>
      <c r="M739" t="s">
        <v>82</v>
      </c>
      <c r="N739" t="s">
        <v>2025</v>
      </c>
      <c r="O739" t="s">
        <v>512</v>
      </c>
      <c r="R739" t="s">
        <v>1863</v>
      </c>
      <c r="S739" t="s">
        <v>1995</v>
      </c>
      <c r="V739" t="s">
        <v>1996</v>
      </c>
      <c r="W739" t="s">
        <v>1993</v>
      </c>
      <c r="AD739" t="s">
        <v>2054</v>
      </c>
    </row>
    <row r="740" spans="1:30" x14ac:dyDescent="0.25">
      <c r="A740" t="s">
        <v>33</v>
      </c>
      <c r="D740" t="s">
        <v>1991</v>
      </c>
      <c r="E740" t="s">
        <v>1992</v>
      </c>
      <c r="F740" t="s">
        <v>87</v>
      </c>
      <c r="G740" t="s">
        <v>2023</v>
      </c>
      <c r="H740" t="s">
        <v>38</v>
      </c>
      <c r="I740" t="s">
        <v>24</v>
      </c>
      <c r="J740" t="s">
        <v>69</v>
      </c>
      <c r="K740" t="s">
        <v>41</v>
      </c>
      <c r="L740" t="s">
        <v>2024</v>
      </c>
      <c r="M740" t="s">
        <v>82</v>
      </c>
      <c r="N740" t="s">
        <v>2025</v>
      </c>
      <c r="O740" t="s">
        <v>509</v>
      </c>
      <c r="R740" t="s">
        <v>1865</v>
      </c>
      <c r="S740" t="s">
        <v>1995</v>
      </c>
      <c r="V740" t="s">
        <v>1996</v>
      </c>
      <c r="W740" t="s">
        <v>1993</v>
      </c>
      <c r="AD740" t="s">
        <v>2055</v>
      </c>
    </row>
    <row r="741" spans="1:30" x14ac:dyDescent="0.25">
      <c r="A741" t="s">
        <v>33</v>
      </c>
      <c r="D741" t="s">
        <v>1991</v>
      </c>
      <c r="E741" t="s">
        <v>1992</v>
      </c>
      <c r="F741" t="s">
        <v>854</v>
      </c>
      <c r="G741" t="s">
        <v>855</v>
      </c>
      <c r="H741" t="s">
        <v>153</v>
      </c>
      <c r="I741" t="s">
        <v>598</v>
      </c>
      <c r="J741" t="s">
        <v>154</v>
      </c>
      <c r="K741" t="s">
        <v>155</v>
      </c>
      <c r="L741" t="s">
        <v>856</v>
      </c>
      <c r="N741" t="s">
        <v>2056</v>
      </c>
      <c r="O741" t="s">
        <v>599</v>
      </c>
      <c r="R741" t="s">
        <v>883</v>
      </c>
      <c r="S741" t="s">
        <v>1995</v>
      </c>
      <c r="V741" t="s">
        <v>1996</v>
      </c>
      <c r="W741" t="s">
        <v>1993</v>
      </c>
      <c r="AD741" t="s">
        <v>2057</v>
      </c>
    </row>
    <row r="742" spans="1:30" x14ac:dyDescent="0.25">
      <c r="A742" t="s">
        <v>33</v>
      </c>
      <c r="D742" t="s">
        <v>1991</v>
      </c>
      <c r="E742" t="s">
        <v>1992</v>
      </c>
      <c r="F742" t="s">
        <v>87</v>
      </c>
      <c r="G742" t="s">
        <v>669</v>
      </c>
      <c r="H742" t="s">
        <v>89</v>
      </c>
      <c r="I742" t="s">
        <v>180</v>
      </c>
      <c r="J742" t="s">
        <v>91</v>
      </c>
      <c r="K742" t="s">
        <v>92</v>
      </c>
      <c r="L742" t="s">
        <v>670</v>
      </c>
      <c r="M742" t="s">
        <v>94</v>
      </c>
      <c r="N742" t="s">
        <v>671</v>
      </c>
      <c r="O742" t="s">
        <v>184</v>
      </c>
      <c r="P742">
        <v>1E-3</v>
      </c>
      <c r="R742" t="s">
        <v>2058</v>
      </c>
      <c r="S742" t="s">
        <v>1995</v>
      </c>
      <c r="V742" t="s">
        <v>1996</v>
      </c>
      <c r="W742" t="s">
        <v>1993</v>
      </c>
      <c r="AD742" t="s">
        <v>2059</v>
      </c>
    </row>
    <row r="743" spans="1:30" x14ac:dyDescent="0.25">
      <c r="A743" t="s">
        <v>33</v>
      </c>
      <c r="D743" t="s">
        <v>1991</v>
      </c>
      <c r="E743" t="s">
        <v>1992</v>
      </c>
      <c r="F743" t="s">
        <v>87</v>
      </c>
      <c r="G743" t="s">
        <v>669</v>
      </c>
      <c r="H743" t="s">
        <v>143</v>
      </c>
      <c r="I743" t="s">
        <v>180</v>
      </c>
      <c r="J743" t="s">
        <v>145</v>
      </c>
      <c r="K743" t="s">
        <v>146</v>
      </c>
      <c r="L743" t="s">
        <v>670</v>
      </c>
      <c r="M743" t="s">
        <v>840</v>
      </c>
      <c r="N743" t="s">
        <v>671</v>
      </c>
      <c r="O743" t="s">
        <v>181</v>
      </c>
      <c r="R743" t="s">
        <v>841</v>
      </c>
      <c r="S743" t="s">
        <v>1995</v>
      </c>
      <c r="V743" t="s">
        <v>1996</v>
      </c>
      <c r="W743" t="s">
        <v>1993</v>
      </c>
      <c r="AD743" t="s">
        <v>2060</v>
      </c>
    </row>
    <row r="744" spans="1:30" x14ac:dyDescent="0.25">
      <c r="A744" t="s">
        <v>33</v>
      </c>
      <c r="D744" t="s">
        <v>1991</v>
      </c>
      <c r="E744" t="s">
        <v>1992</v>
      </c>
      <c r="F744" t="s">
        <v>854</v>
      </c>
      <c r="G744" t="s">
        <v>876</v>
      </c>
      <c r="H744" t="s">
        <v>153</v>
      </c>
      <c r="I744" t="s">
        <v>598</v>
      </c>
      <c r="J744" t="s">
        <v>154</v>
      </c>
      <c r="K744" t="s">
        <v>155</v>
      </c>
      <c r="L744" t="s">
        <v>877</v>
      </c>
      <c r="N744" t="s">
        <v>2061</v>
      </c>
      <c r="O744" t="s">
        <v>599</v>
      </c>
      <c r="R744" t="s">
        <v>923</v>
      </c>
      <c r="S744" t="s">
        <v>1995</v>
      </c>
      <c r="V744" t="s">
        <v>1996</v>
      </c>
      <c r="W744" t="s">
        <v>1993</v>
      </c>
      <c r="AD744" t="s">
        <v>2062</v>
      </c>
    </row>
    <row r="745" spans="1:30" x14ac:dyDescent="0.25">
      <c r="A745" t="s">
        <v>33</v>
      </c>
      <c r="D745" t="s">
        <v>1991</v>
      </c>
      <c r="E745" t="s">
        <v>1992</v>
      </c>
      <c r="F745" t="s">
        <v>87</v>
      </c>
      <c r="G745" t="s">
        <v>669</v>
      </c>
      <c r="H745" t="s">
        <v>89</v>
      </c>
      <c r="I745" t="s">
        <v>100</v>
      </c>
      <c r="J745" t="s">
        <v>91</v>
      </c>
      <c r="K745" t="s">
        <v>92</v>
      </c>
      <c r="L745" t="s">
        <v>670</v>
      </c>
      <c r="M745" t="s">
        <v>94</v>
      </c>
      <c r="N745" t="s">
        <v>671</v>
      </c>
      <c r="O745" t="s">
        <v>445</v>
      </c>
      <c r="P745">
        <v>1E-3</v>
      </c>
      <c r="R745" t="s">
        <v>2063</v>
      </c>
      <c r="S745" t="s">
        <v>1995</v>
      </c>
      <c r="V745" t="s">
        <v>1996</v>
      </c>
      <c r="W745" t="s">
        <v>1993</v>
      </c>
      <c r="AD745" t="s">
        <v>2064</v>
      </c>
    </row>
    <row r="746" spans="1:30" x14ac:dyDescent="0.25">
      <c r="A746" t="s">
        <v>33</v>
      </c>
      <c r="D746" t="s">
        <v>1991</v>
      </c>
      <c r="E746" t="s">
        <v>1992</v>
      </c>
      <c r="F746" t="s">
        <v>87</v>
      </c>
      <c r="G746" t="s">
        <v>669</v>
      </c>
      <c r="H746" t="s">
        <v>143</v>
      </c>
      <c r="I746" t="s">
        <v>100</v>
      </c>
      <c r="J746" t="s">
        <v>145</v>
      </c>
      <c r="K746" t="s">
        <v>146</v>
      </c>
      <c r="L746" t="s">
        <v>670</v>
      </c>
      <c r="M746" t="s">
        <v>840</v>
      </c>
      <c r="N746" t="s">
        <v>671</v>
      </c>
      <c r="O746" t="s">
        <v>442</v>
      </c>
      <c r="R746" t="s">
        <v>850</v>
      </c>
      <c r="S746" t="s">
        <v>1995</v>
      </c>
      <c r="V746" t="s">
        <v>1996</v>
      </c>
      <c r="W746" t="s">
        <v>1993</v>
      </c>
      <c r="AD746" t="s">
        <v>2065</v>
      </c>
    </row>
    <row r="747" spans="1:30" x14ac:dyDescent="0.25">
      <c r="A747" t="s">
        <v>33</v>
      </c>
      <c r="D747" t="s">
        <v>1991</v>
      </c>
      <c r="E747" t="s">
        <v>1992</v>
      </c>
      <c r="F747" t="s">
        <v>87</v>
      </c>
      <c r="G747" t="s">
        <v>669</v>
      </c>
      <c r="H747" t="s">
        <v>38</v>
      </c>
      <c r="I747" t="s">
        <v>106</v>
      </c>
      <c r="J747" t="s">
        <v>40</v>
      </c>
      <c r="K747" t="s">
        <v>41</v>
      </c>
      <c r="L747" t="s">
        <v>670</v>
      </c>
      <c r="M747" t="s">
        <v>840</v>
      </c>
      <c r="N747" t="s">
        <v>671</v>
      </c>
      <c r="O747" t="s">
        <v>109</v>
      </c>
      <c r="R747" t="s">
        <v>2066</v>
      </c>
      <c r="S747" t="s">
        <v>1995</v>
      </c>
      <c r="V747" t="s">
        <v>1996</v>
      </c>
      <c r="W747" t="s">
        <v>1993</v>
      </c>
      <c r="AD747" t="s">
        <v>853</v>
      </c>
    </row>
    <row r="748" spans="1:30" x14ac:dyDescent="0.25">
      <c r="A748" t="s">
        <v>33</v>
      </c>
      <c r="D748" t="s">
        <v>1991</v>
      </c>
      <c r="E748" t="s">
        <v>1992</v>
      </c>
      <c r="F748" t="s">
        <v>87</v>
      </c>
      <c r="G748" t="s">
        <v>2067</v>
      </c>
      <c r="H748" t="s">
        <v>38</v>
      </c>
      <c r="I748" t="s">
        <v>106</v>
      </c>
      <c r="J748" t="s">
        <v>40</v>
      </c>
      <c r="K748" t="s">
        <v>41</v>
      </c>
      <c r="L748" t="s">
        <v>2068</v>
      </c>
      <c r="M748" t="s">
        <v>840</v>
      </c>
      <c r="N748" t="s">
        <v>2069</v>
      </c>
      <c r="O748" t="s">
        <v>109</v>
      </c>
      <c r="R748" t="s">
        <v>2070</v>
      </c>
      <c r="S748" t="s">
        <v>1995</v>
      </c>
      <c r="V748" t="s">
        <v>1996</v>
      </c>
      <c r="W748" t="s">
        <v>1993</v>
      </c>
      <c r="AD748" t="s">
        <v>2071</v>
      </c>
    </row>
    <row r="749" spans="1:30" x14ac:dyDescent="0.25">
      <c r="A749" t="s">
        <v>33</v>
      </c>
      <c r="D749" t="s">
        <v>1991</v>
      </c>
      <c r="E749" t="s">
        <v>1992</v>
      </c>
      <c r="F749" t="s">
        <v>87</v>
      </c>
      <c r="G749" t="s">
        <v>2067</v>
      </c>
      <c r="H749" t="s">
        <v>38</v>
      </c>
      <c r="I749" t="s">
        <v>25</v>
      </c>
      <c r="J749" t="s">
        <v>69</v>
      </c>
      <c r="K749" t="s">
        <v>41</v>
      </c>
      <c r="L749" t="s">
        <v>2068</v>
      </c>
      <c r="M749" t="s">
        <v>840</v>
      </c>
      <c r="N749" t="s">
        <v>2069</v>
      </c>
      <c r="O749" t="s">
        <v>512</v>
      </c>
      <c r="R749" t="s">
        <v>1245</v>
      </c>
      <c r="S749" t="s">
        <v>1995</v>
      </c>
      <c r="V749" t="s">
        <v>1996</v>
      </c>
      <c r="W749" t="s">
        <v>1993</v>
      </c>
      <c r="AD749" t="s">
        <v>2072</v>
      </c>
    </row>
    <row r="750" spans="1:30" x14ac:dyDescent="0.25">
      <c r="A750" t="s">
        <v>33</v>
      </c>
      <c r="D750" t="s">
        <v>1991</v>
      </c>
      <c r="E750" t="s">
        <v>1992</v>
      </c>
      <c r="F750" t="s">
        <v>87</v>
      </c>
      <c r="G750" t="s">
        <v>2067</v>
      </c>
      <c r="H750" t="s">
        <v>38</v>
      </c>
      <c r="I750" t="s">
        <v>24</v>
      </c>
      <c r="J750" t="s">
        <v>69</v>
      </c>
      <c r="K750" t="s">
        <v>41</v>
      </c>
      <c r="L750" t="s">
        <v>2068</v>
      </c>
      <c r="M750" t="s">
        <v>840</v>
      </c>
      <c r="N750" t="s">
        <v>2069</v>
      </c>
      <c r="O750" t="s">
        <v>509</v>
      </c>
      <c r="R750" t="s">
        <v>1247</v>
      </c>
      <c r="S750" t="s">
        <v>1995</v>
      </c>
      <c r="V750" t="s">
        <v>1996</v>
      </c>
      <c r="W750" t="s">
        <v>1993</v>
      </c>
      <c r="AD750" t="s">
        <v>2073</v>
      </c>
    </row>
    <row r="751" spans="1:30" x14ac:dyDescent="0.25">
      <c r="A751" t="s">
        <v>33</v>
      </c>
      <c r="D751" t="s">
        <v>1991</v>
      </c>
      <c r="E751" t="s">
        <v>1992</v>
      </c>
      <c r="F751" t="s">
        <v>87</v>
      </c>
      <c r="G751" t="s">
        <v>2074</v>
      </c>
      <c r="H751" t="s">
        <v>38</v>
      </c>
      <c r="I751" t="s">
        <v>106</v>
      </c>
      <c r="J751" t="s">
        <v>40</v>
      </c>
      <c r="K751" t="s">
        <v>41</v>
      </c>
      <c r="L751" t="s">
        <v>2075</v>
      </c>
      <c r="M751" t="s">
        <v>840</v>
      </c>
      <c r="N751" t="s">
        <v>2076</v>
      </c>
      <c r="O751" t="s">
        <v>109</v>
      </c>
      <c r="R751" t="s">
        <v>2077</v>
      </c>
      <c r="S751" t="s">
        <v>1995</v>
      </c>
      <c r="V751" t="s">
        <v>1996</v>
      </c>
      <c r="W751" t="s">
        <v>1993</v>
      </c>
      <c r="AD751" t="s">
        <v>2078</v>
      </c>
    </row>
    <row r="752" spans="1:30" x14ac:dyDescent="0.25">
      <c r="A752" t="s">
        <v>33</v>
      </c>
      <c r="D752" t="s">
        <v>1991</v>
      </c>
      <c r="E752" t="s">
        <v>1992</v>
      </c>
      <c r="F752" t="s">
        <v>87</v>
      </c>
      <c r="G752" t="s">
        <v>2074</v>
      </c>
      <c r="H752" t="s">
        <v>38</v>
      </c>
      <c r="I752" t="s">
        <v>25</v>
      </c>
      <c r="J752" t="s">
        <v>69</v>
      </c>
      <c r="K752" t="s">
        <v>41</v>
      </c>
      <c r="L752" t="s">
        <v>2075</v>
      </c>
      <c r="M752" t="s">
        <v>840</v>
      </c>
      <c r="N752" t="s">
        <v>2076</v>
      </c>
      <c r="O752" t="s">
        <v>512</v>
      </c>
      <c r="R752" t="s">
        <v>1219</v>
      </c>
      <c r="S752" t="s">
        <v>1995</v>
      </c>
      <c r="V752" t="s">
        <v>1996</v>
      </c>
      <c r="W752" t="s">
        <v>1993</v>
      </c>
      <c r="AD752" t="s">
        <v>2079</v>
      </c>
    </row>
    <row r="753" spans="1:30" x14ac:dyDescent="0.25">
      <c r="A753" t="s">
        <v>33</v>
      </c>
      <c r="D753" t="s">
        <v>1991</v>
      </c>
      <c r="E753" t="s">
        <v>1992</v>
      </c>
      <c r="F753" t="s">
        <v>87</v>
      </c>
      <c r="G753" t="s">
        <v>2074</v>
      </c>
      <c r="H753" t="s">
        <v>38</v>
      </c>
      <c r="I753" t="s">
        <v>24</v>
      </c>
      <c r="J753" t="s">
        <v>69</v>
      </c>
      <c r="K753" t="s">
        <v>41</v>
      </c>
      <c r="L753" t="s">
        <v>2075</v>
      </c>
      <c r="M753" t="s">
        <v>840</v>
      </c>
      <c r="N753" t="s">
        <v>2076</v>
      </c>
      <c r="O753" t="s">
        <v>509</v>
      </c>
      <c r="R753" t="s">
        <v>1221</v>
      </c>
      <c r="S753" t="s">
        <v>1995</v>
      </c>
      <c r="V753" t="s">
        <v>1996</v>
      </c>
      <c r="W753" t="s">
        <v>1993</v>
      </c>
      <c r="AD753" t="s">
        <v>2080</v>
      </c>
    </row>
    <row r="754" spans="1:30" x14ac:dyDescent="0.25">
      <c r="A754" t="s">
        <v>33</v>
      </c>
      <c r="D754" t="s">
        <v>1991</v>
      </c>
      <c r="E754" t="s">
        <v>1992</v>
      </c>
      <c r="F754" t="s">
        <v>87</v>
      </c>
      <c r="G754" t="s">
        <v>669</v>
      </c>
      <c r="H754" t="s">
        <v>153</v>
      </c>
      <c r="I754" t="s">
        <v>180</v>
      </c>
      <c r="J754" t="s">
        <v>154</v>
      </c>
      <c r="K754" t="s">
        <v>155</v>
      </c>
      <c r="L754" t="s">
        <v>670</v>
      </c>
      <c r="N754" t="s">
        <v>671</v>
      </c>
      <c r="O754" t="s">
        <v>187</v>
      </c>
      <c r="R754" t="s">
        <v>967</v>
      </c>
      <c r="S754" t="s">
        <v>1995</v>
      </c>
      <c r="V754" t="s">
        <v>1996</v>
      </c>
      <c r="W754" t="s">
        <v>1993</v>
      </c>
      <c r="AD754" t="s">
        <v>2081</v>
      </c>
    </row>
    <row r="755" spans="1:30" x14ac:dyDescent="0.25">
      <c r="A755" t="s">
        <v>33</v>
      </c>
      <c r="D755" t="s">
        <v>1991</v>
      </c>
      <c r="E755" t="s">
        <v>1992</v>
      </c>
      <c r="F755" t="s">
        <v>854</v>
      </c>
      <c r="G755" t="s">
        <v>855</v>
      </c>
      <c r="H755" t="s">
        <v>166</v>
      </c>
      <c r="I755" t="s">
        <v>281</v>
      </c>
      <c r="J755" t="s">
        <v>167</v>
      </c>
      <c r="K755" t="s">
        <v>41</v>
      </c>
      <c r="L755" t="s">
        <v>856</v>
      </c>
      <c r="N755" t="s">
        <v>2056</v>
      </c>
      <c r="O755" t="s">
        <v>858</v>
      </c>
      <c r="Q755" t="s">
        <v>859</v>
      </c>
      <c r="R755" t="s">
        <v>860</v>
      </c>
      <c r="S755" t="s">
        <v>1995</v>
      </c>
      <c r="V755" t="s">
        <v>1996</v>
      </c>
      <c r="W755" t="s">
        <v>1993</v>
      </c>
      <c r="AD755" t="s">
        <v>2082</v>
      </c>
    </row>
    <row r="756" spans="1:30" x14ac:dyDescent="0.25">
      <c r="A756" t="s">
        <v>33</v>
      </c>
      <c r="D756" t="s">
        <v>1991</v>
      </c>
      <c r="E756" t="s">
        <v>1992</v>
      </c>
      <c r="F756" t="s">
        <v>854</v>
      </c>
      <c r="G756" t="s">
        <v>855</v>
      </c>
      <c r="H756" t="s">
        <v>166</v>
      </c>
      <c r="I756" t="s">
        <v>80</v>
      </c>
      <c r="J756" t="s">
        <v>167</v>
      </c>
      <c r="K756" t="s">
        <v>41</v>
      </c>
      <c r="L756" t="s">
        <v>856</v>
      </c>
      <c r="N756" t="s">
        <v>2056</v>
      </c>
      <c r="O756" t="s">
        <v>862</v>
      </c>
      <c r="Q756" t="s">
        <v>863</v>
      </c>
      <c r="R756" t="s">
        <v>864</v>
      </c>
      <c r="S756" t="s">
        <v>1995</v>
      </c>
      <c r="V756" t="s">
        <v>1996</v>
      </c>
      <c r="W756" t="s">
        <v>1993</v>
      </c>
      <c r="AD756" t="s">
        <v>2083</v>
      </c>
    </row>
    <row r="757" spans="1:30" x14ac:dyDescent="0.25">
      <c r="A757" t="s">
        <v>33</v>
      </c>
      <c r="D757" t="s">
        <v>1991</v>
      </c>
      <c r="E757" t="s">
        <v>1992</v>
      </c>
      <c r="F757" t="s">
        <v>866</v>
      </c>
      <c r="G757" t="s">
        <v>2084</v>
      </c>
      <c r="H757" t="s">
        <v>153</v>
      </c>
      <c r="I757" t="s">
        <v>598</v>
      </c>
      <c r="J757" t="s">
        <v>154</v>
      </c>
      <c r="K757" t="s">
        <v>155</v>
      </c>
      <c r="L757" t="s">
        <v>2085</v>
      </c>
      <c r="N757" t="s">
        <v>971</v>
      </c>
      <c r="O757" t="s">
        <v>599</v>
      </c>
      <c r="R757" t="s">
        <v>972</v>
      </c>
      <c r="S757" t="s">
        <v>1995</v>
      </c>
      <c r="V757" t="s">
        <v>1996</v>
      </c>
      <c r="W757" t="s">
        <v>1993</v>
      </c>
      <c r="AD757" t="s">
        <v>973</v>
      </c>
    </row>
    <row r="758" spans="1:30" x14ac:dyDescent="0.25">
      <c r="A758" t="s">
        <v>33</v>
      </c>
      <c r="D758" t="s">
        <v>1991</v>
      </c>
      <c r="E758" t="s">
        <v>1992</v>
      </c>
      <c r="F758" t="s">
        <v>854</v>
      </c>
      <c r="G758" t="s">
        <v>855</v>
      </c>
      <c r="H758" t="s">
        <v>166</v>
      </c>
      <c r="I758" t="s">
        <v>216</v>
      </c>
      <c r="J758" t="s">
        <v>167</v>
      </c>
      <c r="K758" t="s">
        <v>41</v>
      </c>
      <c r="L758" t="s">
        <v>856</v>
      </c>
      <c r="N758" t="s">
        <v>2056</v>
      </c>
      <c r="O758" t="s">
        <v>872</v>
      </c>
      <c r="Q758" t="s">
        <v>873</v>
      </c>
      <c r="R758" t="s">
        <v>874</v>
      </c>
      <c r="S758" t="s">
        <v>1995</v>
      </c>
      <c r="V758" t="s">
        <v>1996</v>
      </c>
      <c r="W758" t="s">
        <v>1993</v>
      </c>
      <c r="AD758" t="s">
        <v>2086</v>
      </c>
    </row>
    <row r="759" spans="1:30" x14ac:dyDescent="0.25">
      <c r="A759" t="s">
        <v>33</v>
      </c>
      <c r="D759" t="s">
        <v>1991</v>
      </c>
      <c r="E759" t="s">
        <v>1992</v>
      </c>
      <c r="F759" t="s">
        <v>854</v>
      </c>
      <c r="G759" t="s">
        <v>855</v>
      </c>
      <c r="H759" t="s">
        <v>143</v>
      </c>
      <c r="I759" t="s">
        <v>2087</v>
      </c>
      <c r="J759" t="s">
        <v>145</v>
      </c>
      <c r="K759" t="s">
        <v>146</v>
      </c>
      <c r="L759" t="s">
        <v>856</v>
      </c>
      <c r="M759" t="s">
        <v>493</v>
      </c>
      <c r="N759" t="s">
        <v>2056</v>
      </c>
      <c r="O759" t="s">
        <v>2088</v>
      </c>
      <c r="R759" t="s">
        <v>2089</v>
      </c>
      <c r="S759" t="s">
        <v>1995</v>
      </c>
      <c r="V759" t="s">
        <v>1996</v>
      </c>
      <c r="W759" t="s">
        <v>1993</v>
      </c>
      <c r="AD759" t="s">
        <v>2090</v>
      </c>
    </row>
    <row r="760" spans="1:30" x14ac:dyDescent="0.25">
      <c r="A760" t="s">
        <v>33</v>
      </c>
      <c r="D760" t="s">
        <v>1991</v>
      </c>
      <c r="E760" t="s">
        <v>1992</v>
      </c>
      <c r="F760" t="s">
        <v>854</v>
      </c>
      <c r="G760" t="s">
        <v>855</v>
      </c>
      <c r="H760" t="s">
        <v>143</v>
      </c>
      <c r="I760" t="s">
        <v>1147</v>
      </c>
      <c r="J760" t="s">
        <v>145</v>
      </c>
      <c r="K760" t="s">
        <v>146</v>
      </c>
      <c r="L760" t="s">
        <v>856</v>
      </c>
      <c r="M760" t="s">
        <v>493</v>
      </c>
      <c r="N760" t="s">
        <v>2056</v>
      </c>
      <c r="O760" t="s">
        <v>2091</v>
      </c>
      <c r="R760" t="s">
        <v>2092</v>
      </c>
      <c r="S760" t="s">
        <v>1995</v>
      </c>
      <c r="V760" t="s">
        <v>1996</v>
      </c>
      <c r="W760" t="s">
        <v>1993</v>
      </c>
      <c r="AD760" t="s">
        <v>2093</v>
      </c>
    </row>
    <row r="761" spans="1:30" x14ac:dyDescent="0.25">
      <c r="A761" t="s">
        <v>33</v>
      </c>
      <c r="D761" t="s">
        <v>1991</v>
      </c>
      <c r="E761" t="s">
        <v>1992</v>
      </c>
      <c r="F761" t="s">
        <v>854</v>
      </c>
      <c r="G761" t="s">
        <v>876</v>
      </c>
      <c r="H761" t="s">
        <v>166</v>
      </c>
      <c r="I761" t="s">
        <v>281</v>
      </c>
      <c r="J761" t="s">
        <v>167</v>
      </c>
      <c r="K761" t="s">
        <v>41</v>
      </c>
      <c r="L761" t="s">
        <v>877</v>
      </c>
      <c r="N761" t="s">
        <v>2061</v>
      </c>
      <c r="O761" t="s">
        <v>858</v>
      </c>
      <c r="Q761" t="s">
        <v>859</v>
      </c>
      <c r="R761" t="s">
        <v>879</v>
      </c>
      <c r="S761" t="s">
        <v>1995</v>
      </c>
      <c r="V761" t="s">
        <v>1996</v>
      </c>
      <c r="W761" t="s">
        <v>1993</v>
      </c>
      <c r="AD761" t="s">
        <v>2094</v>
      </c>
    </row>
    <row r="762" spans="1:30" x14ac:dyDescent="0.25">
      <c r="A762" t="s">
        <v>33</v>
      </c>
      <c r="D762" t="s">
        <v>1991</v>
      </c>
      <c r="E762" t="s">
        <v>1992</v>
      </c>
      <c r="F762" t="s">
        <v>854</v>
      </c>
      <c r="G762" t="s">
        <v>876</v>
      </c>
      <c r="H762" t="s">
        <v>166</v>
      </c>
      <c r="I762" t="s">
        <v>80</v>
      </c>
      <c r="J762" t="s">
        <v>167</v>
      </c>
      <c r="K762" t="s">
        <v>41</v>
      </c>
      <c r="L762" t="s">
        <v>877</v>
      </c>
      <c r="N762" t="s">
        <v>2061</v>
      </c>
      <c r="O762" t="s">
        <v>862</v>
      </c>
      <c r="Q762" t="s">
        <v>863</v>
      </c>
      <c r="R762" t="s">
        <v>881</v>
      </c>
      <c r="S762" t="s">
        <v>1995</v>
      </c>
      <c r="V762" t="s">
        <v>1996</v>
      </c>
      <c r="W762" t="s">
        <v>1993</v>
      </c>
      <c r="AD762" t="s">
        <v>2095</v>
      </c>
    </row>
    <row r="763" spans="1:30" x14ac:dyDescent="0.25">
      <c r="A763" t="s">
        <v>33</v>
      </c>
      <c r="D763" t="s">
        <v>1991</v>
      </c>
      <c r="E763" t="s">
        <v>1992</v>
      </c>
      <c r="F763" t="s">
        <v>866</v>
      </c>
      <c r="G763" t="s">
        <v>2096</v>
      </c>
      <c r="H763" t="s">
        <v>153</v>
      </c>
      <c r="I763" t="s">
        <v>598</v>
      </c>
      <c r="J763" t="s">
        <v>154</v>
      </c>
      <c r="K763" t="s">
        <v>155</v>
      </c>
      <c r="L763" t="s">
        <v>2097</v>
      </c>
      <c r="N763" t="s">
        <v>971</v>
      </c>
      <c r="O763" t="s">
        <v>599</v>
      </c>
      <c r="R763" t="s">
        <v>982</v>
      </c>
      <c r="S763" t="s">
        <v>1995</v>
      </c>
      <c r="V763" t="s">
        <v>1996</v>
      </c>
      <c r="W763" t="s">
        <v>1993</v>
      </c>
      <c r="AD763" t="s">
        <v>973</v>
      </c>
    </row>
    <row r="764" spans="1:30" x14ac:dyDescent="0.25">
      <c r="A764" t="s">
        <v>33</v>
      </c>
      <c r="D764" t="s">
        <v>1991</v>
      </c>
      <c r="E764" t="s">
        <v>1992</v>
      </c>
      <c r="F764" t="s">
        <v>854</v>
      </c>
      <c r="G764" t="s">
        <v>876</v>
      </c>
      <c r="H764" t="s">
        <v>166</v>
      </c>
      <c r="I764" t="s">
        <v>216</v>
      </c>
      <c r="J764" t="s">
        <v>167</v>
      </c>
      <c r="K764" t="s">
        <v>41</v>
      </c>
      <c r="L764" t="s">
        <v>877</v>
      </c>
      <c r="N764" t="s">
        <v>2061</v>
      </c>
      <c r="O764" t="s">
        <v>872</v>
      </c>
      <c r="Q764" t="s">
        <v>873</v>
      </c>
      <c r="R764" t="s">
        <v>885</v>
      </c>
      <c r="S764" t="s">
        <v>1995</v>
      </c>
      <c r="V764" t="s">
        <v>1996</v>
      </c>
      <c r="W764" t="s">
        <v>1993</v>
      </c>
      <c r="AD764" t="s">
        <v>2098</v>
      </c>
    </row>
    <row r="765" spans="1:30" x14ac:dyDescent="0.25">
      <c r="A765" t="s">
        <v>33</v>
      </c>
      <c r="D765" t="s">
        <v>1991</v>
      </c>
      <c r="E765" t="s">
        <v>1992</v>
      </c>
      <c r="F765" t="s">
        <v>1867</v>
      </c>
      <c r="G765" t="s">
        <v>2099</v>
      </c>
      <c r="H765" t="s">
        <v>166</v>
      </c>
      <c r="I765" t="s">
        <v>1869</v>
      </c>
      <c r="J765" t="s">
        <v>167</v>
      </c>
      <c r="K765" t="s">
        <v>41</v>
      </c>
      <c r="L765" t="s">
        <v>2100</v>
      </c>
      <c r="N765" t="s">
        <v>2101</v>
      </c>
      <c r="O765" t="s">
        <v>1872</v>
      </c>
      <c r="Q765" t="s">
        <v>863</v>
      </c>
      <c r="R765" t="s">
        <v>2102</v>
      </c>
      <c r="S765" t="s">
        <v>1995</v>
      </c>
      <c r="U765" t="s">
        <v>2103</v>
      </c>
      <c r="V765" t="s">
        <v>1996</v>
      </c>
      <c r="W765" t="s">
        <v>1993</v>
      </c>
      <c r="AD765" t="s">
        <v>2104</v>
      </c>
    </row>
    <row r="766" spans="1:30" x14ac:dyDescent="0.25">
      <c r="A766" t="s">
        <v>33</v>
      </c>
      <c r="D766" t="s">
        <v>1991</v>
      </c>
      <c r="E766" t="s">
        <v>1992</v>
      </c>
      <c r="F766" t="s">
        <v>36</v>
      </c>
      <c r="G766" t="s">
        <v>2105</v>
      </c>
      <c r="H766" t="s">
        <v>38</v>
      </c>
      <c r="I766" t="s">
        <v>74</v>
      </c>
      <c r="J766" t="s">
        <v>69</v>
      </c>
      <c r="K766" t="s">
        <v>41</v>
      </c>
      <c r="L766" t="s">
        <v>2106</v>
      </c>
      <c r="M766" t="s">
        <v>889</v>
      </c>
      <c r="N766" t="s">
        <v>890</v>
      </c>
      <c r="O766" t="s">
        <v>75</v>
      </c>
      <c r="R766" t="s">
        <v>2107</v>
      </c>
      <c r="S766" t="s">
        <v>1995</v>
      </c>
      <c r="V766" t="s">
        <v>1996</v>
      </c>
      <c r="W766" t="s">
        <v>1993</v>
      </c>
      <c r="X766" t="s">
        <v>892</v>
      </c>
      <c r="AD766" t="s">
        <v>893</v>
      </c>
    </row>
    <row r="767" spans="1:30" x14ac:dyDescent="0.25">
      <c r="A767" t="s">
        <v>33</v>
      </c>
      <c r="D767" t="s">
        <v>1991</v>
      </c>
      <c r="E767" t="s">
        <v>1992</v>
      </c>
      <c r="F767" t="s">
        <v>36</v>
      </c>
      <c r="G767" t="s">
        <v>2105</v>
      </c>
      <c r="H767" t="s">
        <v>38</v>
      </c>
      <c r="I767" t="s">
        <v>68</v>
      </c>
      <c r="J767" t="s">
        <v>69</v>
      </c>
      <c r="K767" t="s">
        <v>41</v>
      </c>
      <c r="L767" t="s">
        <v>2106</v>
      </c>
      <c r="M767" t="s">
        <v>889</v>
      </c>
      <c r="N767" t="s">
        <v>890</v>
      </c>
      <c r="O767" t="s">
        <v>71</v>
      </c>
      <c r="R767" t="s">
        <v>2108</v>
      </c>
      <c r="S767" t="s">
        <v>1995</v>
      </c>
      <c r="V767" t="s">
        <v>1996</v>
      </c>
      <c r="W767" t="s">
        <v>1993</v>
      </c>
      <c r="X767" t="s">
        <v>892</v>
      </c>
      <c r="AD767" t="s">
        <v>895</v>
      </c>
    </row>
    <row r="768" spans="1:30" x14ac:dyDescent="0.25">
      <c r="A768" t="s">
        <v>33</v>
      </c>
      <c r="D768" t="s">
        <v>1991</v>
      </c>
      <c r="E768" t="s">
        <v>1992</v>
      </c>
      <c r="F768" t="s">
        <v>36</v>
      </c>
      <c r="G768" t="s">
        <v>2105</v>
      </c>
      <c r="H768" t="s">
        <v>38</v>
      </c>
      <c r="I768" t="s">
        <v>52</v>
      </c>
      <c r="J768" t="s">
        <v>40</v>
      </c>
      <c r="K768" t="s">
        <v>41</v>
      </c>
      <c r="L768" t="s">
        <v>2106</v>
      </c>
      <c r="M768" t="s">
        <v>53</v>
      </c>
      <c r="N768" t="s">
        <v>890</v>
      </c>
      <c r="O768" t="s">
        <v>54</v>
      </c>
      <c r="R768" t="s">
        <v>896</v>
      </c>
      <c r="S768" t="s">
        <v>1995</v>
      </c>
      <c r="V768" t="s">
        <v>1996</v>
      </c>
      <c r="W768" t="s">
        <v>1993</v>
      </c>
      <c r="X768" t="s">
        <v>56</v>
      </c>
      <c r="AD768" t="s">
        <v>897</v>
      </c>
    </row>
    <row r="769" spans="1:30" x14ac:dyDescent="0.25">
      <c r="A769" t="s">
        <v>33</v>
      </c>
      <c r="D769" t="s">
        <v>1991</v>
      </c>
      <c r="E769" t="s">
        <v>1992</v>
      </c>
      <c r="F769" t="s">
        <v>36</v>
      </c>
      <c r="G769" t="s">
        <v>2105</v>
      </c>
      <c r="H769" t="s">
        <v>38</v>
      </c>
      <c r="I769" t="s">
        <v>39</v>
      </c>
      <c r="J769" t="s">
        <v>40</v>
      </c>
      <c r="K769" t="s">
        <v>41</v>
      </c>
      <c r="L769" t="s">
        <v>2106</v>
      </c>
      <c r="M769" t="s">
        <v>43</v>
      </c>
      <c r="N769" t="s">
        <v>890</v>
      </c>
      <c r="O769" t="s">
        <v>45</v>
      </c>
      <c r="R769" t="s">
        <v>898</v>
      </c>
      <c r="S769" t="s">
        <v>1995</v>
      </c>
      <c r="V769" t="s">
        <v>1996</v>
      </c>
      <c r="W769" t="s">
        <v>1993</v>
      </c>
      <c r="AD769" t="s">
        <v>899</v>
      </c>
    </row>
    <row r="770" spans="1:30" x14ac:dyDescent="0.25">
      <c r="A770" t="s">
        <v>33</v>
      </c>
      <c r="D770" t="s">
        <v>1991</v>
      </c>
      <c r="E770" t="s">
        <v>1992</v>
      </c>
      <c r="F770" t="s">
        <v>36</v>
      </c>
      <c r="G770" t="s">
        <v>2105</v>
      </c>
      <c r="H770" t="s">
        <v>38</v>
      </c>
      <c r="I770" t="s">
        <v>63</v>
      </c>
      <c r="J770" t="s">
        <v>40</v>
      </c>
      <c r="K770" t="s">
        <v>41</v>
      </c>
      <c r="L770" t="s">
        <v>2106</v>
      </c>
      <c r="M770" t="s">
        <v>2109</v>
      </c>
      <c r="N770" t="s">
        <v>890</v>
      </c>
      <c r="O770" t="s">
        <v>65</v>
      </c>
      <c r="R770" t="s">
        <v>900</v>
      </c>
      <c r="S770" t="s">
        <v>1995</v>
      </c>
      <c r="V770" t="s">
        <v>1996</v>
      </c>
      <c r="W770" t="s">
        <v>1993</v>
      </c>
      <c r="X770" t="s">
        <v>892</v>
      </c>
      <c r="AD770" t="s">
        <v>901</v>
      </c>
    </row>
    <row r="771" spans="1:30" x14ac:dyDescent="0.25">
      <c r="A771" t="s">
        <v>33</v>
      </c>
      <c r="D771" t="s">
        <v>1991</v>
      </c>
      <c r="E771" t="s">
        <v>1992</v>
      </c>
      <c r="F771" t="s">
        <v>36</v>
      </c>
      <c r="G771" t="s">
        <v>2105</v>
      </c>
      <c r="H771" t="s">
        <v>38</v>
      </c>
      <c r="I771" t="s">
        <v>58</v>
      </c>
      <c r="J771" t="s">
        <v>40</v>
      </c>
      <c r="K771" t="s">
        <v>41</v>
      </c>
      <c r="L771" t="s">
        <v>2106</v>
      </c>
      <c r="M771" t="s">
        <v>59</v>
      </c>
      <c r="N771" t="s">
        <v>890</v>
      </c>
      <c r="O771" t="s">
        <v>60</v>
      </c>
      <c r="R771" t="s">
        <v>902</v>
      </c>
      <c r="S771" t="s">
        <v>1995</v>
      </c>
      <c r="V771" t="s">
        <v>1996</v>
      </c>
      <c r="W771" t="s">
        <v>1993</v>
      </c>
      <c r="AD771" t="s">
        <v>903</v>
      </c>
    </row>
    <row r="772" spans="1:30" x14ac:dyDescent="0.25">
      <c r="A772" t="s">
        <v>33</v>
      </c>
      <c r="D772" t="s">
        <v>1991</v>
      </c>
      <c r="E772" t="s">
        <v>1992</v>
      </c>
      <c r="F772" t="s">
        <v>78</v>
      </c>
      <c r="G772" t="s">
        <v>2110</v>
      </c>
      <c r="H772" t="s">
        <v>280</v>
      </c>
      <c r="I772" t="s">
        <v>281</v>
      </c>
      <c r="J772" t="s">
        <v>282</v>
      </c>
      <c r="K772" t="s">
        <v>283</v>
      </c>
      <c r="L772" t="s">
        <v>2111</v>
      </c>
      <c r="N772" t="s">
        <v>2112</v>
      </c>
      <c r="O772" t="s">
        <v>284</v>
      </c>
      <c r="Q772" t="s">
        <v>285</v>
      </c>
      <c r="R772" t="s">
        <v>2113</v>
      </c>
      <c r="S772" t="s">
        <v>1995</v>
      </c>
      <c r="V772" t="s">
        <v>1996</v>
      </c>
      <c r="W772" t="s">
        <v>1993</v>
      </c>
      <c r="AD772" t="s">
        <v>2114</v>
      </c>
    </row>
    <row r="773" spans="1:30" x14ac:dyDescent="0.25">
      <c r="A773" t="s">
        <v>33</v>
      </c>
      <c r="D773" t="s">
        <v>1991</v>
      </c>
      <c r="E773" t="s">
        <v>1992</v>
      </c>
      <c r="F773" t="s">
        <v>78</v>
      </c>
      <c r="G773" t="s">
        <v>2110</v>
      </c>
      <c r="H773" t="s">
        <v>38</v>
      </c>
      <c r="I773" t="s">
        <v>257</v>
      </c>
      <c r="J773" t="s">
        <v>40</v>
      </c>
      <c r="K773" t="s">
        <v>41</v>
      </c>
      <c r="L773" t="s">
        <v>2111</v>
      </c>
      <c r="M773" t="s">
        <v>82</v>
      </c>
      <c r="N773" t="s">
        <v>2112</v>
      </c>
      <c r="O773" t="s">
        <v>258</v>
      </c>
      <c r="R773" t="s">
        <v>2115</v>
      </c>
      <c r="S773" t="s">
        <v>1995</v>
      </c>
      <c r="V773" t="s">
        <v>1996</v>
      </c>
      <c r="W773" t="s">
        <v>1993</v>
      </c>
      <c r="AD773" t="s">
        <v>2116</v>
      </c>
    </row>
    <row r="774" spans="1:30" x14ac:dyDescent="0.25">
      <c r="A774" t="s">
        <v>33</v>
      </c>
      <c r="D774" t="s">
        <v>1991</v>
      </c>
      <c r="E774" t="s">
        <v>1992</v>
      </c>
      <c r="F774" t="s">
        <v>78</v>
      </c>
      <c r="G774" t="s">
        <v>2110</v>
      </c>
      <c r="H774" t="s">
        <v>143</v>
      </c>
      <c r="I774" t="s">
        <v>276</v>
      </c>
      <c r="J774" t="s">
        <v>145</v>
      </c>
      <c r="K774" t="s">
        <v>146</v>
      </c>
      <c r="L774" t="s">
        <v>2111</v>
      </c>
      <c r="N774" t="s">
        <v>2112</v>
      </c>
      <c r="O774" t="s">
        <v>277</v>
      </c>
      <c r="R774" t="s">
        <v>2117</v>
      </c>
      <c r="S774" t="s">
        <v>1995</v>
      </c>
      <c r="V774" t="s">
        <v>1996</v>
      </c>
      <c r="W774" t="s">
        <v>1993</v>
      </c>
      <c r="X774" t="s">
        <v>270</v>
      </c>
      <c r="AD774" t="s">
        <v>2118</v>
      </c>
    </row>
    <row r="775" spans="1:30" x14ac:dyDescent="0.25">
      <c r="A775" t="s">
        <v>33</v>
      </c>
      <c r="D775" t="s">
        <v>1991</v>
      </c>
      <c r="E775" t="s">
        <v>1992</v>
      </c>
      <c r="F775" t="s">
        <v>78</v>
      </c>
      <c r="G775" t="s">
        <v>2110</v>
      </c>
      <c r="H775" t="s">
        <v>143</v>
      </c>
      <c r="I775" t="s">
        <v>272</v>
      </c>
      <c r="J775" t="s">
        <v>145</v>
      </c>
      <c r="K775" t="s">
        <v>146</v>
      </c>
      <c r="L775" t="s">
        <v>2111</v>
      </c>
      <c r="N775" t="s">
        <v>2112</v>
      </c>
      <c r="O775" t="s">
        <v>273</v>
      </c>
      <c r="R775" t="s">
        <v>2119</v>
      </c>
      <c r="S775" t="s">
        <v>1995</v>
      </c>
      <c r="V775" t="s">
        <v>1996</v>
      </c>
      <c r="W775" t="s">
        <v>1993</v>
      </c>
      <c r="X775" t="s">
        <v>270</v>
      </c>
      <c r="AD775" t="s">
        <v>2120</v>
      </c>
    </row>
    <row r="776" spans="1:30" x14ac:dyDescent="0.25">
      <c r="A776" t="s">
        <v>33</v>
      </c>
      <c r="D776" t="s">
        <v>1991</v>
      </c>
      <c r="E776" t="s">
        <v>1992</v>
      </c>
      <c r="F776" t="s">
        <v>78</v>
      </c>
      <c r="G776" t="s">
        <v>2110</v>
      </c>
      <c r="H776" t="s">
        <v>143</v>
      </c>
      <c r="I776" t="s">
        <v>257</v>
      </c>
      <c r="J776" t="s">
        <v>145</v>
      </c>
      <c r="K776" t="s">
        <v>146</v>
      </c>
      <c r="L776" t="s">
        <v>2111</v>
      </c>
      <c r="M776" t="s">
        <v>82</v>
      </c>
      <c r="N776" t="s">
        <v>2112</v>
      </c>
      <c r="O776" t="s">
        <v>292</v>
      </c>
      <c r="R776" t="s">
        <v>2121</v>
      </c>
      <c r="S776" t="s">
        <v>1995</v>
      </c>
      <c r="V776" t="s">
        <v>1996</v>
      </c>
      <c r="W776" t="s">
        <v>1993</v>
      </c>
      <c r="AD776" t="s">
        <v>2122</v>
      </c>
    </row>
    <row r="777" spans="1:30" x14ac:dyDescent="0.25">
      <c r="A777" t="s">
        <v>33</v>
      </c>
      <c r="D777" t="s">
        <v>1991</v>
      </c>
      <c r="E777" t="s">
        <v>1992</v>
      </c>
      <c r="F777" t="s">
        <v>78</v>
      </c>
      <c r="G777" t="s">
        <v>2110</v>
      </c>
      <c r="H777" t="s">
        <v>143</v>
      </c>
      <c r="I777" t="s">
        <v>295</v>
      </c>
      <c r="J777" t="s">
        <v>145</v>
      </c>
      <c r="K777" t="s">
        <v>146</v>
      </c>
      <c r="L777" t="s">
        <v>2111</v>
      </c>
      <c r="M777" t="s">
        <v>82</v>
      </c>
      <c r="N777" t="s">
        <v>2112</v>
      </c>
      <c r="O777" t="s">
        <v>296</v>
      </c>
      <c r="R777" t="s">
        <v>2123</v>
      </c>
      <c r="S777" t="s">
        <v>1995</v>
      </c>
      <c r="V777" t="s">
        <v>1996</v>
      </c>
      <c r="W777" t="s">
        <v>1993</v>
      </c>
      <c r="AD777" t="s">
        <v>2124</v>
      </c>
    </row>
    <row r="778" spans="1:30" x14ac:dyDescent="0.25">
      <c r="A778" t="s">
        <v>33</v>
      </c>
      <c r="D778" t="s">
        <v>1991</v>
      </c>
      <c r="E778" t="s">
        <v>1992</v>
      </c>
      <c r="F778" t="s">
        <v>78</v>
      </c>
      <c r="G778" t="s">
        <v>2110</v>
      </c>
      <c r="H778" t="s">
        <v>143</v>
      </c>
      <c r="I778" t="s">
        <v>299</v>
      </c>
      <c r="J778" t="s">
        <v>145</v>
      </c>
      <c r="K778" t="s">
        <v>146</v>
      </c>
      <c r="L778" t="s">
        <v>2111</v>
      </c>
      <c r="M778" t="s">
        <v>82</v>
      </c>
      <c r="N778" t="s">
        <v>2112</v>
      </c>
      <c r="O778" t="s">
        <v>300</v>
      </c>
      <c r="R778" t="s">
        <v>2125</v>
      </c>
      <c r="S778" t="s">
        <v>1995</v>
      </c>
      <c r="V778" t="s">
        <v>1996</v>
      </c>
      <c r="W778" t="s">
        <v>1993</v>
      </c>
      <c r="AD778" t="s">
        <v>2126</v>
      </c>
    </row>
    <row r="779" spans="1:30" x14ac:dyDescent="0.25">
      <c r="A779" t="s">
        <v>33</v>
      </c>
      <c r="D779" t="s">
        <v>1991</v>
      </c>
      <c r="E779" t="s">
        <v>1992</v>
      </c>
      <c r="F779" t="s">
        <v>78</v>
      </c>
      <c r="G779" t="s">
        <v>2110</v>
      </c>
      <c r="H779" t="s">
        <v>38</v>
      </c>
      <c r="I779" t="s">
        <v>250</v>
      </c>
      <c r="J779" t="s">
        <v>40</v>
      </c>
      <c r="K779" t="s">
        <v>41</v>
      </c>
      <c r="L779" t="s">
        <v>2111</v>
      </c>
      <c r="M779" t="s">
        <v>139</v>
      </c>
      <c r="N779" t="s">
        <v>2112</v>
      </c>
      <c r="O779" t="s">
        <v>254</v>
      </c>
      <c r="R779" t="s">
        <v>2127</v>
      </c>
      <c r="S779" t="s">
        <v>1995</v>
      </c>
      <c r="V779" t="s">
        <v>1996</v>
      </c>
      <c r="W779" t="s">
        <v>1993</v>
      </c>
      <c r="X779" t="s">
        <v>56</v>
      </c>
      <c r="AD779" t="s">
        <v>2128</v>
      </c>
    </row>
    <row r="780" spans="1:30" x14ac:dyDescent="0.25">
      <c r="A780" t="s">
        <v>33</v>
      </c>
      <c r="D780" t="s">
        <v>1991</v>
      </c>
      <c r="E780" t="s">
        <v>1992</v>
      </c>
      <c r="F780" t="s">
        <v>78</v>
      </c>
      <c r="G780" t="s">
        <v>2110</v>
      </c>
      <c r="H780" t="s">
        <v>143</v>
      </c>
      <c r="I780" t="s">
        <v>267</v>
      </c>
      <c r="J780" t="s">
        <v>145</v>
      </c>
      <c r="K780" t="s">
        <v>146</v>
      </c>
      <c r="L780" t="s">
        <v>2111</v>
      </c>
      <c r="N780" t="s">
        <v>2112</v>
      </c>
      <c r="O780" t="s">
        <v>268</v>
      </c>
      <c r="R780" t="s">
        <v>2129</v>
      </c>
      <c r="S780" t="s">
        <v>1995</v>
      </c>
      <c r="V780" t="s">
        <v>1996</v>
      </c>
      <c r="W780" t="s">
        <v>1993</v>
      </c>
      <c r="X780" t="s">
        <v>270</v>
      </c>
      <c r="AD780" t="s">
        <v>2130</v>
      </c>
    </row>
    <row r="781" spans="1:30" x14ac:dyDescent="0.25">
      <c r="A781" t="s">
        <v>33</v>
      </c>
      <c r="D781" t="s">
        <v>1991</v>
      </c>
      <c r="E781" t="s">
        <v>1992</v>
      </c>
      <c r="F781" t="s">
        <v>78</v>
      </c>
      <c r="G781" t="s">
        <v>2110</v>
      </c>
      <c r="H781" t="s">
        <v>143</v>
      </c>
      <c r="I781" t="s">
        <v>261</v>
      </c>
      <c r="J781" t="s">
        <v>145</v>
      </c>
      <c r="K781" t="s">
        <v>262</v>
      </c>
      <c r="L781" t="s">
        <v>2111</v>
      </c>
      <c r="M781" t="s">
        <v>139</v>
      </c>
      <c r="N781" t="s">
        <v>2112</v>
      </c>
      <c r="O781" t="s">
        <v>263</v>
      </c>
      <c r="R781" t="s">
        <v>2131</v>
      </c>
      <c r="S781" t="s">
        <v>1995</v>
      </c>
      <c r="V781" t="s">
        <v>1996</v>
      </c>
      <c r="W781" t="s">
        <v>1993</v>
      </c>
      <c r="X781" t="s">
        <v>56</v>
      </c>
      <c r="AD781" t="s">
        <v>2132</v>
      </c>
    </row>
    <row r="782" spans="1:30" x14ac:dyDescent="0.25">
      <c r="A782" t="s">
        <v>33</v>
      </c>
      <c r="D782" t="s">
        <v>1991</v>
      </c>
      <c r="E782" t="s">
        <v>1992</v>
      </c>
      <c r="F782" t="s">
        <v>78</v>
      </c>
      <c r="G782" t="s">
        <v>2110</v>
      </c>
      <c r="H782" t="s">
        <v>143</v>
      </c>
      <c r="I782" t="s">
        <v>261</v>
      </c>
      <c r="J782" t="s">
        <v>145</v>
      </c>
      <c r="K782" t="s">
        <v>146</v>
      </c>
      <c r="L782" t="s">
        <v>2111</v>
      </c>
      <c r="M782" t="s">
        <v>139</v>
      </c>
      <c r="N782" t="s">
        <v>2112</v>
      </c>
      <c r="O782" t="s">
        <v>263</v>
      </c>
      <c r="R782" t="s">
        <v>2133</v>
      </c>
      <c r="S782" t="s">
        <v>1995</v>
      </c>
      <c r="V782" t="s">
        <v>1996</v>
      </c>
      <c r="W782" t="s">
        <v>1993</v>
      </c>
      <c r="X782" t="s">
        <v>56</v>
      </c>
      <c r="AD782" t="s">
        <v>2132</v>
      </c>
    </row>
    <row r="783" spans="1:30" x14ac:dyDescent="0.25">
      <c r="A783" t="s">
        <v>33</v>
      </c>
      <c r="D783" t="s">
        <v>1991</v>
      </c>
      <c r="E783" t="s">
        <v>1992</v>
      </c>
      <c r="F783" t="s">
        <v>866</v>
      </c>
      <c r="G783" t="s">
        <v>2084</v>
      </c>
      <c r="H783" t="s">
        <v>153</v>
      </c>
      <c r="I783" t="s">
        <v>997</v>
      </c>
      <c r="J783" t="s">
        <v>154</v>
      </c>
      <c r="K783" t="s">
        <v>155</v>
      </c>
      <c r="L783" t="s">
        <v>2085</v>
      </c>
      <c r="N783" t="s">
        <v>971</v>
      </c>
      <c r="O783" t="s">
        <v>998</v>
      </c>
      <c r="R783" t="s">
        <v>999</v>
      </c>
      <c r="S783" t="s">
        <v>1995</v>
      </c>
      <c r="V783" t="s">
        <v>1996</v>
      </c>
      <c r="W783" t="s">
        <v>1993</v>
      </c>
      <c r="AD783" t="s">
        <v>1000</v>
      </c>
    </row>
    <row r="784" spans="1:30" x14ac:dyDescent="0.25">
      <c r="A784" t="s">
        <v>33</v>
      </c>
      <c r="D784" t="s">
        <v>1991</v>
      </c>
      <c r="E784" t="s">
        <v>1992</v>
      </c>
      <c r="F784" t="s">
        <v>866</v>
      </c>
      <c r="G784" t="s">
        <v>2096</v>
      </c>
      <c r="H784" t="s">
        <v>153</v>
      </c>
      <c r="I784" t="s">
        <v>997</v>
      </c>
      <c r="J784" t="s">
        <v>154</v>
      </c>
      <c r="K784" t="s">
        <v>155</v>
      </c>
      <c r="L784" t="s">
        <v>2097</v>
      </c>
      <c r="N784" t="s">
        <v>971</v>
      </c>
      <c r="O784" t="s">
        <v>998</v>
      </c>
      <c r="R784" t="s">
        <v>1001</v>
      </c>
      <c r="S784" t="s">
        <v>1995</v>
      </c>
      <c r="V784" t="s">
        <v>1996</v>
      </c>
      <c r="W784" t="s">
        <v>1993</v>
      </c>
      <c r="AD784" t="s">
        <v>1000</v>
      </c>
    </row>
    <row r="785" spans="1:30" x14ac:dyDescent="0.25">
      <c r="A785" t="s">
        <v>33</v>
      </c>
      <c r="D785" t="s">
        <v>1991</v>
      </c>
      <c r="E785" t="s">
        <v>1992</v>
      </c>
      <c r="F785" t="s">
        <v>36</v>
      </c>
      <c r="G785" t="s">
        <v>37</v>
      </c>
      <c r="H785" t="s">
        <v>38</v>
      </c>
      <c r="I785" t="s">
        <v>74</v>
      </c>
      <c r="J785" t="s">
        <v>69</v>
      </c>
      <c r="K785" t="s">
        <v>41</v>
      </c>
      <c r="L785" t="s">
        <v>42</v>
      </c>
      <c r="M785" t="s">
        <v>960</v>
      </c>
      <c r="N785" t="s">
        <v>961</v>
      </c>
      <c r="O785" t="s">
        <v>75</v>
      </c>
      <c r="R785" t="s">
        <v>962</v>
      </c>
      <c r="S785" t="s">
        <v>1995</v>
      </c>
      <c r="V785" t="s">
        <v>1996</v>
      </c>
      <c r="W785" t="s">
        <v>1993</v>
      </c>
      <c r="X785" t="s">
        <v>963</v>
      </c>
      <c r="AD785" t="s">
        <v>964</v>
      </c>
    </row>
    <row r="786" spans="1:30" x14ac:dyDescent="0.25">
      <c r="A786" t="s">
        <v>33</v>
      </c>
      <c r="D786" t="s">
        <v>1991</v>
      </c>
      <c r="E786" t="s">
        <v>1992</v>
      </c>
      <c r="F786" t="s">
        <v>36</v>
      </c>
      <c r="G786" t="s">
        <v>37</v>
      </c>
      <c r="H786" t="s">
        <v>38</v>
      </c>
      <c r="I786" t="s">
        <v>68</v>
      </c>
      <c r="J786" t="s">
        <v>69</v>
      </c>
      <c r="K786" t="s">
        <v>41</v>
      </c>
      <c r="L786" t="s">
        <v>42</v>
      </c>
      <c r="M786" t="s">
        <v>960</v>
      </c>
      <c r="N786" t="s">
        <v>961</v>
      </c>
      <c r="O786" t="s">
        <v>71</v>
      </c>
      <c r="R786" t="s">
        <v>965</v>
      </c>
      <c r="S786" t="s">
        <v>1995</v>
      </c>
      <c r="V786" t="s">
        <v>1996</v>
      </c>
      <c r="W786" t="s">
        <v>1993</v>
      </c>
      <c r="X786" t="s">
        <v>963</v>
      </c>
      <c r="AD786" t="s">
        <v>966</v>
      </c>
    </row>
    <row r="787" spans="1:30" x14ac:dyDescent="0.25">
      <c r="A787" t="s">
        <v>33</v>
      </c>
      <c r="D787" t="s">
        <v>1991</v>
      </c>
      <c r="E787" t="s">
        <v>1992</v>
      </c>
      <c r="F787" t="s">
        <v>87</v>
      </c>
      <c r="G787" t="s">
        <v>2134</v>
      </c>
      <c r="H787" t="s">
        <v>153</v>
      </c>
      <c r="I787" t="s">
        <v>144</v>
      </c>
      <c r="J787" t="s">
        <v>154</v>
      </c>
      <c r="K787" t="s">
        <v>155</v>
      </c>
      <c r="L787" t="s">
        <v>2135</v>
      </c>
      <c r="N787" t="s">
        <v>2136</v>
      </c>
      <c r="O787" t="s">
        <v>213</v>
      </c>
      <c r="R787" t="s">
        <v>2137</v>
      </c>
      <c r="S787" t="s">
        <v>1995</v>
      </c>
      <c r="V787" t="s">
        <v>1996</v>
      </c>
      <c r="W787" t="s">
        <v>1993</v>
      </c>
      <c r="AD787" t="s">
        <v>2138</v>
      </c>
    </row>
    <row r="788" spans="1:30" x14ac:dyDescent="0.25">
      <c r="A788" t="s">
        <v>33</v>
      </c>
      <c r="D788" t="s">
        <v>1991</v>
      </c>
      <c r="E788" t="s">
        <v>1992</v>
      </c>
      <c r="F788" t="s">
        <v>87</v>
      </c>
      <c r="G788" t="s">
        <v>2139</v>
      </c>
      <c r="H788" t="s">
        <v>153</v>
      </c>
      <c r="I788" t="s">
        <v>180</v>
      </c>
      <c r="J788" t="s">
        <v>154</v>
      </c>
      <c r="K788" t="s">
        <v>155</v>
      </c>
      <c r="L788" t="s">
        <v>2140</v>
      </c>
      <c r="N788" t="s">
        <v>2141</v>
      </c>
      <c r="O788" t="s">
        <v>213</v>
      </c>
      <c r="R788" t="s">
        <v>2142</v>
      </c>
      <c r="S788" t="s">
        <v>1995</v>
      </c>
      <c r="V788" t="s">
        <v>1996</v>
      </c>
      <c r="W788" t="s">
        <v>1993</v>
      </c>
      <c r="AD788" t="s">
        <v>2143</v>
      </c>
    </row>
    <row r="789" spans="1:30" x14ac:dyDescent="0.25">
      <c r="A789" t="s">
        <v>33</v>
      </c>
      <c r="D789" t="s">
        <v>1991</v>
      </c>
      <c r="E789" t="s">
        <v>1992</v>
      </c>
      <c r="F789" t="s">
        <v>36</v>
      </c>
      <c r="G789" t="s">
        <v>37</v>
      </c>
      <c r="H789" t="s">
        <v>89</v>
      </c>
      <c r="I789" t="s">
        <v>716</v>
      </c>
      <c r="J789" t="s">
        <v>91</v>
      </c>
      <c r="K789" t="s">
        <v>92</v>
      </c>
      <c r="L789" t="s">
        <v>42</v>
      </c>
      <c r="M789" t="s">
        <v>94</v>
      </c>
      <c r="N789" t="s">
        <v>961</v>
      </c>
      <c r="O789" t="s">
        <v>974</v>
      </c>
      <c r="P789">
        <v>1E-3</v>
      </c>
      <c r="R789" t="s">
        <v>975</v>
      </c>
      <c r="S789" t="s">
        <v>1995</v>
      </c>
      <c r="V789" t="s">
        <v>1996</v>
      </c>
      <c r="W789" t="s">
        <v>1993</v>
      </c>
      <c r="AD789" t="s">
        <v>976</v>
      </c>
    </row>
    <row r="790" spans="1:30" x14ac:dyDescent="0.25">
      <c r="A790" t="s">
        <v>33</v>
      </c>
      <c r="D790" t="s">
        <v>1991</v>
      </c>
      <c r="E790" t="s">
        <v>1992</v>
      </c>
      <c r="F790" t="s">
        <v>36</v>
      </c>
      <c r="G790" t="s">
        <v>37</v>
      </c>
      <c r="H790" t="s">
        <v>143</v>
      </c>
      <c r="I790" t="s">
        <v>716</v>
      </c>
      <c r="J790" t="s">
        <v>145</v>
      </c>
      <c r="K790" t="s">
        <v>146</v>
      </c>
      <c r="L790" t="s">
        <v>42</v>
      </c>
      <c r="M790" t="s">
        <v>139</v>
      </c>
      <c r="N790" t="s">
        <v>961</v>
      </c>
      <c r="O790" t="s">
        <v>977</v>
      </c>
      <c r="R790" t="s">
        <v>978</v>
      </c>
      <c r="S790" t="s">
        <v>1995</v>
      </c>
      <c r="V790" t="s">
        <v>1996</v>
      </c>
      <c r="W790" t="s">
        <v>1993</v>
      </c>
      <c r="X790" t="s">
        <v>56</v>
      </c>
      <c r="AD790" t="s">
        <v>979</v>
      </c>
    </row>
    <row r="791" spans="1:30" x14ac:dyDescent="0.25">
      <c r="A791" t="s">
        <v>33</v>
      </c>
      <c r="D791" t="s">
        <v>1991</v>
      </c>
      <c r="E791" t="s">
        <v>1992</v>
      </c>
      <c r="F791" t="s">
        <v>87</v>
      </c>
      <c r="G791" t="s">
        <v>2144</v>
      </c>
      <c r="H791" t="s">
        <v>153</v>
      </c>
      <c r="I791" t="s">
        <v>180</v>
      </c>
      <c r="J791" t="s">
        <v>154</v>
      </c>
      <c r="K791" t="s">
        <v>155</v>
      </c>
      <c r="L791" t="s">
        <v>2145</v>
      </c>
      <c r="N791" t="s">
        <v>2146</v>
      </c>
      <c r="O791" t="s">
        <v>213</v>
      </c>
      <c r="R791" t="s">
        <v>2147</v>
      </c>
      <c r="S791" t="s">
        <v>1995</v>
      </c>
      <c r="V791" t="s">
        <v>1996</v>
      </c>
      <c r="W791" t="s">
        <v>1993</v>
      </c>
      <c r="AD791" t="s">
        <v>2148</v>
      </c>
    </row>
    <row r="792" spans="1:30" x14ac:dyDescent="0.25">
      <c r="A792" t="s">
        <v>33</v>
      </c>
      <c r="D792" t="s">
        <v>1991</v>
      </c>
      <c r="E792" t="s">
        <v>1992</v>
      </c>
      <c r="F792" t="s">
        <v>36</v>
      </c>
      <c r="G792" t="s">
        <v>37</v>
      </c>
      <c r="H792" t="s">
        <v>89</v>
      </c>
      <c r="I792" t="s">
        <v>721</v>
      </c>
      <c r="J792" t="s">
        <v>91</v>
      </c>
      <c r="K792" t="s">
        <v>92</v>
      </c>
      <c r="L792" t="s">
        <v>42</v>
      </c>
      <c r="M792" t="s">
        <v>94</v>
      </c>
      <c r="N792" t="s">
        <v>961</v>
      </c>
      <c r="O792" t="s">
        <v>983</v>
      </c>
      <c r="P792">
        <v>1E-3</v>
      </c>
      <c r="R792" t="s">
        <v>984</v>
      </c>
      <c r="S792" t="s">
        <v>1995</v>
      </c>
      <c r="V792" t="s">
        <v>1996</v>
      </c>
      <c r="W792" t="s">
        <v>1993</v>
      </c>
      <c r="AD792" t="s">
        <v>985</v>
      </c>
    </row>
    <row r="793" spans="1:30" x14ac:dyDescent="0.25">
      <c r="A793" t="s">
        <v>33</v>
      </c>
      <c r="D793" t="s">
        <v>1991</v>
      </c>
      <c r="E793" t="s">
        <v>1992</v>
      </c>
      <c r="F793" t="s">
        <v>36</v>
      </c>
      <c r="G793" t="s">
        <v>37</v>
      </c>
      <c r="H793" t="s">
        <v>143</v>
      </c>
      <c r="I793" t="s">
        <v>721</v>
      </c>
      <c r="J793" t="s">
        <v>145</v>
      </c>
      <c r="K793" t="s">
        <v>146</v>
      </c>
      <c r="L793" t="s">
        <v>42</v>
      </c>
      <c r="M793" t="s">
        <v>139</v>
      </c>
      <c r="N793" t="s">
        <v>961</v>
      </c>
      <c r="O793" t="s">
        <v>986</v>
      </c>
      <c r="R793" t="s">
        <v>978</v>
      </c>
      <c r="S793" t="s">
        <v>1995</v>
      </c>
      <c r="V793" t="s">
        <v>1996</v>
      </c>
      <c r="W793" t="s">
        <v>1993</v>
      </c>
      <c r="X793" t="s">
        <v>56</v>
      </c>
      <c r="AD793" t="s">
        <v>987</v>
      </c>
    </row>
    <row r="794" spans="1:30" x14ac:dyDescent="0.25">
      <c r="A794" t="s">
        <v>33</v>
      </c>
      <c r="D794" t="s">
        <v>1991</v>
      </c>
      <c r="E794" t="s">
        <v>1992</v>
      </c>
      <c r="F794" t="s">
        <v>36</v>
      </c>
      <c r="G794" t="s">
        <v>37</v>
      </c>
      <c r="H794" t="s">
        <v>89</v>
      </c>
      <c r="I794" t="s">
        <v>100</v>
      </c>
      <c r="J794" t="s">
        <v>91</v>
      </c>
      <c r="K794" t="s">
        <v>92</v>
      </c>
      <c r="L794" t="s">
        <v>42</v>
      </c>
      <c r="M794" t="s">
        <v>94</v>
      </c>
      <c r="N794" t="s">
        <v>961</v>
      </c>
      <c r="O794" t="s">
        <v>445</v>
      </c>
      <c r="P794">
        <v>1E-3</v>
      </c>
      <c r="R794" t="s">
        <v>988</v>
      </c>
      <c r="S794" t="s">
        <v>1995</v>
      </c>
      <c r="V794" t="s">
        <v>1996</v>
      </c>
      <c r="W794" t="s">
        <v>1993</v>
      </c>
      <c r="AD794" t="s">
        <v>989</v>
      </c>
    </row>
    <row r="795" spans="1:30" x14ac:dyDescent="0.25">
      <c r="A795" t="s">
        <v>33</v>
      </c>
      <c r="D795" t="s">
        <v>1991</v>
      </c>
      <c r="E795" t="s">
        <v>1992</v>
      </c>
      <c r="F795" t="s">
        <v>36</v>
      </c>
      <c r="G795" t="s">
        <v>37</v>
      </c>
      <c r="H795" t="s">
        <v>143</v>
      </c>
      <c r="I795" t="s">
        <v>100</v>
      </c>
      <c r="J795" t="s">
        <v>145</v>
      </c>
      <c r="K795" t="s">
        <v>146</v>
      </c>
      <c r="L795" t="s">
        <v>42</v>
      </c>
      <c r="M795" t="s">
        <v>139</v>
      </c>
      <c r="N795" t="s">
        <v>961</v>
      </c>
      <c r="O795" t="s">
        <v>442</v>
      </c>
      <c r="R795" t="s">
        <v>978</v>
      </c>
      <c r="S795" t="s">
        <v>1995</v>
      </c>
      <c r="V795" t="s">
        <v>1996</v>
      </c>
      <c r="W795" t="s">
        <v>1993</v>
      </c>
      <c r="X795" t="s">
        <v>56</v>
      </c>
      <c r="AD795" t="s">
        <v>990</v>
      </c>
    </row>
    <row r="796" spans="1:30" x14ac:dyDescent="0.25">
      <c r="A796" t="s">
        <v>33</v>
      </c>
      <c r="D796" t="s">
        <v>1991</v>
      </c>
      <c r="E796" t="s">
        <v>1992</v>
      </c>
      <c r="F796" t="s">
        <v>36</v>
      </c>
      <c r="G796" t="s">
        <v>37</v>
      </c>
      <c r="H796" t="s">
        <v>38</v>
      </c>
      <c r="I796" t="s">
        <v>25</v>
      </c>
      <c r="J796" t="s">
        <v>69</v>
      </c>
      <c r="K796" t="s">
        <v>41</v>
      </c>
      <c r="L796" t="s">
        <v>42</v>
      </c>
      <c r="M796" t="s">
        <v>139</v>
      </c>
      <c r="N796" t="s">
        <v>961</v>
      </c>
      <c r="O796" t="s">
        <v>512</v>
      </c>
      <c r="R796" t="s">
        <v>991</v>
      </c>
      <c r="S796" t="s">
        <v>1995</v>
      </c>
      <c r="V796" t="s">
        <v>1996</v>
      </c>
      <c r="W796" t="s">
        <v>1993</v>
      </c>
      <c r="X796" t="s">
        <v>56</v>
      </c>
      <c r="AD796" t="s">
        <v>992</v>
      </c>
    </row>
    <row r="797" spans="1:30" x14ac:dyDescent="0.25">
      <c r="A797" t="s">
        <v>33</v>
      </c>
      <c r="D797" t="s">
        <v>1991</v>
      </c>
      <c r="E797" t="s">
        <v>1992</v>
      </c>
      <c r="F797" t="s">
        <v>36</v>
      </c>
      <c r="G797" t="s">
        <v>37</v>
      </c>
      <c r="H797" t="s">
        <v>38</v>
      </c>
      <c r="I797" t="s">
        <v>24</v>
      </c>
      <c r="J797" t="s">
        <v>69</v>
      </c>
      <c r="K797" t="s">
        <v>41</v>
      </c>
      <c r="L797" t="s">
        <v>42</v>
      </c>
      <c r="M797" t="s">
        <v>139</v>
      </c>
      <c r="N797" t="s">
        <v>961</v>
      </c>
      <c r="O797" t="s">
        <v>509</v>
      </c>
      <c r="R797" t="s">
        <v>993</v>
      </c>
      <c r="S797" t="s">
        <v>1995</v>
      </c>
      <c r="V797" t="s">
        <v>1996</v>
      </c>
      <c r="W797" t="s">
        <v>1993</v>
      </c>
      <c r="X797" t="s">
        <v>56</v>
      </c>
      <c r="AD797" t="s">
        <v>994</v>
      </c>
    </row>
    <row r="798" spans="1:30" x14ac:dyDescent="0.25">
      <c r="A798" t="s">
        <v>33</v>
      </c>
      <c r="D798" t="s">
        <v>1991</v>
      </c>
      <c r="E798" t="s">
        <v>1992</v>
      </c>
      <c r="F798" t="s">
        <v>36</v>
      </c>
      <c r="G798" t="s">
        <v>37</v>
      </c>
      <c r="H798" t="s">
        <v>38</v>
      </c>
      <c r="I798" t="s">
        <v>63</v>
      </c>
      <c r="J798" t="s">
        <v>40</v>
      </c>
      <c r="K798" t="s">
        <v>41</v>
      </c>
      <c r="L798" t="s">
        <v>42</v>
      </c>
      <c r="M798" t="s">
        <v>139</v>
      </c>
      <c r="N798" t="s">
        <v>961</v>
      </c>
      <c r="O798" t="s">
        <v>65</v>
      </c>
      <c r="R798" t="s">
        <v>995</v>
      </c>
      <c r="S798" t="s">
        <v>1995</v>
      </c>
      <c r="V798" t="s">
        <v>1996</v>
      </c>
      <c r="W798" t="s">
        <v>1993</v>
      </c>
      <c r="X798" t="s">
        <v>56</v>
      </c>
      <c r="AD798" t="s">
        <v>996</v>
      </c>
    </row>
    <row r="799" spans="1:30" x14ac:dyDescent="0.25">
      <c r="A799" t="s">
        <v>33</v>
      </c>
      <c r="D799" t="s">
        <v>1991</v>
      </c>
      <c r="E799" t="s">
        <v>1992</v>
      </c>
      <c r="F799" t="s">
        <v>78</v>
      </c>
      <c r="G799" t="s">
        <v>2149</v>
      </c>
      <c r="H799" t="s">
        <v>166</v>
      </c>
      <c r="I799" t="s">
        <v>160</v>
      </c>
      <c r="J799" t="s">
        <v>167</v>
      </c>
      <c r="K799" t="s">
        <v>41</v>
      </c>
      <c r="L799" t="s">
        <v>2150</v>
      </c>
      <c r="N799" t="s">
        <v>2151</v>
      </c>
      <c r="O799" t="s">
        <v>168</v>
      </c>
      <c r="Q799" t="s">
        <v>169</v>
      </c>
      <c r="R799" t="s">
        <v>2152</v>
      </c>
      <c r="S799" t="s">
        <v>1995</v>
      </c>
      <c r="V799" t="s">
        <v>1996</v>
      </c>
      <c r="W799" t="s">
        <v>1993</v>
      </c>
      <c r="AD799" t="s">
        <v>2153</v>
      </c>
    </row>
    <row r="800" spans="1:30" x14ac:dyDescent="0.25">
      <c r="D800" t="s">
        <v>1991</v>
      </c>
      <c r="E800" t="s">
        <v>1992</v>
      </c>
      <c r="F800" t="s">
        <v>78</v>
      </c>
      <c r="G800" t="s">
        <v>2149</v>
      </c>
      <c r="H800" t="s">
        <v>166</v>
      </c>
      <c r="I800" t="s">
        <v>216</v>
      </c>
      <c r="J800" t="s">
        <v>167</v>
      </c>
      <c r="K800" t="s">
        <v>41</v>
      </c>
      <c r="L800" t="s">
        <v>2150</v>
      </c>
      <c r="N800" t="s">
        <v>2151</v>
      </c>
      <c r="O800" t="s">
        <v>925</v>
      </c>
      <c r="Q800" t="s">
        <v>1958</v>
      </c>
      <c r="R800" t="s">
        <v>1959</v>
      </c>
      <c r="S800" t="s">
        <v>1995</v>
      </c>
      <c r="V800" t="s">
        <v>1996</v>
      </c>
      <c r="W800" t="s">
        <v>1993</v>
      </c>
      <c r="AD800" t="s">
        <v>2154</v>
      </c>
    </row>
    <row r="801" spans="1:30" x14ac:dyDescent="0.25">
      <c r="A801" t="s">
        <v>33</v>
      </c>
      <c r="D801" t="s">
        <v>1991</v>
      </c>
      <c r="E801" t="s">
        <v>1992</v>
      </c>
      <c r="F801" t="s">
        <v>87</v>
      </c>
      <c r="G801" t="s">
        <v>2155</v>
      </c>
      <c r="H801" t="s">
        <v>153</v>
      </c>
      <c r="I801" t="s">
        <v>144</v>
      </c>
      <c r="J801" t="s">
        <v>154</v>
      </c>
      <c r="K801" t="s">
        <v>155</v>
      </c>
      <c r="L801" t="s">
        <v>2156</v>
      </c>
      <c r="N801" t="s">
        <v>653</v>
      </c>
      <c r="O801" t="s">
        <v>213</v>
      </c>
      <c r="R801" t="s">
        <v>1016</v>
      </c>
      <c r="S801" t="s">
        <v>1995</v>
      </c>
      <c r="V801" t="s">
        <v>1996</v>
      </c>
      <c r="W801" t="s">
        <v>1993</v>
      </c>
      <c r="AD801" t="s">
        <v>655</v>
      </c>
    </row>
    <row r="802" spans="1:30" x14ac:dyDescent="0.25">
      <c r="A802" t="s">
        <v>33</v>
      </c>
      <c r="D802" t="s">
        <v>1991</v>
      </c>
      <c r="E802" t="s">
        <v>1992</v>
      </c>
      <c r="H802" t="s">
        <v>153</v>
      </c>
      <c r="I802" t="s">
        <v>1073</v>
      </c>
      <c r="J802" t="s">
        <v>154</v>
      </c>
      <c r="K802" t="s">
        <v>155</v>
      </c>
      <c r="L802" t="s">
        <v>1993</v>
      </c>
      <c r="N802" t="s">
        <v>1994</v>
      </c>
      <c r="O802" t="s">
        <v>1074</v>
      </c>
      <c r="R802" t="s">
        <v>1075</v>
      </c>
      <c r="S802" t="s">
        <v>1995</v>
      </c>
      <c r="V802" t="s">
        <v>1996</v>
      </c>
      <c r="W802" t="s">
        <v>1993</v>
      </c>
      <c r="AD802" t="s">
        <v>2157</v>
      </c>
    </row>
    <row r="803" spans="1:30" x14ac:dyDescent="0.25">
      <c r="A803" t="s">
        <v>33</v>
      </c>
      <c r="D803" t="s">
        <v>1991</v>
      </c>
      <c r="E803" t="s">
        <v>1992</v>
      </c>
      <c r="F803" t="s">
        <v>87</v>
      </c>
      <c r="G803" t="s">
        <v>2158</v>
      </c>
      <c r="H803" t="s">
        <v>153</v>
      </c>
      <c r="I803" t="s">
        <v>144</v>
      </c>
      <c r="J803" t="s">
        <v>154</v>
      </c>
      <c r="K803" t="s">
        <v>155</v>
      </c>
      <c r="L803" t="s">
        <v>2159</v>
      </c>
      <c r="N803" t="s">
        <v>658</v>
      </c>
      <c r="O803" t="s">
        <v>213</v>
      </c>
      <c r="R803" t="s">
        <v>2160</v>
      </c>
      <c r="S803" t="s">
        <v>1995</v>
      </c>
      <c r="V803" t="s">
        <v>1996</v>
      </c>
      <c r="W803" t="s">
        <v>1993</v>
      </c>
      <c r="AD803" t="s">
        <v>660</v>
      </c>
    </row>
    <row r="804" spans="1:30" x14ac:dyDescent="0.25">
      <c r="A804" t="s">
        <v>33</v>
      </c>
      <c r="D804" t="s">
        <v>1991</v>
      </c>
      <c r="E804" t="s">
        <v>1992</v>
      </c>
      <c r="F804" t="s">
        <v>78</v>
      </c>
      <c r="G804" t="s">
        <v>2149</v>
      </c>
      <c r="H804" t="s">
        <v>153</v>
      </c>
      <c r="I804" t="s">
        <v>160</v>
      </c>
      <c r="J804" t="s">
        <v>154</v>
      </c>
      <c r="K804" t="s">
        <v>155</v>
      </c>
      <c r="L804" t="s">
        <v>2150</v>
      </c>
      <c r="N804" t="s">
        <v>2151</v>
      </c>
      <c r="O804" t="s">
        <v>163</v>
      </c>
      <c r="R804" t="s">
        <v>2161</v>
      </c>
      <c r="S804" t="s">
        <v>1995</v>
      </c>
      <c r="V804" t="s">
        <v>1996</v>
      </c>
      <c r="W804" t="s">
        <v>1993</v>
      </c>
      <c r="AD804" t="s">
        <v>2162</v>
      </c>
    </row>
    <row r="805" spans="1:30" x14ac:dyDescent="0.25">
      <c r="A805" t="s">
        <v>33</v>
      </c>
      <c r="D805" t="s">
        <v>1991</v>
      </c>
      <c r="E805" t="s">
        <v>1992</v>
      </c>
      <c r="H805" t="s">
        <v>166</v>
      </c>
      <c r="I805" t="s">
        <v>281</v>
      </c>
      <c r="J805" t="s">
        <v>167</v>
      </c>
      <c r="K805" t="s">
        <v>41</v>
      </c>
      <c r="L805" t="s">
        <v>1993</v>
      </c>
      <c r="N805" t="s">
        <v>1994</v>
      </c>
      <c r="O805" t="s">
        <v>858</v>
      </c>
      <c r="Q805" t="s">
        <v>859</v>
      </c>
      <c r="R805" t="s">
        <v>1030</v>
      </c>
      <c r="S805" t="s">
        <v>1995</v>
      </c>
      <c r="V805" t="s">
        <v>1996</v>
      </c>
      <c r="W805" t="s">
        <v>1993</v>
      </c>
      <c r="AD805" t="s">
        <v>2163</v>
      </c>
    </row>
    <row r="806" spans="1:30" x14ac:dyDescent="0.25">
      <c r="A806" t="s">
        <v>33</v>
      </c>
      <c r="D806" t="s">
        <v>1991</v>
      </c>
      <c r="E806" t="s">
        <v>1992</v>
      </c>
      <c r="H806" t="s">
        <v>143</v>
      </c>
      <c r="I806" t="s">
        <v>1032</v>
      </c>
      <c r="J806" t="s">
        <v>145</v>
      </c>
      <c r="K806" t="s">
        <v>146</v>
      </c>
      <c r="L806" t="s">
        <v>1993</v>
      </c>
      <c r="M806" t="s">
        <v>252</v>
      </c>
      <c r="N806" t="s">
        <v>1994</v>
      </c>
      <c r="O806" t="s">
        <v>1033</v>
      </c>
      <c r="R806" t="s">
        <v>1034</v>
      </c>
      <c r="S806" t="s">
        <v>1995</v>
      </c>
      <c r="V806" t="s">
        <v>1996</v>
      </c>
      <c r="W806" t="s">
        <v>1993</v>
      </c>
      <c r="AD806" t="s">
        <v>2164</v>
      </c>
    </row>
    <row r="807" spans="1:30" x14ac:dyDescent="0.25">
      <c r="A807" t="s">
        <v>33</v>
      </c>
      <c r="D807" t="s">
        <v>1991</v>
      </c>
      <c r="E807" t="s">
        <v>1992</v>
      </c>
      <c r="H807" t="s">
        <v>143</v>
      </c>
      <c r="I807" t="s">
        <v>1036</v>
      </c>
      <c r="J807" t="s">
        <v>145</v>
      </c>
      <c r="K807" t="s">
        <v>146</v>
      </c>
      <c r="L807" t="s">
        <v>1993</v>
      </c>
      <c r="M807" t="s">
        <v>252</v>
      </c>
      <c r="N807" t="s">
        <v>1994</v>
      </c>
      <c r="O807" t="s">
        <v>1037</v>
      </c>
      <c r="R807" t="s">
        <v>1038</v>
      </c>
      <c r="S807" t="s">
        <v>1995</v>
      </c>
      <c r="V807" t="s">
        <v>1996</v>
      </c>
      <c r="W807" t="s">
        <v>1993</v>
      </c>
      <c r="AD807" t="s">
        <v>2165</v>
      </c>
    </row>
    <row r="808" spans="1:30" x14ac:dyDescent="0.25">
      <c r="A808" t="s">
        <v>33</v>
      </c>
      <c r="D808" t="s">
        <v>1991</v>
      </c>
      <c r="E808" t="s">
        <v>1992</v>
      </c>
      <c r="H808" t="s">
        <v>143</v>
      </c>
      <c r="I808" t="s">
        <v>1040</v>
      </c>
      <c r="J808" t="s">
        <v>145</v>
      </c>
      <c r="K808" t="s">
        <v>146</v>
      </c>
      <c r="L808" t="s">
        <v>1993</v>
      </c>
      <c r="M808" t="s">
        <v>252</v>
      </c>
      <c r="N808" t="s">
        <v>1994</v>
      </c>
      <c r="O808" t="s">
        <v>1041</v>
      </c>
      <c r="R808" t="s">
        <v>1042</v>
      </c>
      <c r="S808" t="s">
        <v>1995</v>
      </c>
      <c r="V808" t="s">
        <v>1996</v>
      </c>
      <c r="W808" t="s">
        <v>1993</v>
      </c>
      <c r="AD808" t="s">
        <v>2166</v>
      </c>
    </row>
    <row r="809" spans="1:30" x14ac:dyDescent="0.25">
      <c r="A809" t="s">
        <v>33</v>
      </c>
      <c r="D809" t="s">
        <v>1991</v>
      </c>
      <c r="E809" t="s">
        <v>1992</v>
      </c>
      <c r="H809" t="s">
        <v>166</v>
      </c>
      <c r="I809" t="s">
        <v>1044</v>
      </c>
      <c r="J809" t="s">
        <v>167</v>
      </c>
      <c r="K809" t="s">
        <v>41</v>
      </c>
      <c r="L809" t="s">
        <v>1993</v>
      </c>
      <c r="N809" t="s">
        <v>1994</v>
      </c>
      <c r="O809" t="s">
        <v>1045</v>
      </c>
      <c r="Q809" t="s">
        <v>1046</v>
      </c>
      <c r="R809" t="s">
        <v>1047</v>
      </c>
      <c r="S809" t="s">
        <v>1995</v>
      </c>
      <c r="V809" t="s">
        <v>1996</v>
      </c>
      <c r="W809" t="s">
        <v>1993</v>
      </c>
      <c r="AD809" t="s">
        <v>2167</v>
      </c>
    </row>
    <row r="810" spans="1:30" x14ac:dyDescent="0.25">
      <c r="A810" t="s">
        <v>33</v>
      </c>
      <c r="D810" t="s">
        <v>1991</v>
      </c>
      <c r="E810" t="s">
        <v>1992</v>
      </c>
      <c r="H810" t="s">
        <v>143</v>
      </c>
      <c r="I810" t="s">
        <v>1049</v>
      </c>
      <c r="J810" t="s">
        <v>145</v>
      </c>
      <c r="K810" t="s">
        <v>146</v>
      </c>
      <c r="L810" t="s">
        <v>1993</v>
      </c>
      <c r="M810" t="s">
        <v>1004</v>
      </c>
      <c r="N810" t="s">
        <v>1994</v>
      </c>
      <c r="O810" t="s">
        <v>1050</v>
      </c>
      <c r="R810" t="s">
        <v>1051</v>
      </c>
      <c r="S810" t="s">
        <v>1995</v>
      </c>
      <c r="V810" t="s">
        <v>1996</v>
      </c>
      <c r="W810" t="s">
        <v>1993</v>
      </c>
      <c r="AD810" t="s">
        <v>2168</v>
      </c>
    </row>
    <row r="811" spans="1:30" x14ac:dyDescent="0.25">
      <c r="A811" t="s">
        <v>33</v>
      </c>
      <c r="D811" t="s">
        <v>1991</v>
      </c>
      <c r="E811" t="s">
        <v>1992</v>
      </c>
      <c r="H811" t="s">
        <v>143</v>
      </c>
      <c r="I811" t="s">
        <v>1053</v>
      </c>
      <c r="J811" t="s">
        <v>145</v>
      </c>
      <c r="K811" t="s">
        <v>146</v>
      </c>
      <c r="L811" t="s">
        <v>1993</v>
      </c>
      <c r="M811" t="s">
        <v>1004</v>
      </c>
      <c r="N811" t="s">
        <v>1994</v>
      </c>
      <c r="O811" t="s">
        <v>1054</v>
      </c>
      <c r="R811" t="s">
        <v>1055</v>
      </c>
      <c r="S811" t="s">
        <v>1995</v>
      </c>
      <c r="V811" t="s">
        <v>1996</v>
      </c>
      <c r="W811" t="s">
        <v>1993</v>
      </c>
      <c r="AD811" t="s">
        <v>2169</v>
      </c>
    </row>
    <row r="812" spans="1:30" x14ac:dyDescent="0.25">
      <c r="A812" t="s">
        <v>33</v>
      </c>
      <c r="D812" t="s">
        <v>1991</v>
      </c>
      <c r="E812" t="s">
        <v>1992</v>
      </c>
      <c r="H812" t="s">
        <v>143</v>
      </c>
      <c r="I812" t="s">
        <v>1057</v>
      </c>
      <c r="J812" t="s">
        <v>145</v>
      </c>
      <c r="K812" t="s">
        <v>146</v>
      </c>
      <c r="L812" t="s">
        <v>1993</v>
      </c>
      <c r="M812" t="s">
        <v>1004</v>
      </c>
      <c r="N812" t="s">
        <v>1994</v>
      </c>
      <c r="O812" t="s">
        <v>1058</v>
      </c>
      <c r="R812" t="s">
        <v>1059</v>
      </c>
      <c r="S812" t="s">
        <v>1995</v>
      </c>
      <c r="V812" t="s">
        <v>1996</v>
      </c>
      <c r="W812" t="s">
        <v>1993</v>
      </c>
      <c r="AD812" t="s">
        <v>2170</v>
      </c>
    </row>
    <row r="813" spans="1:30" x14ac:dyDescent="0.25">
      <c r="A813" t="s">
        <v>33</v>
      </c>
      <c r="D813" t="s">
        <v>1991</v>
      </c>
      <c r="E813" t="s">
        <v>1992</v>
      </c>
      <c r="H813" t="s">
        <v>143</v>
      </c>
      <c r="I813" t="s">
        <v>1061</v>
      </c>
      <c r="J813" t="s">
        <v>145</v>
      </c>
      <c r="K813" t="s">
        <v>146</v>
      </c>
      <c r="L813" t="s">
        <v>1993</v>
      </c>
      <c r="M813" t="s">
        <v>252</v>
      </c>
      <c r="N813" t="s">
        <v>1994</v>
      </c>
      <c r="O813" t="s">
        <v>1062</v>
      </c>
      <c r="R813" t="s">
        <v>1063</v>
      </c>
      <c r="S813" t="s">
        <v>1995</v>
      </c>
      <c r="V813" t="s">
        <v>1996</v>
      </c>
      <c r="W813" t="s">
        <v>1993</v>
      </c>
      <c r="AD813" t="s">
        <v>2171</v>
      </c>
    </row>
    <row r="814" spans="1:30" x14ac:dyDescent="0.25">
      <c r="A814" t="s">
        <v>33</v>
      </c>
      <c r="D814" t="s">
        <v>1991</v>
      </c>
      <c r="E814" t="s">
        <v>1992</v>
      </c>
      <c r="H814" t="s">
        <v>143</v>
      </c>
      <c r="I814" t="s">
        <v>1065</v>
      </c>
      <c r="J814" t="s">
        <v>145</v>
      </c>
      <c r="K814" t="s">
        <v>146</v>
      </c>
      <c r="L814" t="s">
        <v>1993</v>
      </c>
      <c r="M814" t="s">
        <v>252</v>
      </c>
      <c r="N814" t="s">
        <v>1994</v>
      </c>
      <c r="O814" t="s">
        <v>1066</v>
      </c>
      <c r="R814" t="s">
        <v>1067</v>
      </c>
      <c r="S814" t="s">
        <v>1995</v>
      </c>
      <c r="V814" t="s">
        <v>1996</v>
      </c>
      <c r="W814" t="s">
        <v>1993</v>
      </c>
      <c r="AD814" t="s">
        <v>2172</v>
      </c>
    </row>
    <row r="815" spans="1:30" x14ac:dyDescent="0.25">
      <c r="A815" t="s">
        <v>33</v>
      </c>
      <c r="D815" t="s">
        <v>1991</v>
      </c>
      <c r="E815" t="s">
        <v>1992</v>
      </c>
      <c r="H815" t="s">
        <v>143</v>
      </c>
      <c r="I815" t="s">
        <v>1069</v>
      </c>
      <c r="J815" t="s">
        <v>145</v>
      </c>
      <c r="K815" t="s">
        <v>146</v>
      </c>
      <c r="L815" t="s">
        <v>1993</v>
      </c>
      <c r="M815" t="s">
        <v>252</v>
      </c>
      <c r="N815" t="s">
        <v>1994</v>
      </c>
      <c r="O815" t="s">
        <v>1070</v>
      </c>
      <c r="R815" t="s">
        <v>1071</v>
      </c>
      <c r="S815" t="s">
        <v>1995</v>
      </c>
      <c r="V815" t="s">
        <v>1996</v>
      </c>
      <c r="W815" t="s">
        <v>1993</v>
      </c>
      <c r="AD815" t="s">
        <v>2173</v>
      </c>
    </row>
    <row r="816" spans="1:30" x14ac:dyDescent="0.25">
      <c r="A816" t="s">
        <v>33</v>
      </c>
      <c r="D816" t="s">
        <v>1991</v>
      </c>
      <c r="E816" t="s">
        <v>1992</v>
      </c>
      <c r="H816" t="s">
        <v>166</v>
      </c>
      <c r="I816" t="s">
        <v>479</v>
      </c>
      <c r="J816" t="s">
        <v>167</v>
      </c>
      <c r="K816" t="s">
        <v>41</v>
      </c>
      <c r="L816" t="s">
        <v>1993</v>
      </c>
      <c r="N816" t="s">
        <v>1994</v>
      </c>
      <c r="O816" t="s">
        <v>487</v>
      </c>
      <c r="Q816" t="s">
        <v>488</v>
      </c>
      <c r="R816" t="s">
        <v>1082</v>
      </c>
      <c r="S816" t="s">
        <v>1995</v>
      </c>
      <c r="V816" t="s">
        <v>1996</v>
      </c>
      <c r="W816" t="s">
        <v>1993</v>
      </c>
      <c r="AD816" t="s">
        <v>2174</v>
      </c>
    </row>
    <row r="817" spans="1:30" x14ac:dyDescent="0.25">
      <c r="A817" t="s">
        <v>33</v>
      </c>
      <c r="D817" t="s">
        <v>1991</v>
      </c>
      <c r="E817" t="s">
        <v>1992</v>
      </c>
      <c r="H817" t="s">
        <v>143</v>
      </c>
      <c r="I817" t="s">
        <v>583</v>
      </c>
      <c r="J817" t="s">
        <v>745</v>
      </c>
      <c r="K817" t="s">
        <v>262</v>
      </c>
      <c r="L817" t="s">
        <v>1993</v>
      </c>
      <c r="M817" t="s">
        <v>840</v>
      </c>
      <c r="N817" t="s">
        <v>1994</v>
      </c>
      <c r="O817" t="s">
        <v>1084</v>
      </c>
      <c r="R817" t="s">
        <v>1085</v>
      </c>
      <c r="S817" t="s">
        <v>1995</v>
      </c>
      <c r="V817" t="s">
        <v>1996</v>
      </c>
      <c r="W817" t="s">
        <v>1993</v>
      </c>
      <c r="AD817" t="s">
        <v>2175</v>
      </c>
    </row>
    <row r="818" spans="1:30" x14ac:dyDescent="0.25">
      <c r="A818" t="s">
        <v>33</v>
      </c>
      <c r="D818" t="s">
        <v>1991</v>
      </c>
      <c r="E818" t="s">
        <v>1992</v>
      </c>
      <c r="H818" t="s">
        <v>38</v>
      </c>
      <c r="I818" t="s">
        <v>1087</v>
      </c>
      <c r="J818" t="s">
        <v>40</v>
      </c>
      <c r="K818" t="s">
        <v>41</v>
      </c>
      <c r="L818" t="s">
        <v>1993</v>
      </c>
      <c r="M818" t="s">
        <v>1004</v>
      </c>
      <c r="N818" t="s">
        <v>1994</v>
      </c>
      <c r="O818" t="s">
        <v>1088</v>
      </c>
      <c r="R818" t="s">
        <v>1089</v>
      </c>
      <c r="S818" t="s">
        <v>1995</v>
      </c>
      <c r="V818" t="s">
        <v>1996</v>
      </c>
      <c r="W818" t="s">
        <v>1993</v>
      </c>
      <c r="AD818" t="s">
        <v>2176</v>
      </c>
    </row>
    <row r="819" spans="1:30" x14ac:dyDescent="0.25">
      <c r="A819" t="s">
        <v>33</v>
      </c>
      <c r="D819" t="s">
        <v>1991</v>
      </c>
      <c r="E819" t="s">
        <v>1992</v>
      </c>
      <c r="H819" t="s">
        <v>143</v>
      </c>
      <c r="I819" t="s">
        <v>1087</v>
      </c>
      <c r="J819" t="s">
        <v>745</v>
      </c>
      <c r="K819" t="s">
        <v>262</v>
      </c>
      <c r="L819" t="s">
        <v>1993</v>
      </c>
      <c r="M819" t="s">
        <v>1004</v>
      </c>
      <c r="N819" t="s">
        <v>1994</v>
      </c>
      <c r="O819" t="s">
        <v>1091</v>
      </c>
      <c r="R819" t="s">
        <v>1092</v>
      </c>
      <c r="S819" t="s">
        <v>1995</v>
      </c>
      <c r="V819" t="s">
        <v>1996</v>
      </c>
      <c r="W819" t="s">
        <v>1993</v>
      </c>
      <c r="AD819" t="s">
        <v>2177</v>
      </c>
    </row>
    <row r="820" spans="1:30" x14ac:dyDescent="0.25">
      <c r="A820" t="s">
        <v>33</v>
      </c>
      <c r="D820" t="s">
        <v>1991</v>
      </c>
      <c r="E820" t="s">
        <v>1992</v>
      </c>
      <c r="H820" t="s">
        <v>166</v>
      </c>
      <c r="I820" t="s">
        <v>622</v>
      </c>
      <c r="J820" t="s">
        <v>167</v>
      </c>
      <c r="K820" t="s">
        <v>41</v>
      </c>
      <c r="L820" t="s">
        <v>1993</v>
      </c>
      <c r="N820" t="s">
        <v>1994</v>
      </c>
      <c r="O820" t="s">
        <v>1094</v>
      </c>
      <c r="Q820" t="s">
        <v>488</v>
      </c>
      <c r="R820" t="s">
        <v>1095</v>
      </c>
      <c r="S820" t="s">
        <v>1995</v>
      </c>
      <c r="V820" t="s">
        <v>1996</v>
      </c>
      <c r="W820" t="s">
        <v>1993</v>
      </c>
      <c r="AD820" t="s">
        <v>2178</v>
      </c>
    </row>
    <row r="821" spans="1:30" x14ac:dyDescent="0.25">
      <c r="A821" t="s">
        <v>33</v>
      </c>
      <c r="D821" t="s">
        <v>1991</v>
      </c>
      <c r="E821" t="s">
        <v>1992</v>
      </c>
      <c r="H821" t="s">
        <v>166</v>
      </c>
      <c r="I821" t="s">
        <v>834</v>
      </c>
      <c r="J821" t="s">
        <v>167</v>
      </c>
      <c r="K821" t="s">
        <v>41</v>
      </c>
      <c r="L821" t="s">
        <v>1993</v>
      </c>
      <c r="N821" t="s">
        <v>1994</v>
      </c>
      <c r="O821" t="s">
        <v>1097</v>
      </c>
      <c r="Q821" t="s">
        <v>488</v>
      </c>
      <c r="R821" t="s">
        <v>1098</v>
      </c>
      <c r="S821" t="s">
        <v>1995</v>
      </c>
      <c r="V821" t="s">
        <v>1996</v>
      </c>
      <c r="W821" t="s">
        <v>1993</v>
      </c>
      <c r="AD821" t="s">
        <v>2179</v>
      </c>
    </row>
    <row r="822" spans="1:30" x14ac:dyDescent="0.25">
      <c r="A822" t="s">
        <v>33</v>
      </c>
      <c r="D822" t="s">
        <v>1991</v>
      </c>
      <c r="E822" t="s">
        <v>1992</v>
      </c>
      <c r="H822" t="s">
        <v>38</v>
      </c>
      <c r="I822" t="s">
        <v>1100</v>
      </c>
      <c r="J822" t="s">
        <v>40</v>
      </c>
      <c r="K822" t="s">
        <v>41</v>
      </c>
      <c r="L822" t="s">
        <v>1993</v>
      </c>
      <c r="M822" t="s">
        <v>1101</v>
      </c>
      <c r="N822" t="s">
        <v>1994</v>
      </c>
      <c r="O822" t="s">
        <v>1102</v>
      </c>
      <c r="R822" t="s">
        <v>1103</v>
      </c>
      <c r="S822" t="s">
        <v>1995</v>
      </c>
      <c r="V822" t="s">
        <v>1996</v>
      </c>
      <c r="W822" t="s">
        <v>1993</v>
      </c>
      <c r="AD822" t="s">
        <v>2180</v>
      </c>
    </row>
    <row r="823" spans="1:30" x14ac:dyDescent="0.25">
      <c r="A823" t="s">
        <v>33</v>
      </c>
      <c r="D823" t="s">
        <v>1991</v>
      </c>
      <c r="E823" t="s">
        <v>1992</v>
      </c>
      <c r="H823" t="s">
        <v>166</v>
      </c>
      <c r="I823" t="s">
        <v>1105</v>
      </c>
      <c r="J823" t="s">
        <v>167</v>
      </c>
      <c r="K823" t="s">
        <v>41</v>
      </c>
      <c r="L823" t="s">
        <v>1993</v>
      </c>
      <c r="N823" t="s">
        <v>1994</v>
      </c>
      <c r="O823" t="s">
        <v>1106</v>
      </c>
      <c r="Q823" t="s">
        <v>1107</v>
      </c>
      <c r="R823" t="s">
        <v>1108</v>
      </c>
      <c r="S823" t="s">
        <v>1995</v>
      </c>
      <c r="V823" t="s">
        <v>1996</v>
      </c>
      <c r="W823" t="s">
        <v>1993</v>
      </c>
      <c r="AD823" t="s">
        <v>2181</v>
      </c>
    </row>
    <row r="824" spans="1:30" x14ac:dyDescent="0.25">
      <c r="A824" t="s">
        <v>33</v>
      </c>
      <c r="D824" t="s">
        <v>1991</v>
      </c>
      <c r="E824" t="s">
        <v>1992</v>
      </c>
      <c r="H824" t="s">
        <v>166</v>
      </c>
      <c r="I824" t="s">
        <v>80</v>
      </c>
      <c r="J824" t="s">
        <v>167</v>
      </c>
      <c r="K824" t="s">
        <v>41</v>
      </c>
      <c r="L824" t="s">
        <v>1993</v>
      </c>
      <c r="N824" t="s">
        <v>1994</v>
      </c>
      <c r="O824" t="s">
        <v>862</v>
      </c>
      <c r="Q824" t="s">
        <v>863</v>
      </c>
      <c r="R824" t="s">
        <v>1110</v>
      </c>
      <c r="S824" t="s">
        <v>1995</v>
      </c>
      <c r="V824" t="s">
        <v>1996</v>
      </c>
      <c r="W824" t="s">
        <v>1993</v>
      </c>
      <c r="AD824" t="s">
        <v>2182</v>
      </c>
    </row>
    <row r="825" spans="1:30" x14ac:dyDescent="0.25">
      <c r="A825" t="s">
        <v>33</v>
      </c>
      <c r="D825" t="s">
        <v>1991</v>
      </c>
      <c r="E825" t="s">
        <v>1992</v>
      </c>
      <c r="H825" t="s">
        <v>166</v>
      </c>
      <c r="I825" t="s">
        <v>216</v>
      </c>
      <c r="J825" t="s">
        <v>167</v>
      </c>
      <c r="K825" t="s">
        <v>41</v>
      </c>
      <c r="L825" t="s">
        <v>1993</v>
      </c>
      <c r="N825" t="s">
        <v>1994</v>
      </c>
      <c r="O825" t="s">
        <v>872</v>
      </c>
      <c r="Q825" t="s">
        <v>873</v>
      </c>
      <c r="R825" t="s">
        <v>1112</v>
      </c>
      <c r="S825" t="s">
        <v>1995</v>
      </c>
      <c r="V825" t="s">
        <v>1996</v>
      </c>
      <c r="W825" t="s">
        <v>1993</v>
      </c>
      <c r="AD825" t="s">
        <v>2183</v>
      </c>
    </row>
    <row r="826" spans="1:30" x14ac:dyDescent="0.25">
      <c r="A826" t="s">
        <v>33</v>
      </c>
      <c r="D826" t="s">
        <v>1991</v>
      </c>
      <c r="E826" t="s">
        <v>1992</v>
      </c>
      <c r="H826" t="s">
        <v>38</v>
      </c>
      <c r="I826" t="s">
        <v>1114</v>
      </c>
      <c r="J826" t="s">
        <v>69</v>
      </c>
      <c r="K826" t="s">
        <v>41</v>
      </c>
      <c r="L826" t="s">
        <v>1993</v>
      </c>
      <c r="M826" t="s">
        <v>1115</v>
      </c>
      <c r="N826" t="s">
        <v>1994</v>
      </c>
      <c r="O826" t="s">
        <v>1116</v>
      </c>
      <c r="R826" t="s">
        <v>1117</v>
      </c>
      <c r="S826" t="s">
        <v>1995</v>
      </c>
      <c r="V826" t="s">
        <v>1996</v>
      </c>
      <c r="W826" t="s">
        <v>1993</v>
      </c>
      <c r="AD826" t="s">
        <v>2184</v>
      </c>
    </row>
    <row r="827" spans="1:30" x14ac:dyDescent="0.25">
      <c r="A827" t="s">
        <v>33</v>
      </c>
      <c r="D827" t="s">
        <v>1991</v>
      </c>
      <c r="E827" t="s">
        <v>1992</v>
      </c>
      <c r="H827" t="s">
        <v>38</v>
      </c>
      <c r="I827" t="s">
        <v>1119</v>
      </c>
      <c r="J827" t="s">
        <v>69</v>
      </c>
      <c r="K827" t="s">
        <v>41</v>
      </c>
      <c r="L827" t="s">
        <v>1993</v>
      </c>
      <c r="M827" t="s">
        <v>1115</v>
      </c>
      <c r="N827" t="s">
        <v>1994</v>
      </c>
      <c r="O827" t="s">
        <v>1120</v>
      </c>
      <c r="R827" t="s">
        <v>1121</v>
      </c>
      <c r="S827" t="s">
        <v>1995</v>
      </c>
      <c r="V827" t="s">
        <v>1996</v>
      </c>
      <c r="W827" t="s">
        <v>1993</v>
      </c>
      <c r="AD827" t="s">
        <v>2185</v>
      </c>
    </row>
    <row r="828" spans="1:30" x14ac:dyDescent="0.25">
      <c r="A828" t="s">
        <v>33</v>
      </c>
      <c r="D828" t="s">
        <v>1991</v>
      </c>
      <c r="E828" t="s">
        <v>1992</v>
      </c>
      <c r="H828" t="s">
        <v>38</v>
      </c>
      <c r="I828" t="s">
        <v>1123</v>
      </c>
      <c r="J828" t="s">
        <v>69</v>
      </c>
      <c r="K828" t="s">
        <v>41</v>
      </c>
      <c r="L828" t="s">
        <v>1993</v>
      </c>
      <c r="M828" t="s">
        <v>1124</v>
      </c>
      <c r="N828" t="s">
        <v>1994</v>
      </c>
      <c r="O828" t="s">
        <v>1125</v>
      </c>
      <c r="R828" t="s">
        <v>1126</v>
      </c>
      <c r="S828" t="s">
        <v>1995</v>
      </c>
      <c r="V828" t="s">
        <v>1996</v>
      </c>
      <c r="W828" t="s">
        <v>1993</v>
      </c>
      <c r="AD828" t="s">
        <v>2186</v>
      </c>
    </row>
    <row r="829" spans="1:30" x14ac:dyDescent="0.25">
      <c r="A829" t="s">
        <v>33</v>
      </c>
      <c r="D829" t="s">
        <v>1991</v>
      </c>
      <c r="E829" t="s">
        <v>1992</v>
      </c>
      <c r="H829" t="s">
        <v>143</v>
      </c>
      <c r="I829" t="s">
        <v>1073</v>
      </c>
      <c r="J829" t="s">
        <v>745</v>
      </c>
      <c r="K829" t="s">
        <v>262</v>
      </c>
      <c r="L829" t="s">
        <v>1993</v>
      </c>
      <c r="M829" t="s">
        <v>82</v>
      </c>
      <c r="N829" t="s">
        <v>1994</v>
      </c>
      <c r="O829" t="s">
        <v>1128</v>
      </c>
      <c r="R829" t="s">
        <v>1129</v>
      </c>
      <c r="S829" t="s">
        <v>1995</v>
      </c>
      <c r="V829" t="s">
        <v>1996</v>
      </c>
      <c r="W829" t="s">
        <v>1993</v>
      </c>
      <c r="AD829" t="s">
        <v>2187</v>
      </c>
    </row>
    <row r="830" spans="1:30" x14ac:dyDescent="0.25">
      <c r="A830" t="s">
        <v>33</v>
      </c>
      <c r="D830" t="s">
        <v>1991</v>
      </c>
      <c r="E830" t="s">
        <v>1992</v>
      </c>
      <c r="H830" t="s">
        <v>166</v>
      </c>
      <c r="I830" t="s">
        <v>1131</v>
      </c>
      <c r="J830" t="s">
        <v>167</v>
      </c>
      <c r="K830" t="s">
        <v>41</v>
      </c>
      <c r="L830" t="s">
        <v>1993</v>
      </c>
      <c r="N830" t="s">
        <v>1994</v>
      </c>
      <c r="O830" t="s">
        <v>1132</v>
      </c>
      <c r="Q830" t="s">
        <v>1133</v>
      </c>
      <c r="R830" t="s">
        <v>1134</v>
      </c>
      <c r="S830" t="s">
        <v>1995</v>
      </c>
      <c r="V830" t="s">
        <v>1996</v>
      </c>
      <c r="W830" t="s">
        <v>1993</v>
      </c>
      <c r="AD830" t="s">
        <v>2188</v>
      </c>
    </row>
    <row r="831" spans="1:30" x14ac:dyDescent="0.25">
      <c r="A831" t="s">
        <v>33</v>
      </c>
      <c r="D831" t="s">
        <v>1991</v>
      </c>
      <c r="E831" t="s">
        <v>1992</v>
      </c>
      <c r="H831" t="s">
        <v>89</v>
      </c>
      <c r="I831" t="s">
        <v>1131</v>
      </c>
      <c r="J831" t="s">
        <v>91</v>
      </c>
      <c r="K831" t="s">
        <v>92</v>
      </c>
      <c r="L831" t="s">
        <v>1993</v>
      </c>
      <c r="M831" t="s">
        <v>94</v>
      </c>
      <c r="N831" t="s">
        <v>1994</v>
      </c>
      <c r="O831" t="s">
        <v>1136</v>
      </c>
      <c r="P831">
        <v>1E-3</v>
      </c>
      <c r="R831" t="s">
        <v>1137</v>
      </c>
      <c r="S831" t="s">
        <v>1995</v>
      </c>
      <c r="V831" t="s">
        <v>1996</v>
      </c>
      <c r="W831" t="s">
        <v>1993</v>
      </c>
      <c r="AD831" t="s">
        <v>2189</v>
      </c>
    </row>
    <row r="832" spans="1:30" x14ac:dyDescent="0.25">
      <c r="A832" t="s">
        <v>33</v>
      </c>
      <c r="D832" t="s">
        <v>1991</v>
      </c>
      <c r="E832" t="s">
        <v>1992</v>
      </c>
      <c r="H832" t="s">
        <v>89</v>
      </c>
      <c r="I832" t="s">
        <v>1139</v>
      </c>
      <c r="J832" t="s">
        <v>91</v>
      </c>
      <c r="K832" t="s">
        <v>92</v>
      </c>
      <c r="L832" t="s">
        <v>1993</v>
      </c>
      <c r="M832" t="s">
        <v>94</v>
      </c>
      <c r="N832" t="s">
        <v>1994</v>
      </c>
      <c r="O832" t="s">
        <v>1140</v>
      </c>
      <c r="P832">
        <v>1E-3</v>
      </c>
      <c r="R832" t="s">
        <v>1141</v>
      </c>
      <c r="S832" t="s">
        <v>1995</v>
      </c>
      <c r="V832" t="s">
        <v>1996</v>
      </c>
      <c r="W832" t="s">
        <v>1993</v>
      </c>
      <c r="AD832" t="s">
        <v>2190</v>
      </c>
    </row>
    <row r="833" spans="1:30" x14ac:dyDescent="0.25">
      <c r="A833" t="s">
        <v>33</v>
      </c>
      <c r="D833" t="s">
        <v>1991</v>
      </c>
      <c r="E833" t="s">
        <v>1992</v>
      </c>
      <c r="H833" t="s">
        <v>166</v>
      </c>
      <c r="I833" t="s">
        <v>1143</v>
      </c>
      <c r="J833" t="s">
        <v>167</v>
      </c>
      <c r="K833" t="s">
        <v>41</v>
      </c>
      <c r="L833" t="s">
        <v>1993</v>
      </c>
      <c r="N833" t="s">
        <v>1994</v>
      </c>
      <c r="O833" t="s">
        <v>925</v>
      </c>
      <c r="Q833" t="s">
        <v>1144</v>
      </c>
      <c r="R833" t="s">
        <v>1145</v>
      </c>
      <c r="S833" t="s">
        <v>1995</v>
      </c>
      <c r="V833" t="s">
        <v>1996</v>
      </c>
      <c r="W833" t="s">
        <v>1993</v>
      </c>
      <c r="AD833" t="s">
        <v>2191</v>
      </c>
    </row>
    <row r="834" spans="1:30" x14ac:dyDescent="0.25">
      <c r="A834" t="s">
        <v>33</v>
      </c>
      <c r="D834" t="s">
        <v>1991</v>
      </c>
      <c r="E834" t="s">
        <v>1992</v>
      </c>
      <c r="H834" t="s">
        <v>280</v>
      </c>
      <c r="I834" t="s">
        <v>1147</v>
      </c>
      <c r="J834" t="s">
        <v>282</v>
      </c>
      <c r="K834" t="s">
        <v>283</v>
      </c>
      <c r="L834" t="s">
        <v>1993</v>
      </c>
      <c r="N834" t="s">
        <v>1994</v>
      </c>
      <c r="O834" t="s">
        <v>1148</v>
      </c>
      <c r="Q834" t="s">
        <v>1149</v>
      </c>
      <c r="R834" t="s">
        <v>1150</v>
      </c>
      <c r="S834" t="s">
        <v>1995</v>
      </c>
      <c r="V834" t="s">
        <v>1996</v>
      </c>
      <c r="W834" t="s">
        <v>1993</v>
      </c>
      <c r="AD834" t="s">
        <v>2192</v>
      </c>
    </row>
    <row r="835" spans="1:30" x14ac:dyDescent="0.25">
      <c r="A835" t="s">
        <v>33</v>
      </c>
      <c r="D835" t="s">
        <v>1991</v>
      </c>
      <c r="E835" t="s">
        <v>1992</v>
      </c>
      <c r="F835" t="s">
        <v>87</v>
      </c>
      <c r="G835" t="s">
        <v>2193</v>
      </c>
      <c r="H835" t="s">
        <v>89</v>
      </c>
      <c r="I835" t="s">
        <v>144</v>
      </c>
      <c r="J835" t="s">
        <v>91</v>
      </c>
      <c r="K835" t="s">
        <v>92</v>
      </c>
      <c r="L835" t="s">
        <v>2194</v>
      </c>
      <c r="M835" t="s">
        <v>94</v>
      </c>
      <c r="N835" t="s">
        <v>2195</v>
      </c>
      <c r="O835" t="s">
        <v>150</v>
      </c>
      <c r="P835">
        <v>1E-3</v>
      </c>
      <c r="R835" t="s">
        <v>1189</v>
      </c>
      <c r="S835" t="s">
        <v>1995</v>
      </c>
      <c r="V835" t="s">
        <v>1996</v>
      </c>
      <c r="W835" t="s">
        <v>1993</v>
      </c>
      <c r="AD835" t="s">
        <v>2196</v>
      </c>
    </row>
    <row r="836" spans="1:30" x14ac:dyDescent="0.25">
      <c r="A836" t="s">
        <v>33</v>
      </c>
      <c r="D836" t="s">
        <v>1991</v>
      </c>
      <c r="E836" t="s">
        <v>1992</v>
      </c>
      <c r="F836" t="s">
        <v>87</v>
      </c>
      <c r="G836" t="s">
        <v>2193</v>
      </c>
      <c r="H836" t="s">
        <v>143</v>
      </c>
      <c r="I836" t="s">
        <v>144</v>
      </c>
      <c r="J836" t="s">
        <v>145</v>
      </c>
      <c r="K836" t="s">
        <v>146</v>
      </c>
      <c r="L836" t="s">
        <v>2194</v>
      </c>
      <c r="M836" t="s">
        <v>176</v>
      </c>
      <c r="N836" t="s">
        <v>2195</v>
      </c>
      <c r="O836" t="s">
        <v>147</v>
      </c>
      <c r="R836" t="s">
        <v>2197</v>
      </c>
      <c r="S836" t="s">
        <v>1995</v>
      </c>
      <c r="V836" t="s">
        <v>1996</v>
      </c>
      <c r="W836" t="s">
        <v>1993</v>
      </c>
      <c r="AD836" t="s">
        <v>2198</v>
      </c>
    </row>
    <row r="837" spans="1:30" x14ac:dyDescent="0.25">
      <c r="A837" t="s">
        <v>33</v>
      </c>
      <c r="D837" t="s">
        <v>1991</v>
      </c>
      <c r="E837" t="s">
        <v>1992</v>
      </c>
      <c r="F837" t="s">
        <v>87</v>
      </c>
      <c r="G837" t="s">
        <v>2193</v>
      </c>
      <c r="H837" t="s">
        <v>38</v>
      </c>
      <c r="I837" t="s">
        <v>106</v>
      </c>
      <c r="J837" t="s">
        <v>40</v>
      </c>
      <c r="K837" t="s">
        <v>41</v>
      </c>
      <c r="L837" t="s">
        <v>2194</v>
      </c>
      <c r="M837" t="s">
        <v>176</v>
      </c>
      <c r="N837" t="s">
        <v>2195</v>
      </c>
      <c r="O837" t="s">
        <v>109</v>
      </c>
      <c r="R837" t="s">
        <v>1192</v>
      </c>
      <c r="S837" t="s">
        <v>1995</v>
      </c>
      <c r="V837" t="s">
        <v>1996</v>
      </c>
      <c r="W837" t="s">
        <v>1993</v>
      </c>
      <c r="AD837" t="s">
        <v>2199</v>
      </c>
    </row>
    <row r="838" spans="1:30" x14ac:dyDescent="0.25">
      <c r="A838" t="s">
        <v>33</v>
      </c>
      <c r="D838" t="s">
        <v>1991</v>
      </c>
      <c r="E838" t="s">
        <v>1992</v>
      </c>
      <c r="F838" t="s">
        <v>87</v>
      </c>
      <c r="G838" t="s">
        <v>2193</v>
      </c>
      <c r="H838" t="s">
        <v>38</v>
      </c>
      <c r="I838" t="s">
        <v>25</v>
      </c>
      <c r="J838" t="s">
        <v>69</v>
      </c>
      <c r="K838" t="s">
        <v>41</v>
      </c>
      <c r="L838" t="s">
        <v>2194</v>
      </c>
      <c r="M838" t="s">
        <v>176</v>
      </c>
      <c r="N838" t="s">
        <v>2195</v>
      </c>
      <c r="O838" t="s">
        <v>512</v>
      </c>
      <c r="R838" t="s">
        <v>525</v>
      </c>
      <c r="S838" t="s">
        <v>1995</v>
      </c>
      <c r="V838" t="s">
        <v>1996</v>
      </c>
      <c r="W838" t="s">
        <v>1993</v>
      </c>
      <c r="AD838" t="s">
        <v>2200</v>
      </c>
    </row>
    <row r="839" spans="1:30" x14ac:dyDescent="0.25">
      <c r="A839" t="s">
        <v>33</v>
      </c>
      <c r="D839" t="s">
        <v>1991</v>
      </c>
      <c r="E839" t="s">
        <v>1992</v>
      </c>
      <c r="F839" t="s">
        <v>87</v>
      </c>
      <c r="G839" t="s">
        <v>2193</v>
      </c>
      <c r="H839" t="s">
        <v>38</v>
      </c>
      <c r="I839" t="s">
        <v>24</v>
      </c>
      <c r="J839" t="s">
        <v>69</v>
      </c>
      <c r="K839" t="s">
        <v>41</v>
      </c>
      <c r="L839" t="s">
        <v>2194</v>
      </c>
      <c r="M839" t="s">
        <v>176</v>
      </c>
      <c r="N839" t="s">
        <v>2195</v>
      </c>
      <c r="O839" t="s">
        <v>509</v>
      </c>
      <c r="R839" t="s">
        <v>523</v>
      </c>
      <c r="S839" t="s">
        <v>1995</v>
      </c>
      <c r="V839" t="s">
        <v>1996</v>
      </c>
      <c r="W839" t="s">
        <v>1993</v>
      </c>
      <c r="AD839" t="s">
        <v>2201</v>
      </c>
    </row>
    <row r="840" spans="1:30" x14ac:dyDescent="0.25">
      <c r="A840" t="s">
        <v>33</v>
      </c>
      <c r="D840" t="s">
        <v>1991</v>
      </c>
      <c r="E840" t="s">
        <v>1992</v>
      </c>
      <c r="F840" t="s">
        <v>87</v>
      </c>
      <c r="G840" t="s">
        <v>2155</v>
      </c>
      <c r="H840" t="s">
        <v>89</v>
      </c>
      <c r="I840" t="s">
        <v>144</v>
      </c>
      <c r="J840" t="s">
        <v>91</v>
      </c>
      <c r="K840" t="s">
        <v>92</v>
      </c>
      <c r="L840" t="s">
        <v>2156</v>
      </c>
      <c r="M840" t="s">
        <v>94</v>
      </c>
      <c r="N840" t="s">
        <v>653</v>
      </c>
      <c r="O840" t="s">
        <v>96</v>
      </c>
      <c r="P840">
        <v>1E-3</v>
      </c>
      <c r="R840" t="s">
        <v>1212</v>
      </c>
      <c r="S840" t="s">
        <v>1995</v>
      </c>
      <c r="V840" t="s">
        <v>1996</v>
      </c>
      <c r="W840" t="s">
        <v>1993</v>
      </c>
      <c r="AD840" t="s">
        <v>2202</v>
      </c>
    </row>
    <row r="841" spans="1:30" x14ac:dyDescent="0.25">
      <c r="A841" t="s">
        <v>33</v>
      </c>
      <c r="D841" t="s">
        <v>1991</v>
      </c>
      <c r="E841" t="s">
        <v>1992</v>
      </c>
      <c r="F841" t="s">
        <v>87</v>
      </c>
      <c r="G841" t="s">
        <v>2155</v>
      </c>
      <c r="H841" t="s">
        <v>166</v>
      </c>
      <c r="I841" t="s">
        <v>216</v>
      </c>
      <c r="J841" t="s">
        <v>167</v>
      </c>
      <c r="K841" t="s">
        <v>41</v>
      </c>
      <c r="L841" t="s">
        <v>2156</v>
      </c>
      <c r="N841" t="s">
        <v>653</v>
      </c>
      <c r="O841" t="s">
        <v>217</v>
      </c>
      <c r="Q841" t="s">
        <v>1199</v>
      </c>
      <c r="R841" t="s">
        <v>1206</v>
      </c>
      <c r="S841" t="s">
        <v>1995</v>
      </c>
      <c r="V841" t="s">
        <v>1996</v>
      </c>
      <c r="W841" t="s">
        <v>1993</v>
      </c>
      <c r="AD841" t="s">
        <v>1207</v>
      </c>
    </row>
    <row r="842" spans="1:30" x14ac:dyDescent="0.25">
      <c r="A842" t="s">
        <v>33</v>
      </c>
      <c r="D842" t="s">
        <v>1991</v>
      </c>
      <c r="E842" t="s">
        <v>1992</v>
      </c>
      <c r="F842" t="s">
        <v>87</v>
      </c>
      <c r="G842" t="s">
        <v>2158</v>
      </c>
      <c r="H842" t="s">
        <v>89</v>
      </c>
      <c r="I842" t="s">
        <v>144</v>
      </c>
      <c r="J842" t="s">
        <v>91</v>
      </c>
      <c r="K842" t="s">
        <v>92</v>
      </c>
      <c r="L842" t="s">
        <v>2159</v>
      </c>
      <c r="M842" t="s">
        <v>94</v>
      </c>
      <c r="N842" t="s">
        <v>658</v>
      </c>
      <c r="O842" t="s">
        <v>96</v>
      </c>
      <c r="P842">
        <v>1E-3</v>
      </c>
      <c r="R842" t="s">
        <v>2203</v>
      </c>
      <c r="S842" t="s">
        <v>1995</v>
      </c>
      <c r="V842" t="s">
        <v>1996</v>
      </c>
      <c r="W842" t="s">
        <v>1993</v>
      </c>
      <c r="AD842" t="s">
        <v>1209</v>
      </c>
    </row>
    <row r="843" spans="1:30" x14ac:dyDescent="0.25">
      <c r="A843" t="s">
        <v>33</v>
      </c>
      <c r="D843" t="s">
        <v>1991</v>
      </c>
      <c r="E843" t="s">
        <v>1992</v>
      </c>
      <c r="F843" t="s">
        <v>87</v>
      </c>
      <c r="G843" t="s">
        <v>2158</v>
      </c>
      <c r="H843" t="s">
        <v>166</v>
      </c>
      <c r="I843" t="s">
        <v>216</v>
      </c>
      <c r="J843" t="s">
        <v>167</v>
      </c>
      <c r="K843" t="s">
        <v>41</v>
      </c>
      <c r="L843" t="s">
        <v>2159</v>
      </c>
      <c r="N843" t="s">
        <v>658</v>
      </c>
      <c r="O843" t="s">
        <v>217</v>
      </c>
      <c r="Q843" t="s">
        <v>1199</v>
      </c>
      <c r="R843" t="s">
        <v>1210</v>
      </c>
      <c r="S843" t="s">
        <v>1995</v>
      </c>
      <c r="V843" t="s">
        <v>1996</v>
      </c>
      <c r="W843" t="s">
        <v>1993</v>
      </c>
      <c r="AD843" t="s">
        <v>1211</v>
      </c>
    </row>
    <row r="844" spans="1:30" x14ac:dyDescent="0.25">
      <c r="A844" t="s">
        <v>33</v>
      </c>
      <c r="D844" t="s">
        <v>1991</v>
      </c>
      <c r="E844" t="s">
        <v>1992</v>
      </c>
      <c r="F844" t="s">
        <v>87</v>
      </c>
      <c r="G844" t="s">
        <v>2134</v>
      </c>
      <c r="H844" t="s">
        <v>89</v>
      </c>
      <c r="I844" t="s">
        <v>144</v>
      </c>
      <c r="J844" t="s">
        <v>91</v>
      </c>
      <c r="K844" t="s">
        <v>92</v>
      </c>
      <c r="L844" t="s">
        <v>2135</v>
      </c>
      <c r="M844" t="s">
        <v>94</v>
      </c>
      <c r="N844" t="s">
        <v>2136</v>
      </c>
      <c r="O844" t="s">
        <v>96</v>
      </c>
      <c r="P844">
        <v>1E-3</v>
      </c>
      <c r="R844" t="s">
        <v>2204</v>
      </c>
      <c r="S844" t="s">
        <v>1995</v>
      </c>
      <c r="V844" t="s">
        <v>1996</v>
      </c>
      <c r="W844" t="s">
        <v>1993</v>
      </c>
      <c r="AD844" t="s">
        <v>2205</v>
      </c>
    </row>
    <row r="845" spans="1:30" x14ac:dyDescent="0.25">
      <c r="A845" t="s">
        <v>33</v>
      </c>
      <c r="D845" t="s">
        <v>1991</v>
      </c>
      <c r="E845" t="s">
        <v>1992</v>
      </c>
      <c r="F845" t="s">
        <v>87</v>
      </c>
      <c r="G845" t="s">
        <v>2134</v>
      </c>
      <c r="H845" t="s">
        <v>166</v>
      </c>
      <c r="I845" t="s">
        <v>216</v>
      </c>
      <c r="J845" t="s">
        <v>167</v>
      </c>
      <c r="K845" t="s">
        <v>41</v>
      </c>
      <c r="L845" t="s">
        <v>2135</v>
      </c>
      <c r="N845" t="s">
        <v>2136</v>
      </c>
      <c r="O845" t="s">
        <v>217</v>
      </c>
      <c r="Q845" t="s">
        <v>1199</v>
      </c>
      <c r="R845" t="s">
        <v>2206</v>
      </c>
      <c r="S845" t="s">
        <v>1995</v>
      </c>
      <c r="V845" t="s">
        <v>1996</v>
      </c>
      <c r="W845" t="s">
        <v>1993</v>
      </c>
      <c r="AD845" t="s">
        <v>2207</v>
      </c>
    </row>
    <row r="846" spans="1:30" x14ac:dyDescent="0.25">
      <c r="A846" t="s">
        <v>33</v>
      </c>
      <c r="D846" t="s">
        <v>1991</v>
      </c>
      <c r="E846" t="s">
        <v>1992</v>
      </c>
      <c r="F846" t="s">
        <v>87</v>
      </c>
      <c r="G846" t="s">
        <v>661</v>
      </c>
      <c r="H846" t="s">
        <v>89</v>
      </c>
      <c r="I846" t="s">
        <v>90</v>
      </c>
      <c r="J846" t="s">
        <v>91</v>
      </c>
      <c r="K846" t="s">
        <v>92</v>
      </c>
      <c r="L846" t="s">
        <v>662</v>
      </c>
      <c r="M846" t="s">
        <v>94</v>
      </c>
      <c r="N846" t="s">
        <v>95</v>
      </c>
      <c r="O846" t="s">
        <v>96</v>
      </c>
      <c r="P846">
        <v>1E-3</v>
      </c>
      <c r="R846" t="s">
        <v>2208</v>
      </c>
      <c r="S846" t="s">
        <v>1995</v>
      </c>
      <c r="V846" t="s">
        <v>1996</v>
      </c>
      <c r="W846" t="s">
        <v>1993</v>
      </c>
      <c r="AD846" t="s">
        <v>98</v>
      </c>
    </row>
    <row r="847" spans="1:30" x14ac:dyDescent="0.25">
      <c r="A847" t="s">
        <v>33</v>
      </c>
      <c r="D847" t="s">
        <v>1991</v>
      </c>
      <c r="E847" t="s">
        <v>1992</v>
      </c>
      <c r="F847" t="s">
        <v>87</v>
      </c>
      <c r="G847" t="s">
        <v>661</v>
      </c>
      <c r="H847" t="s">
        <v>38</v>
      </c>
      <c r="I847" t="s">
        <v>25</v>
      </c>
      <c r="J847" t="s">
        <v>69</v>
      </c>
      <c r="K847" t="s">
        <v>41</v>
      </c>
      <c r="L847" t="s">
        <v>662</v>
      </c>
      <c r="M847" t="s">
        <v>1191</v>
      </c>
      <c r="N847" t="s">
        <v>95</v>
      </c>
      <c r="O847" t="s">
        <v>512</v>
      </c>
      <c r="R847" t="s">
        <v>1545</v>
      </c>
      <c r="S847" t="s">
        <v>1995</v>
      </c>
      <c r="V847" t="s">
        <v>1996</v>
      </c>
      <c r="W847" t="s">
        <v>1993</v>
      </c>
      <c r="X847" t="s">
        <v>1193</v>
      </c>
      <c r="AD847" t="s">
        <v>1220</v>
      </c>
    </row>
    <row r="848" spans="1:30" x14ac:dyDescent="0.25">
      <c r="A848" t="s">
        <v>33</v>
      </c>
      <c r="D848" t="s">
        <v>1991</v>
      </c>
      <c r="E848" t="s">
        <v>1992</v>
      </c>
      <c r="F848" t="s">
        <v>87</v>
      </c>
      <c r="G848" t="s">
        <v>661</v>
      </c>
      <c r="H848" t="s">
        <v>38</v>
      </c>
      <c r="I848" t="s">
        <v>24</v>
      </c>
      <c r="J848" t="s">
        <v>69</v>
      </c>
      <c r="K848" t="s">
        <v>41</v>
      </c>
      <c r="L848" t="s">
        <v>662</v>
      </c>
      <c r="M848" t="s">
        <v>1191</v>
      </c>
      <c r="N848" t="s">
        <v>95</v>
      </c>
      <c r="O848" t="s">
        <v>509</v>
      </c>
      <c r="R848" t="s">
        <v>1547</v>
      </c>
      <c r="S848" t="s">
        <v>1995</v>
      </c>
      <c r="V848" t="s">
        <v>1996</v>
      </c>
      <c r="W848" t="s">
        <v>1993</v>
      </c>
      <c r="X848" t="s">
        <v>1193</v>
      </c>
      <c r="AD848" t="s">
        <v>1222</v>
      </c>
    </row>
    <row r="849" spans="1:30" x14ac:dyDescent="0.25">
      <c r="A849" t="s">
        <v>33</v>
      </c>
      <c r="D849" t="s">
        <v>1991</v>
      </c>
      <c r="E849" t="s">
        <v>1992</v>
      </c>
      <c r="F849" t="s">
        <v>87</v>
      </c>
      <c r="G849" t="s">
        <v>2139</v>
      </c>
      <c r="H849" t="s">
        <v>89</v>
      </c>
      <c r="I849" t="s">
        <v>180</v>
      </c>
      <c r="J849" t="s">
        <v>91</v>
      </c>
      <c r="K849" t="s">
        <v>92</v>
      </c>
      <c r="L849" t="s">
        <v>2140</v>
      </c>
      <c r="M849" t="s">
        <v>94</v>
      </c>
      <c r="N849" t="s">
        <v>2141</v>
      </c>
      <c r="O849" t="s">
        <v>96</v>
      </c>
      <c r="P849">
        <v>1E-3</v>
      </c>
      <c r="R849" t="s">
        <v>2209</v>
      </c>
      <c r="S849" t="s">
        <v>1995</v>
      </c>
      <c r="V849" t="s">
        <v>1996</v>
      </c>
      <c r="W849" t="s">
        <v>1993</v>
      </c>
      <c r="AD849" t="s">
        <v>2210</v>
      </c>
    </row>
    <row r="850" spans="1:30" x14ac:dyDescent="0.25">
      <c r="A850" t="s">
        <v>33</v>
      </c>
      <c r="D850" t="s">
        <v>1991</v>
      </c>
      <c r="E850" t="s">
        <v>1992</v>
      </c>
      <c r="F850" t="s">
        <v>87</v>
      </c>
      <c r="G850" t="s">
        <v>2139</v>
      </c>
      <c r="H850" t="s">
        <v>166</v>
      </c>
      <c r="I850" t="s">
        <v>216</v>
      </c>
      <c r="J850" t="s">
        <v>167</v>
      </c>
      <c r="K850" t="s">
        <v>41</v>
      </c>
      <c r="L850" t="s">
        <v>2140</v>
      </c>
      <c r="N850" t="s">
        <v>2141</v>
      </c>
      <c r="O850" t="s">
        <v>217</v>
      </c>
      <c r="Q850" t="s">
        <v>1227</v>
      </c>
      <c r="R850" t="s">
        <v>2211</v>
      </c>
      <c r="S850" t="s">
        <v>1995</v>
      </c>
      <c r="V850" t="s">
        <v>1996</v>
      </c>
      <c r="W850" t="s">
        <v>1993</v>
      </c>
      <c r="AD850" t="s">
        <v>2212</v>
      </c>
    </row>
    <row r="851" spans="1:30" x14ac:dyDescent="0.25">
      <c r="A851" t="s">
        <v>33</v>
      </c>
      <c r="D851" t="s">
        <v>1991</v>
      </c>
      <c r="E851" t="s">
        <v>1992</v>
      </c>
      <c r="F851" t="s">
        <v>87</v>
      </c>
      <c r="G851" t="s">
        <v>2144</v>
      </c>
      <c r="H851" t="s">
        <v>89</v>
      </c>
      <c r="I851" t="s">
        <v>180</v>
      </c>
      <c r="J851" t="s">
        <v>91</v>
      </c>
      <c r="K851" t="s">
        <v>92</v>
      </c>
      <c r="L851" t="s">
        <v>2145</v>
      </c>
      <c r="M851" t="s">
        <v>94</v>
      </c>
      <c r="N851" t="s">
        <v>2146</v>
      </c>
      <c r="O851" t="s">
        <v>96</v>
      </c>
      <c r="P851">
        <v>1E-3</v>
      </c>
      <c r="R851" t="s">
        <v>2213</v>
      </c>
      <c r="S851" t="s">
        <v>1995</v>
      </c>
      <c r="V851" t="s">
        <v>1996</v>
      </c>
      <c r="W851" t="s">
        <v>1993</v>
      </c>
      <c r="AD851" t="s">
        <v>2214</v>
      </c>
    </row>
    <row r="852" spans="1:30" x14ac:dyDescent="0.25">
      <c r="A852" t="s">
        <v>33</v>
      </c>
      <c r="D852" t="s">
        <v>1991</v>
      </c>
      <c r="E852" t="s">
        <v>1992</v>
      </c>
      <c r="F852" t="s">
        <v>87</v>
      </c>
      <c r="G852" t="s">
        <v>2144</v>
      </c>
      <c r="H852" t="s">
        <v>166</v>
      </c>
      <c r="I852" t="s">
        <v>216</v>
      </c>
      <c r="J852" t="s">
        <v>167</v>
      </c>
      <c r="K852" t="s">
        <v>41</v>
      </c>
      <c r="L852" t="s">
        <v>2145</v>
      </c>
      <c r="N852" t="s">
        <v>2146</v>
      </c>
      <c r="O852" t="s">
        <v>217</v>
      </c>
      <c r="Q852" t="s">
        <v>1227</v>
      </c>
      <c r="R852" t="s">
        <v>2215</v>
      </c>
      <c r="S852" t="s">
        <v>1995</v>
      </c>
      <c r="V852" t="s">
        <v>1996</v>
      </c>
      <c r="W852" t="s">
        <v>1993</v>
      </c>
      <c r="AD852" t="s">
        <v>2216</v>
      </c>
    </row>
    <row r="853" spans="1:30" x14ac:dyDescent="0.25">
      <c r="A853" t="s">
        <v>33</v>
      </c>
      <c r="D853" t="s">
        <v>1991</v>
      </c>
      <c r="E853" t="s">
        <v>1992</v>
      </c>
      <c r="F853" t="s">
        <v>87</v>
      </c>
      <c r="G853" t="s">
        <v>1238</v>
      </c>
      <c r="H853" t="s">
        <v>89</v>
      </c>
      <c r="I853" t="s">
        <v>100</v>
      </c>
      <c r="J853" t="s">
        <v>91</v>
      </c>
      <c r="K853" t="s">
        <v>92</v>
      </c>
      <c r="L853" t="s">
        <v>1239</v>
      </c>
      <c r="M853" t="s">
        <v>94</v>
      </c>
      <c r="N853" t="s">
        <v>1240</v>
      </c>
      <c r="O853" t="s">
        <v>96</v>
      </c>
      <c r="P853">
        <v>1E-3</v>
      </c>
      <c r="R853" t="s">
        <v>2217</v>
      </c>
      <c r="S853" t="s">
        <v>1995</v>
      </c>
      <c r="V853" t="s">
        <v>1996</v>
      </c>
      <c r="W853" t="s">
        <v>1993</v>
      </c>
      <c r="AD853" t="s">
        <v>1242</v>
      </c>
    </row>
    <row r="854" spans="1:30" x14ac:dyDescent="0.25">
      <c r="A854" t="s">
        <v>33</v>
      </c>
      <c r="D854" t="s">
        <v>1991</v>
      </c>
      <c r="E854" t="s">
        <v>1992</v>
      </c>
      <c r="F854" t="s">
        <v>87</v>
      </c>
      <c r="G854" t="s">
        <v>1238</v>
      </c>
      <c r="H854" t="s">
        <v>38</v>
      </c>
      <c r="I854" t="s">
        <v>25</v>
      </c>
      <c r="J854" t="s">
        <v>69</v>
      </c>
      <c r="K854" t="s">
        <v>41</v>
      </c>
      <c r="L854" t="s">
        <v>1239</v>
      </c>
      <c r="M854" t="s">
        <v>1191</v>
      </c>
      <c r="N854" t="s">
        <v>1240</v>
      </c>
      <c r="O854" t="s">
        <v>512</v>
      </c>
      <c r="R854" t="s">
        <v>2218</v>
      </c>
      <c r="S854" t="s">
        <v>1995</v>
      </c>
      <c r="V854" t="s">
        <v>1996</v>
      </c>
      <c r="W854" t="s">
        <v>1993</v>
      </c>
      <c r="X854" t="s">
        <v>1193</v>
      </c>
      <c r="AD854" t="s">
        <v>1246</v>
      </c>
    </row>
    <row r="855" spans="1:30" x14ac:dyDescent="0.25">
      <c r="A855" t="s">
        <v>33</v>
      </c>
      <c r="D855" t="s">
        <v>1991</v>
      </c>
      <c r="E855" t="s">
        <v>1992</v>
      </c>
      <c r="F855" t="s">
        <v>87</v>
      </c>
      <c r="G855" t="s">
        <v>1238</v>
      </c>
      <c r="H855" t="s">
        <v>38</v>
      </c>
      <c r="I855" t="s">
        <v>24</v>
      </c>
      <c r="J855" t="s">
        <v>69</v>
      </c>
      <c r="K855" t="s">
        <v>41</v>
      </c>
      <c r="L855" t="s">
        <v>1239</v>
      </c>
      <c r="M855" t="s">
        <v>1191</v>
      </c>
      <c r="N855" t="s">
        <v>1240</v>
      </c>
      <c r="O855" t="s">
        <v>509</v>
      </c>
      <c r="R855" t="s">
        <v>2219</v>
      </c>
      <c r="S855" t="s">
        <v>1995</v>
      </c>
      <c r="V855" t="s">
        <v>1996</v>
      </c>
      <c r="W855" t="s">
        <v>1993</v>
      </c>
      <c r="X855" t="s">
        <v>1193</v>
      </c>
      <c r="AD855" t="s">
        <v>1248</v>
      </c>
    </row>
    <row r="856" spans="1:30" x14ac:dyDescent="0.25">
      <c r="A856" t="s">
        <v>33</v>
      </c>
      <c r="D856" t="s">
        <v>1991</v>
      </c>
      <c r="E856" t="s">
        <v>1992</v>
      </c>
      <c r="F856" t="s">
        <v>87</v>
      </c>
      <c r="G856" t="s">
        <v>2220</v>
      </c>
      <c r="H856" t="s">
        <v>153</v>
      </c>
      <c r="I856" t="s">
        <v>144</v>
      </c>
      <c r="J856" t="s">
        <v>154</v>
      </c>
      <c r="K856" t="s">
        <v>155</v>
      </c>
      <c r="L856" t="s">
        <v>2221</v>
      </c>
      <c r="N856" t="s">
        <v>459</v>
      </c>
      <c r="O856" t="s">
        <v>156</v>
      </c>
      <c r="R856" t="s">
        <v>1355</v>
      </c>
      <c r="S856" t="s">
        <v>1995</v>
      </c>
      <c r="V856" t="s">
        <v>1996</v>
      </c>
      <c r="W856" t="s">
        <v>1993</v>
      </c>
      <c r="AD856" t="s">
        <v>1356</v>
      </c>
    </row>
    <row r="857" spans="1:30" x14ac:dyDescent="0.25">
      <c r="A857" t="s">
        <v>33</v>
      </c>
      <c r="D857" t="s">
        <v>1991</v>
      </c>
      <c r="E857" t="s">
        <v>1992</v>
      </c>
      <c r="F857" t="s">
        <v>866</v>
      </c>
      <c r="G857" t="s">
        <v>2084</v>
      </c>
      <c r="H857" t="s">
        <v>166</v>
      </c>
      <c r="I857" t="s">
        <v>281</v>
      </c>
      <c r="J857" t="s">
        <v>167</v>
      </c>
      <c r="K857" t="s">
        <v>41</v>
      </c>
      <c r="L857" t="s">
        <v>2085</v>
      </c>
      <c r="N857" t="s">
        <v>971</v>
      </c>
      <c r="O857" t="s">
        <v>858</v>
      </c>
      <c r="Q857" t="s">
        <v>859</v>
      </c>
      <c r="R857" t="s">
        <v>1259</v>
      </c>
      <c r="S857" t="s">
        <v>1995</v>
      </c>
      <c r="V857" t="s">
        <v>1996</v>
      </c>
      <c r="W857" t="s">
        <v>1993</v>
      </c>
      <c r="AD857" t="s">
        <v>1260</v>
      </c>
    </row>
    <row r="858" spans="1:30" x14ac:dyDescent="0.25">
      <c r="A858" t="s">
        <v>33</v>
      </c>
      <c r="D858" t="s">
        <v>1991</v>
      </c>
      <c r="E858" t="s">
        <v>1992</v>
      </c>
      <c r="F858" t="s">
        <v>87</v>
      </c>
      <c r="G858" t="s">
        <v>2023</v>
      </c>
      <c r="H858" t="s">
        <v>153</v>
      </c>
      <c r="I858" t="s">
        <v>144</v>
      </c>
      <c r="J858" t="s">
        <v>154</v>
      </c>
      <c r="K858" t="s">
        <v>155</v>
      </c>
      <c r="L858" t="s">
        <v>2024</v>
      </c>
      <c r="N858" t="s">
        <v>2025</v>
      </c>
      <c r="O858" t="s">
        <v>156</v>
      </c>
      <c r="R858" t="s">
        <v>2222</v>
      </c>
      <c r="S858" t="s">
        <v>1995</v>
      </c>
      <c r="V858" t="s">
        <v>1996</v>
      </c>
      <c r="W858" t="s">
        <v>1993</v>
      </c>
      <c r="AD858" t="s">
        <v>2223</v>
      </c>
    </row>
    <row r="859" spans="1:30" x14ac:dyDescent="0.25">
      <c r="A859" t="s">
        <v>33</v>
      </c>
      <c r="D859" t="s">
        <v>1991</v>
      </c>
      <c r="E859" t="s">
        <v>1992</v>
      </c>
      <c r="F859" t="s">
        <v>866</v>
      </c>
      <c r="G859" t="s">
        <v>2084</v>
      </c>
      <c r="H859" t="s">
        <v>280</v>
      </c>
      <c r="I859" t="s">
        <v>1263</v>
      </c>
      <c r="J859" t="s">
        <v>282</v>
      </c>
      <c r="K859" t="s">
        <v>283</v>
      </c>
      <c r="L859" t="s">
        <v>2085</v>
      </c>
      <c r="N859" t="s">
        <v>971</v>
      </c>
      <c r="O859" t="s">
        <v>1264</v>
      </c>
      <c r="Q859" t="s">
        <v>1265</v>
      </c>
      <c r="R859" t="s">
        <v>1266</v>
      </c>
      <c r="S859" t="s">
        <v>1995</v>
      </c>
      <c r="V859" t="s">
        <v>1996</v>
      </c>
      <c r="W859" t="s">
        <v>1993</v>
      </c>
      <c r="AD859" t="s">
        <v>1267</v>
      </c>
    </row>
    <row r="860" spans="1:30" x14ac:dyDescent="0.25">
      <c r="A860" t="s">
        <v>33</v>
      </c>
      <c r="D860" t="s">
        <v>1991</v>
      </c>
      <c r="E860" t="s">
        <v>1992</v>
      </c>
      <c r="F860" t="s">
        <v>866</v>
      </c>
      <c r="G860" t="s">
        <v>2084</v>
      </c>
      <c r="H860" t="s">
        <v>166</v>
      </c>
      <c r="I860" t="s">
        <v>80</v>
      </c>
      <c r="J860" t="s">
        <v>167</v>
      </c>
      <c r="K860" t="s">
        <v>41</v>
      </c>
      <c r="L860" t="s">
        <v>2085</v>
      </c>
      <c r="N860" t="s">
        <v>971</v>
      </c>
      <c r="O860" t="s">
        <v>862</v>
      </c>
      <c r="Q860" t="s">
        <v>863</v>
      </c>
      <c r="R860" t="s">
        <v>1268</v>
      </c>
      <c r="S860" t="s">
        <v>1995</v>
      </c>
      <c r="V860" t="s">
        <v>1996</v>
      </c>
      <c r="W860" t="s">
        <v>1993</v>
      </c>
      <c r="AD860" t="s">
        <v>1269</v>
      </c>
    </row>
    <row r="861" spans="1:30" x14ac:dyDescent="0.25">
      <c r="A861" t="s">
        <v>33</v>
      </c>
      <c r="D861" t="s">
        <v>1991</v>
      </c>
      <c r="E861" t="s">
        <v>1992</v>
      </c>
      <c r="F861" t="s">
        <v>87</v>
      </c>
      <c r="G861" t="s">
        <v>2029</v>
      </c>
      <c r="H861" t="s">
        <v>153</v>
      </c>
      <c r="I861" t="s">
        <v>144</v>
      </c>
      <c r="J861" t="s">
        <v>154</v>
      </c>
      <c r="K861" t="s">
        <v>155</v>
      </c>
      <c r="L861" t="s">
        <v>2030</v>
      </c>
      <c r="N861" t="s">
        <v>2031</v>
      </c>
      <c r="O861" t="s">
        <v>156</v>
      </c>
      <c r="R861" t="s">
        <v>2224</v>
      </c>
      <c r="S861" t="s">
        <v>1995</v>
      </c>
      <c r="V861" t="s">
        <v>1996</v>
      </c>
      <c r="W861" t="s">
        <v>1993</v>
      </c>
      <c r="AD861" t="s">
        <v>2225</v>
      </c>
    </row>
    <row r="862" spans="1:30" x14ac:dyDescent="0.25">
      <c r="A862" t="s">
        <v>33</v>
      </c>
      <c r="D862" t="s">
        <v>1991</v>
      </c>
      <c r="E862" t="s">
        <v>1992</v>
      </c>
      <c r="F862" t="s">
        <v>866</v>
      </c>
      <c r="G862" t="s">
        <v>2084</v>
      </c>
      <c r="H862" t="s">
        <v>166</v>
      </c>
      <c r="I862" t="s">
        <v>216</v>
      </c>
      <c r="J862" t="s">
        <v>167</v>
      </c>
      <c r="K862" t="s">
        <v>41</v>
      </c>
      <c r="L862" t="s">
        <v>2085</v>
      </c>
      <c r="N862" t="s">
        <v>971</v>
      </c>
      <c r="O862" t="s">
        <v>872</v>
      </c>
      <c r="Q862" t="s">
        <v>873</v>
      </c>
      <c r="R862" t="s">
        <v>1276</v>
      </c>
      <c r="S862" t="s">
        <v>1995</v>
      </c>
      <c r="V862" t="s">
        <v>1996</v>
      </c>
      <c r="W862" t="s">
        <v>1993</v>
      </c>
      <c r="AD862" t="s">
        <v>1277</v>
      </c>
    </row>
    <row r="863" spans="1:30" x14ac:dyDescent="0.25">
      <c r="A863" t="s">
        <v>33</v>
      </c>
      <c r="D863" t="s">
        <v>1991</v>
      </c>
      <c r="E863" t="s">
        <v>1992</v>
      </c>
      <c r="F863" t="s">
        <v>866</v>
      </c>
      <c r="G863" t="s">
        <v>2226</v>
      </c>
      <c r="H863" t="s">
        <v>166</v>
      </c>
      <c r="I863" t="s">
        <v>2227</v>
      </c>
      <c r="J863" t="s">
        <v>167</v>
      </c>
      <c r="K863" t="s">
        <v>41</v>
      </c>
      <c r="L863" t="s">
        <v>2228</v>
      </c>
      <c r="N863" t="s">
        <v>1281</v>
      </c>
      <c r="O863" t="s">
        <v>2229</v>
      </c>
      <c r="Q863" t="s">
        <v>1133</v>
      </c>
      <c r="R863" t="s">
        <v>2230</v>
      </c>
      <c r="S863" t="s">
        <v>1995</v>
      </c>
      <c r="V863" t="s">
        <v>1996</v>
      </c>
      <c r="W863" t="s">
        <v>1993</v>
      </c>
      <c r="AD863" t="s">
        <v>2231</v>
      </c>
    </row>
    <row r="864" spans="1:30" x14ac:dyDescent="0.25">
      <c r="A864" t="s">
        <v>33</v>
      </c>
      <c r="D864" t="s">
        <v>1991</v>
      </c>
      <c r="E864" t="s">
        <v>1992</v>
      </c>
      <c r="F864" t="s">
        <v>866</v>
      </c>
      <c r="G864" t="s">
        <v>2226</v>
      </c>
      <c r="H864" t="s">
        <v>143</v>
      </c>
      <c r="I864" t="s">
        <v>2232</v>
      </c>
      <c r="J864" t="s">
        <v>145</v>
      </c>
      <c r="K864" t="s">
        <v>146</v>
      </c>
      <c r="L864" t="s">
        <v>2228</v>
      </c>
      <c r="M864" t="s">
        <v>176</v>
      </c>
      <c r="N864" t="s">
        <v>1281</v>
      </c>
      <c r="O864" t="s">
        <v>2233</v>
      </c>
      <c r="R864" t="s">
        <v>2234</v>
      </c>
      <c r="S864" t="s">
        <v>1995</v>
      </c>
      <c r="V864" t="s">
        <v>1996</v>
      </c>
      <c r="W864" t="s">
        <v>1993</v>
      </c>
      <c r="AD864" t="s">
        <v>2235</v>
      </c>
    </row>
    <row r="865" spans="1:30" x14ac:dyDescent="0.25">
      <c r="A865" t="s">
        <v>33</v>
      </c>
      <c r="D865" t="s">
        <v>1991</v>
      </c>
      <c r="E865" t="s">
        <v>1992</v>
      </c>
      <c r="F865" t="s">
        <v>866</v>
      </c>
      <c r="G865" t="s">
        <v>2226</v>
      </c>
      <c r="H865" t="s">
        <v>166</v>
      </c>
      <c r="I865" t="s">
        <v>1279</v>
      </c>
      <c r="J865" t="s">
        <v>167</v>
      </c>
      <c r="K865" t="s">
        <v>41</v>
      </c>
      <c r="L865" t="s">
        <v>2228</v>
      </c>
      <c r="N865" t="s">
        <v>1281</v>
      </c>
      <c r="O865" t="s">
        <v>1282</v>
      </c>
      <c r="Q865" t="s">
        <v>1133</v>
      </c>
      <c r="R865" t="s">
        <v>1283</v>
      </c>
      <c r="S865" t="s">
        <v>1995</v>
      </c>
      <c r="V865" t="s">
        <v>1996</v>
      </c>
      <c r="W865" t="s">
        <v>1993</v>
      </c>
      <c r="AD865" t="s">
        <v>1284</v>
      </c>
    </row>
    <row r="866" spans="1:30" x14ac:dyDescent="0.25">
      <c r="A866" t="s">
        <v>33</v>
      </c>
      <c r="D866" t="s">
        <v>1991</v>
      </c>
      <c r="E866" t="s">
        <v>1992</v>
      </c>
      <c r="F866" t="s">
        <v>866</v>
      </c>
      <c r="G866" t="s">
        <v>2226</v>
      </c>
      <c r="H866" t="s">
        <v>143</v>
      </c>
      <c r="I866" t="s">
        <v>1285</v>
      </c>
      <c r="J866" t="s">
        <v>145</v>
      </c>
      <c r="K866" t="s">
        <v>146</v>
      </c>
      <c r="L866" t="s">
        <v>2228</v>
      </c>
      <c r="M866" t="s">
        <v>176</v>
      </c>
      <c r="N866" t="s">
        <v>1281</v>
      </c>
      <c r="O866" t="s">
        <v>1286</v>
      </c>
      <c r="R866" t="s">
        <v>1287</v>
      </c>
      <c r="S866" t="s">
        <v>1995</v>
      </c>
      <c r="V866" t="s">
        <v>1996</v>
      </c>
      <c r="W866" t="s">
        <v>1993</v>
      </c>
      <c r="AD866" t="s">
        <v>1288</v>
      </c>
    </row>
    <row r="867" spans="1:30" x14ac:dyDescent="0.25">
      <c r="A867" t="s">
        <v>33</v>
      </c>
      <c r="D867" t="s">
        <v>1991</v>
      </c>
      <c r="E867" t="s">
        <v>1992</v>
      </c>
      <c r="F867" t="s">
        <v>866</v>
      </c>
      <c r="G867" t="s">
        <v>2226</v>
      </c>
      <c r="H867" t="s">
        <v>143</v>
      </c>
      <c r="I867" t="s">
        <v>1289</v>
      </c>
      <c r="J867" t="s">
        <v>145</v>
      </c>
      <c r="K867" t="s">
        <v>146</v>
      </c>
      <c r="L867" t="s">
        <v>2228</v>
      </c>
      <c r="M867" t="s">
        <v>176</v>
      </c>
      <c r="N867" t="s">
        <v>1281</v>
      </c>
      <c r="O867" t="s">
        <v>1290</v>
      </c>
      <c r="R867" t="s">
        <v>1291</v>
      </c>
      <c r="S867" t="s">
        <v>1995</v>
      </c>
      <c r="V867" t="s">
        <v>1996</v>
      </c>
      <c r="W867" t="s">
        <v>1993</v>
      </c>
      <c r="AD867" t="s">
        <v>1292</v>
      </c>
    </row>
    <row r="868" spans="1:30" x14ac:dyDescent="0.25">
      <c r="A868" t="s">
        <v>33</v>
      </c>
      <c r="D868" t="s">
        <v>1991</v>
      </c>
      <c r="E868" t="s">
        <v>1992</v>
      </c>
      <c r="F868" t="s">
        <v>866</v>
      </c>
      <c r="G868" t="s">
        <v>2096</v>
      </c>
      <c r="H868" t="s">
        <v>166</v>
      </c>
      <c r="I868" t="s">
        <v>281</v>
      </c>
      <c r="J868" t="s">
        <v>167</v>
      </c>
      <c r="K868" t="s">
        <v>41</v>
      </c>
      <c r="L868" t="s">
        <v>2097</v>
      </c>
      <c r="N868" t="s">
        <v>971</v>
      </c>
      <c r="O868" t="s">
        <v>858</v>
      </c>
      <c r="Q868" t="s">
        <v>859</v>
      </c>
      <c r="R868" t="s">
        <v>1293</v>
      </c>
      <c r="S868" t="s">
        <v>1995</v>
      </c>
      <c r="V868" t="s">
        <v>1996</v>
      </c>
      <c r="W868" t="s">
        <v>1993</v>
      </c>
      <c r="AD868" t="s">
        <v>1260</v>
      </c>
    </row>
    <row r="869" spans="1:30" x14ac:dyDescent="0.25">
      <c r="A869" t="s">
        <v>33</v>
      </c>
      <c r="D869" t="s">
        <v>1991</v>
      </c>
      <c r="E869" t="s">
        <v>1992</v>
      </c>
      <c r="F869" t="s">
        <v>866</v>
      </c>
      <c r="G869" t="s">
        <v>2096</v>
      </c>
      <c r="H869" t="s">
        <v>280</v>
      </c>
      <c r="I869" t="s">
        <v>1263</v>
      </c>
      <c r="J869" t="s">
        <v>282</v>
      </c>
      <c r="K869" t="s">
        <v>283</v>
      </c>
      <c r="L869" t="s">
        <v>2097</v>
      </c>
      <c r="N869" t="s">
        <v>971</v>
      </c>
      <c r="O869" t="s">
        <v>1264</v>
      </c>
      <c r="Q869" t="s">
        <v>1265</v>
      </c>
      <c r="R869" t="s">
        <v>1296</v>
      </c>
      <c r="S869" t="s">
        <v>1995</v>
      </c>
      <c r="V869" t="s">
        <v>1996</v>
      </c>
      <c r="W869" t="s">
        <v>1993</v>
      </c>
      <c r="AD869" t="s">
        <v>1267</v>
      </c>
    </row>
    <row r="870" spans="1:30" x14ac:dyDescent="0.25">
      <c r="A870" t="s">
        <v>33</v>
      </c>
      <c r="D870" t="s">
        <v>1991</v>
      </c>
      <c r="E870" t="s">
        <v>1992</v>
      </c>
      <c r="F870" t="s">
        <v>866</v>
      </c>
      <c r="G870" t="s">
        <v>2096</v>
      </c>
      <c r="H870" t="s">
        <v>166</v>
      </c>
      <c r="I870" t="s">
        <v>80</v>
      </c>
      <c r="J870" t="s">
        <v>167</v>
      </c>
      <c r="K870" t="s">
        <v>41</v>
      </c>
      <c r="L870" t="s">
        <v>2097</v>
      </c>
      <c r="N870" t="s">
        <v>971</v>
      </c>
      <c r="O870" t="s">
        <v>862</v>
      </c>
      <c r="Q870" t="s">
        <v>863</v>
      </c>
      <c r="R870" t="s">
        <v>1297</v>
      </c>
      <c r="S870" t="s">
        <v>1995</v>
      </c>
      <c r="V870" t="s">
        <v>1996</v>
      </c>
      <c r="W870" t="s">
        <v>1993</v>
      </c>
      <c r="AD870" t="s">
        <v>1269</v>
      </c>
    </row>
    <row r="871" spans="1:30" x14ac:dyDescent="0.25">
      <c r="A871" t="s">
        <v>33</v>
      </c>
      <c r="D871" t="s">
        <v>1991</v>
      </c>
      <c r="E871" t="s">
        <v>1992</v>
      </c>
      <c r="F871" t="s">
        <v>866</v>
      </c>
      <c r="G871" t="s">
        <v>2096</v>
      </c>
      <c r="H871" t="s">
        <v>166</v>
      </c>
      <c r="I871" t="s">
        <v>216</v>
      </c>
      <c r="J871" t="s">
        <v>167</v>
      </c>
      <c r="K871" t="s">
        <v>41</v>
      </c>
      <c r="L871" t="s">
        <v>2097</v>
      </c>
      <c r="N871" t="s">
        <v>971</v>
      </c>
      <c r="O871" t="s">
        <v>872</v>
      </c>
      <c r="Q871" t="s">
        <v>873</v>
      </c>
      <c r="R871" t="s">
        <v>1300</v>
      </c>
      <c r="S871" t="s">
        <v>1995</v>
      </c>
      <c r="V871" t="s">
        <v>1996</v>
      </c>
      <c r="W871" t="s">
        <v>1993</v>
      </c>
      <c r="AD871" t="s">
        <v>1277</v>
      </c>
    </row>
    <row r="872" spans="1:30" x14ac:dyDescent="0.25">
      <c r="A872" t="s">
        <v>33</v>
      </c>
      <c r="D872" t="s">
        <v>1991</v>
      </c>
      <c r="E872" t="s">
        <v>1992</v>
      </c>
      <c r="F872" t="s">
        <v>78</v>
      </c>
      <c r="G872" t="s">
        <v>2236</v>
      </c>
      <c r="H872" t="s">
        <v>280</v>
      </c>
      <c r="I872" t="s">
        <v>281</v>
      </c>
      <c r="J872" t="s">
        <v>282</v>
      </c>
      <c r="K872" t="s">
        <v>283</v>
      </c>
      <c r="L872" t="s">
        <v>2237</v>
      </c>
      <c r="N872" t="s">
        <v>1303</v>
      </c>
      <c r="O872" t="s">
        <v>284</v>
      </c>
      <c r="Q872" t="s">
        <v>285</v>
      </c>
      <c r="R872" t="s">
        <v>1304</v>
      </c>
      <c r="S872" t="s">
        <v>1995</v>
      </c>
      <c r="V872" t="s">
        <v>1996</v>
      </c>
      <c r="W872" t="s">
        <v>1993</v>
      </c>
      <c r="AD872" t="s">
        <v>1305</v>
      </c>
    </row>
    <row r="873" spans="1:30" x14ac:dyDescent="0.25">
      <c r="A873" t="s">
        <v>33</v>
      </c>
      <c r="D873" t="s">
        <v>1991</v>
      </c>
      <c r="E873" t="s">
        <v>1992</v>
      </c>
      <c r="F873" t="s">
        <v>78</v>
      </c>
      <c r="G873" t="s">
        <v>2236</v>
      </c>
      <c r="H873" t="s">
        <v>38</v>
      </c>
      <c r="I873" t="s">
        <v>257</v>
      </c>
      <c r="J873" t="s">
        <v>40</v>
      </c>
      <c r="K873" t="s">
        <v>41</v>
      </c>
      <c r="L873" t="s">
        <v>2237</v>
      </c>
      <c r="M873" t="s">
        <v>82</v>
      </c>
      <c r="N873" t="s">
        <v>1303</v>
      </c>
      <c r="O873" t="s">
        <v>258</v>
      </c>
      <c r="R873" t="s">
        <v>1306</v>
      </c>
      <c r="S873" t="s">
        <v>1995</v>
      </c>
      <c r="V873" t="s">
        <v>1996</v>
      </c>
      <c r="W873" t="s">
        <v>1993</v>
      </c>
      <c r="AD873" t="s">
        <v>1307</v>
      </c>
    </row>
    <row r="874" spans="1:30" x14ac:dyDescent="0.25">
      <c r="A874" t="s">
        <v>33</v>
      </c>
      <c r="D874" t="s">
        <v>1991</v>
      </c>
      <c r="E874" t="s">
        <v>1992</v>
      </c>
      <c r="F874" t="s">
        <v>78</v>
      </c>
      <c r="G874" t="s">
        <v>2236</v>
      </c>
      <c r="H874" t="s">
        <v>143</v>
      </c>
      <c r="I874" t="s">
        <v>276</v>
      </c>
      <c r="J874" t="s">
        <v>145</v>
      </c>
      <c r="K874" t="s">
        <v>146</v>
      </c>
      <c r="L874" t="s">
        <v>2237</v>
      </c>
      <c r="N874" t="s">
        <v>1303</v>
      </c>
      <c r="O874" t="s">
        <v>277</v>
      </c>
      <c r="R874" t="s">
        <v>1308</v>
      </c>
      <c r="S874" t="s">
        <v>1995</v>
      </c>
      <c r="V874" t="s">
        <v>1996</v>
      </c>
      <c r="W874" t="s">
        <v>1993</v>
      </c>
      <c r="X874" t="s">
        <v>270</v>
      </c>
      <c r="AD874" t="s">
        <v>1309</v>
      </c>
    </row>
    <row r="875" spans="1:30" x14ac:dyDescent="0.25">
      <c r="A875" t="s">
        <v>33</v>
      </c>
      <c r="D875" t="s">
        <v>1991</v>
      </c>
      <c r="E875" t="s">
        <v>1992</v>
      </c>
      <c r="F875" t="s">
        <v>78</v>
      </c>
      <c r="G875" t="s">
        <v>2236</v>
      </c>
      <c r="H875" t="s">
        <v>143</v>
      </c>
      <c r="I875" t="s">
        <v>272</v>
      </c>
      <c r="J875" t="s">
        <v>145</v>
      </c>
      <c r="K875" t="s">
        <v>146</v>
      </c>
      <c r="L875" t="s">
        <v>2237</v>
      </c>
      <c r="N875" t="s">
        <v>1303</v>
      </c>
      <c r="O875" t="s">
        <v>273</v>
      </c>
      <c r="R875" t="s">
        <v>1310</v>
      </c>
      <c r="S875" t="s">
        <v>1995</v>
      </c>
      <c r="V875" t="s">
        <v>1996</v>
      </c>
      <c r="W875" t="s">
        <v>1993</v>
      </c>
      <c r="X875" t="s">
        <v>270</v>
      </c>
      <c r="AD875" t="s">
        <v>1311</v>
      </c>
    </row>
    <row r="876" spans="1:30" x14ac:dyDescent="0.25">
      <c r="A876" t="s">
        <v>33</v>
      </c>
      <c r="D876" t="s">
        <v>1991</v>
      </c>
      <c r="E876" t="s">
        <v>1992</v>
      </c>
      <c r="F876" t="s">
        <v>78</v>
      </c>
      <c r="G876" t="s">
        <v>2236</v>
      </c>
      <c r="H876" t="s">
        <v>143</v>
      </c>
      <c r="I876" t="s">
        <v>257</v>
      </c>
      <c r="J876" t="s">
        <v>145</v>
      </c>
      <c r="K876" t="s">
        <v>146</v>
      </c>
      <c r="L876" t="s">
        <v>2237</v>
      </c>
      <c r="M876" t="s">
        <v>82</v>
      </c>
      <c r="N876" t="s">
        <v>1303</v>
      </c>
      <c r="O876" t="s">
        <v>292</v>
      </c>
      <c r="R876" t="s">
        <v>1312</v>
      </c>
      <c r="S876" t="s">
        <v>1995</v>
      </c>
      <c r="V876" t="s">
        <v>1996</v>
      </c>
      <c r="W876" t="s">
        <v>1993</v>
      </c>
      <c r="AD876" t="s">
        <v>1313</v>
      </c>
    </row>
    <row r="877" spans="1:30" x14ac:dyDescent="0.25">
      <c r="A877" t="s">
        <v>33</v>
      </c>
      <c r="D877" t="s">
        <v>1991</v>
      </c>
      <c r="E877" t="s">
        <v>1992</v>
      </c>
      <c r="F877" t="s">
        <v>78</v>
      </c>
      <c r="G877" t="s">
        <v>2236</v>
      </c>
      <c r="H877" t="s">
        <v>143</v>
      </c>
      <c r="I877" t="s">
        <v>295</v>
      </c>
      <c r="J877" t="s">
        <v>145</v>
      </c>
      <c r="K877" t="s">
        <v>146</v>
      </c>
      <c r="L877" t="s">
        <v>2237</v>
      </c>
      <c r="M877" t="s">
        <v>82</v>
      </c>
      <c r="N877" t="s">
        <v>1303</v>
      </c>
      <c r="O877" t="s">
        <v>296</v>
      </c>
      <c r="R877" t="s">
        <v>1314</v>
      </c>
      <c r="S877" t="s">
        <v>1995</v>
      </c>
      <c r="V877" t="s">
        <v>1996</v>
      </c>
      <c r="W877" t="s">
        <v>1993</v>
      </c>
      <c r="AD877" t="s">
        <v>1315</v>
      </c>
    </row>
    <row r="878" spans="1:30" x14ac:dyDescent="0.25">
      <c r="A878" t="s">
        <v>33</v>
      </c>
      <c r="D878" t="s">
        <v>1991</v>
      </c>
      <c r="E878" t="s">
        <v>1992</v>
      </c>
      <c r="F878" t="s">
        <v>78</v>
      </c>
      <c r="G878" t="s">
        <v>2236</v>
      </c>
      <c r="H878" t="s">
        <v>143</v>
      </c>
      <c r="I878" t="s">
        <v>299</v>
      </c>
      <c r="J878" t="s">
        <v>145</v>
      </c>
      <c r="K878" t="s">
        <v>146</v>
      </c>
      <c r="L878" t="s">
        <v>2237</v>
      </c>
      <c r="M878" t="s">
        <v>82</v>
      </c>
      <c r="N878" t="s">
        <v>1303</v>
      </c>
      <c r="O878" t="s">
        <v>300</v>
      </c>
      <c r="R878" t="s">
        <v>1316</v>
      </c>
      <c r="S878" t="s">
        <v>1995</v>
      </c>
      <c r="V878" t="s">
        <v>1996</v>
      </c>
      <c r="W878" t="s">
        <v>1993</v>
      </c>
      <c r="AD878" t="s">
        <v>1317</v>
      </c>
    </row>
    <row r="879" spans="1:30" x14ac:dyDescent="0.25">
      <c r="A879" t="s">
        <v>33</v>
      </c>
      <c r="D879" t="s">
        <v>1991</v>
      </c>
      <c r="E879" t="s">
        <v>1992</v>
      </c>
      <c r="F879" t="s">
        <v>78</v>
      </c>
      <c r="G879" t="s">
        <v>2236</v>
      </c>
      <c r="H879" t="s">
        <v>38</v>
      </c>
      <c r="I879" t="s">
        <v>250</v>
      </c>
      <c r="J879" t="s">
        <v>40</v>
      </c>
      <c r="K879" t="s">
        <v>41</v>
      </c>
      <c r="L879" t="s">
        <v>2237</v>
      </c>
      <c r="M879" t="s">
        <v>252</v>
      </c>
      <c r="N879" t="s">
        <v>1303</v>
      </c>
      <c r="O879" t="s">
        <v>254</v>
      </c>
      <c r="R879" t="s">
        <v>1318</v>
      </c>
      <c r="S879" t="s">
        <v>1995</v>
      </c>
      <c r="V879" t="s">
        <v>1996</v>
      </c>
      <c r="W879" t="s">
        <v>1993</v>
      </c>
      <c r="AD879" t="s">
        <v>1319</v>
      </c>
    </row>
    <row r="880" spans="1:30" x14ac:dyDescent="0.25">
      <c r="A880" t="s">
        <v>33</v>
      </c>
      <c r="D880" t="s">
        <v>1991</v>
      </c>
      <c r="E880" t="s">
        <v>1992</v>
      </c>
      <c r="F880" t="s">
        <v>78</v>
      </c>
      <c r="G880" t="s">
        <v>2236</v>
      </c>
      <c r="H880" t="s">
        <v>143</v>
      </c>
      <c r="I880" t="s">
        <v>267</v>
      </c>
      <c r="J880" t="s">
        <v>145</v>
      </c>
      <c r="K880" t="s">
        <v>146</v>
      </c>
      <c r="L880" t="s">
        <v>2237</v>
      </c>
      <c r="N880" t="s">
        <v>1303</v>
      </c>
      <c r="O880" t="s">
        <v>268</v>
      </c>
      <c r="R880" t="s">
        <v>1320</v>
      </c>
      <c r="S880" t="s">
        <v>1995</v>
      </c>
      <c r="V880" t="s">
        <v>1996</v>
      </c>
      <c r="W880" t="s">
        <v>1993</v>
      </c>
      <c r="X880" t="s">
        <v>270</v>
      </c>
      <c r="AD880" t="s">
        <v>1321</v>
      </c>
    </row>
    <row r="881" spans="1:30" x14ac:dyDescent="0.25">
      <c r="A881" t="s">
        <v>33</v>
      </c>
      <c r="D881" t="s">
        <v>1991</v>
      </c>
      <c r="E881" t="s">
        <v>1992</v>
      </c>
      <c r="F881" t="s">
        <v>78</v>
      </c>
      <c r="G881" t="s">
        <v>2236</v>
      </c>
      <c r="H881" t="s">
        <v>143</v>
      </c>
      <c r="I881" t="s">
        <v>261</v>
      </c>
      <c r="J881" t="s">
        <v>145</v>
      </c>
      <c r="K881" t="s">
        <v>146</v>
      </c>
      <c r="L881" t="s">
        <v>2237</v>
      </c>
      <c r="M881" t="s">
        <v>252</v>
      </c>
      <c r="N881" t="s">
        <v>1303</v>
      </c>
      <c r="O881" t="s">
        <v>263</v>
      </c>
      <c r="R881" t="s">
        <v>1322</v>
      </c>
      <c r="S881" t="s">
        <v>1995</v>
      </c>
      <c r="V881" t="s">
        <v>1996</v>
      </c>
      <c r="W881" t="s">
        <v>1993</v>
      </c>
      <c r="AD881" t="s">
        <v>1323</v>
      </c>
    </row>
    <row r="882" spans="1:30" x14ac:dyDescent="0.25">
      <c r="A882" t="s">
        <v>33</v>
      </c>
      <c r="D882" t="s">
        <v>1991</v>
      </c>
      <c r="E882" t="s">
        <v>1992</v>
      </c>
      <c r="F882" t="s">
        <v>87</v>
      </c>
      <c r="G882" t="s">
        <v>389</v>
      </c>
      <c r="H882" t="s">
        <v>153</v>
      </c>
      <c r="I882" t="s">
        <v>144</v>
      </c>
      <c r="J882" t="s">
        <v>154</v>
      </c>
      <c r="K882" t="s">
        <v>155</v>
      </c>
      <c r="L882" t="s">
        <v>390</v>
      </c>
      <c r="N882" t="s">
        <v>371</v>
      </c>
      <c r="O882" t="s">
        <v>156</v>
      </c>
      <c r="R882" t="s">
        <v>1397</v>
      </c>
      <c r="S882" t="s">
        <v>1995</v>
      </c>
      <c r="V882" t="s">
        <v>1996</v>
      </c>
      <c r="W882" t="s">
        <v>1993</v>
      </c>
      <c r="AD882" t="s">
        <v>379</v>
      </c>
    </row>
    <row r="883" spans="1:30" x14ac:dyDescent="0.25">
      <c r="A883" t="s">
        <v>33</v>
      </c>
      <c r="D883" t="s">
        <v>1991</v>
      </c>
      <c r="E883" t="s">
        <v>1992</v>
      </c>
      <c r="F883" t="s">
        <v>87</v>
      </c>
      <c r="G883" t="s">
        <v>389</v>
      </c>
      <c r="H883" t="s">
        <v>89</v>
      </c>
      <c r="I883" t="s">
        <v>144</v>
      </c>
      <c r="J883" t="s">
        <v>91</v>
      </c>
      <c r="K883" t="s">
        <v>92</v>
      </c>
      <c r="L883" t="s">
        <v>390</v>
      </c>
      <c r="M883" t="s">
        <v>94</v>
      </c>
      <c r="N883" t="s">
        <v>371</v>
      </c>
      <c r="O883" t="s">
        <v>150</v>
      </c>
      <c r="P883">
        <v>1E-3</v>
      </c>
      <c r="R883" t="s">
        <v>1412</v>
      </c>
      <c r="S883" t="s">
        <v>1995</v>
      </c>
      <c r="V883" t="s">
        <v>1996</v>
      </c>
      <c r="W883" t="s">
        <v>1993</v>
      </c>
      <c r="AD883" t="s">
        <v>377</v>
      </c>
    </row>
    <row r="884" spans="1:30" x14ac:dyDescent="0.25">
      <c r="A884" t="s">
        <v>33</v>
      </c>
      <c r="D884" t="s">
        <v>1991</v>
      </c>
      <c r="E884" t="s">
        <v>1992</v>
      </c>
      <c r="F884" t="s">
        <v>87</v>
      </c>
      <c r="G884" t="s">
        <v>389</v>
      </c>
      <c r="H884" t="s">
        <v>143</v>
      </c>
      <c r="I884" t="s">
        <v>144</v>
      </c>
      <c r="J884" t="s">
        <v>145</v>
      </c>
      <c r="K884" t="s">
        <v>146</v>
      </c>
      <c r="L884" t="s">
        <v>390</v>
      </c>
      <c r="M884" t="s">
        <v>252</v>
      </c>
      <c r="N884" t="s">
        <v>371</v>
      </c>
      <c r="O884" t="s">
        <v>147</v>
      </c>
      <c r="R884" t="s">
        <v>1414</v>
      </c>
      <c r="S884" t="s">
        <v>1995</v>
      </c>
      <c r="V884" t="s">
        <v>1996</v>
      </c>
      <c r="W884" t="s">
        <v>1993</v>
      </c>
      <c r="AD884" t="s">
        <v>375</v>
      </c>
    </row>
    <row r="885" spans="1:30" x14ac:dyDescent="0.25">
      <c r="A885" t="s">
        <v>33</v>
      </c>
      <c r="D885" t="s">
        <v>1991</v>
      </c>
      <c r="E885" t="s">
        <v>1992</v>
      </c>
      <c r="F885" t="s">
        <v>87</v>
      </c>
      <c r="G885" t="s">
        <v>389</v>
      </c>
      <c r="H885" t="s">
        <v>89</v>
      </c>
      <c r="I885" t="s">
        <v>90</v>
      </c>
      <c r="J885" t="s">
        <v>91</v>
      </c>
      <c r="K885" t="s">
        <v>92</v>
      </c>
      <c r="L885" t="s">
        <v>390</v>
      </c>
      <c r="M885" t="s">
        <v>94</v>
      </c>
      <c r="N885" t="s">
        <v>371</v>
      </c>
      <c r="O885" t="s">
        <v>383</v>
      </c>
      <c r="P885">
        <v>1E-3</v>
      </c>
      <c r="R885" t="s">
        <v>1418</v>
      </c>
      <c r="S885" t="s">
        <v>1995</v>
      </c>
      <c r="V885" t="s">
        <v>1996</v>
      </c>
      <c r="W885" t="s">
        <v>1993</v>
      </c>
      <c r="AD885" t="s">
        <v>385</v>
      </c>
    </row>
    <row r="886" spans="1:30" x14ac:dyDescent="0.25">
      <c r="A886" t="s">
        <v>33</v>
      </c>
      <c r="D886" t="s">
        <v>1991</v>
      </c>
      <c r="E886" t="s">
        <v>1992</v>
      </c>
      <c r="F886" t="s">
        <v>87</v>
      </c>
      <c r="G886" t="s">
        <v>389</v>
      </c>
      <c r="H886" t="s">
        <v>143</v>
      </c>
      <c r="I886" t="s">
        <v>90</v>
      </c>
      <c r="J886" t="s">
        <v>145</v>
      </c>
      <c r="K886" t="s">
        <v>146</v>
      </c>
      <c r="L886" t="s">
        <v>390</v>
      </c>
      <c r="M886" t="s">
        <v>252</v>
      </c>
      <c r="N886" t="s">
        <v>371</v>
      </c>
      <c r="O886" t="s">
        <v>380</v>
      </c>
      <c r="R886" t="s">
        <v>1420</v>
      </c>
      <c r="S886" t="s">
        <v>1995</v>
      </c>
      <c r="V886" t="s">
        <v>1996</v>
      </c>
      <c r="W886" t="s">
        <v>1993</v>
      </c>
      <c r="AD886" t="s">
        <v>382</v>
      </c>
    </row>
    <row r="887" spans="1:30" x14ac:dyDescent="0.25">
      <c r="A887" t="s">
        <v>33</v>
      </c>
      <c r="D887" t="s">
        <v>1991</v>
      </c>
      <c r="E887" t="s">
        <v>1992</v>
      </c>
      <c r="F887" t="s">
        <v>87</v>
      </c>
      <c r="G887" t="s">
        <v>389</v>
      </c>
      <c r="H887" t="s">
        <v>89</v>
      </c>
      <c r="I887" t="s">
        <v>180</v>
      </c>
      <c r="J887" t="s">
        <v>91</v>
      </c>
      <c r="K887" t="s">
        <v>92</v>
      </c>
      <c r="L887" t="s">
        <v>390</v>
      </c>
      <c r="M887" t="s">
        <v>94</v>
      </c>
      <c r="N887" t="s">
        <v>371</v>
      </c>
      <c r="O887" t="s">
        <v>184</v>
      </c>
      <c r="P887">
        <v>1E-3</v>
      </c>
      <c r="R887" t="s">
        <v>1424</v>
      </c>
      <c r="S887" t="s">
        <v>1995</v>
      </c>
      <c r="V887" t="s">
        <v>1996</v>
      </c>
      <c r="W887" t="s">
        <v>1993</v>
      </c>
      <c r="AD887" t="s">
        <v>2238</v>
      </c>
    </row>
    <row r="888" spans="1:30" x14ac:dyDescent="0.25">
      <c r="A888" t="s">
        <v>33</v>
      </c>
      <c r="D888" t="s">
        <v>1991</v>
      </c>
      <c r="E888" t="s">
        <v>1992</v>
      </c>
      <c r="F888" t="s">
        <v>87</v>
      </c>
      <c r="G888" t="s">
        <v>389</v>
      </c>
      <c r="H888" t="s">
        <v>143</v>
      </c>
      <c r="I888" t="s">
        <v>180</v>
      </c>
      <c r="J888" t="s">
        <v>145</v>
      </c>
      <c r="K888" t="s">
        <v>146</v>
      </c>
      <c r="L888" t="s">
        <v>390</v>
      </c>
      <c r="M888" t="s">
        <v>252</v>
      </c>
      <c r="N888" t="s">
        <v>371</v>
      </c>
      <c r="O888" t="s">
        <v>181</v>
      </c>
      <c r="R888" t="s">
        <v>1426</v>
      </c>
      <c r="S888" t="s">
        <v>1995</v>
      </c>
      <c r="V888" t="s">
        <v>1996</v>
      </c>
      <c r="W888" t="s">
        <v>1993</v>
      </c>
      <c r="AD888" t="s">
        <v>2239</v>
      </c>
    </row>
    <row r="889" spans="1:30" x14ac:dyDescent="0.25">
      <c r="A889" t="s">
        <v>33</v>
      </c>
      <c r="D889" t="s">
        <v>1991</v>
      </c>
      <c r="E889" t="s">
        <v>1992</v>
      </c>
      <c r="F889" t="s">
        <v>87</v>
      </c>
      <c r="G889" t="s">
        <v>389</v>
      </c>
      <c r="H889" t="s">
        <v>89</v>
      </c>
      <c r="I889" t="s">
        <v>100</v>
      </c>
      <c r="J889" t="s">
        <v>91</v>
      </c>
      <c r="K889" t="s">
        <v>92</v>
      </c>
      <c r="L889" t="s">
        <v>390</v>
      </c>
      <c r="M889" t="s">
        <v>94</v>
      </c>
      <c r="N889" t="s">
        <v>371</v>
      </c>
      <c r="O889" t="s">
        <v>445</v>
      </c>
      <c r="P889">
        <v>1E-3</v>
      </c>
      <c r="R889" t="s">
        <v>1430</v>
      </c>
      <c r="S889" t="s">
        <v>1995</v>
      </c>
      <c r="V889" t="s">
        <v>1996</v>
      </c>
      <c r="W889" t="s">
        <v>1993</v>
      </c>
      <c r="AD889" t="s">
        <v>2240</v>
      </c>
    </row>
    <row r="890" spans="1:30" x14ac:dyDescent="0.25">
      <c r="A890" t="s">
        <v>33</v>
      </c>
      <c r="D890" t="s">
        <v>1991</v>
      </c>
      <c r="E890" t="s">
        <v>1992</v>
      </c>
      <c r="F890" t="s">
        <v>87</v>
      </c>
      <c r="G890" t="s">
        <v>389</v>
      </c>
      <c r="H890" t="s">
        <v>143</v>
      </c>
      <c r="I890" t="s">
        <v>100</v>
      </c>
      <c r="J890" t="s">
        <v>145</v>
      </c>
      <c r="K890" t="s">
        <v>146</v>
      </c>
      <c r="L890" t="s">
        <v>390</v>
      </c>
      <c r="M890" t="s">
        <v>252</v>
      </c>
      <c r="N890" t="s">
        <v>371</v>
      </c>
      <c r="O890" t="s">
        <v>442</v>
      </c>
      <c r="R890" t="s">
        <v>1432</v>
      </c>
      <c r="S890" t="s">
        <v>1995</v>
      </c>
      <c r="V890" t="s">
        <v>1996</v>
      </c>
      <c r="W890" t="s">
        <v>1993</v>
      </c>
      <c r="AD890" t="s">
        <v>2241</v>
      </c>
    </row>
    <row r="891" spans="1:30" x14ac:dyDescent="0.25">
      <c r="A891" t="s">
        <v>33</v>
      </c>
      <c r="D891" t="s">
        <v>1991</v>
      </c>
      <c r="E891" t="s">
        <v>1992</v>
      </c>
      <c r="F891" t="s">
        <v>87</v>
      </c>
      <c r="G891" t="s">
        <v>389</v>
      </c>
      <c r="H891" t="s">
        <v>38</v>
      </c>
      <c r="I891" t="s">
        <v>106</v>
      </c>
      <c r="J891" t="s">
        <v>40</v>
      </c>
      <c r="K891" t="s">
        <v>41</v>
      </c>
      <c r="L891" t="s">
        <v>390</v>
      </c>
      <c r="M891" t="s">
        <v>252</v>
      </c>
      <c r="N891" t="s">
        <v>371</v>
      </c>
      <c r="O891" t="s">
        <v>109</v>
      </c>
      <c r="R891" t="s">
        <v>1434</v>
      </c>
      <c r="S891" t="s">
        <v>1995</v>
      </c>
      <c r="V891" t="s">
        <v>1996</v>
      </c>
      <c r="W891" t="s">
        <v>1993</v>
      </c>
      <c r="AD891" t="s">
        <v>373</v>
      </c>
    </row>
    <row r="892" spans="1:30" x14ac:dyDescent="0.25">
      <c r="A892" t="s">
        <v>33</v>
      </c>
      <c r="D892" t="s">
        <v>1991</v>
      </c>
      <c r="E892" t="s">
        <v>1992</v>
      </c>
      <c r="F892" t="s">
        <v>87</v>
      </c>
      <c r="G892" t="s">
        <v>389</v>
      </c>
      <c r="H892" t="s">
        <v>38</v>
      </c>
      <c r="I892" t="s">
        <v>25</v>
      </c>
      <c r="J892" t="s">
        <v>69</v>
      </c>
      <c r="K892" t="s">
        <v>41</v>
      </c>
      <c r="L892" t="s">
        <v>390</v>
      </c>
      <c r="M892" t="s">
        <v>252</v>
      </c>
      <c r="N892" t="s">
        <v>371</v>
      </c>
      <c r="O892" t="s">
        <v>512</v>
      </c>
      <c r="R892" t="s">
        <v>1436</v>
      </c>
      <c r="S892" t="s">
        <v>1995</v>
      </c>
      <c r="V892" t="s">
        <v>1996</v>
      </c>
      <c r="W892" t="s">
        <v>1993</v>
      </c>
      <c r="AD892" t="s">
        <v>538</v>
      </c>
    </row>
    <row r="893" spans="1:30" x14ac:dyDescent="0.25">
      <c r="A893" t="s">
        <v>33</v>
      </c>
      <c r="D893" t="s">
        <v>1991</v>
      </c>
      <c r="E893" t="s">
        <v>1992</v>
      </c>
      <c r="F893" t="s">
        <v>87</v>
      </c>
      <c r="G893" t="s">
        <v>389</v>
      </c>
      <c r="H893" t="s">
        <v>38</v>
      </c>
      <c r="I893" t="s">
        <v>24</v>
      </c>
      <c r="J893" t="s">
        <v>69</v>
      </c>
      <c r="K893" t="s">
        <v>41</v>
      </c>
      <c r="L893" t="s">
        <v>390</v>
      </c>
      <c r="M893" t="s">
        <v>252</v>
      </c>
      <c r="N893" t="s">
        <v>371</v>
      </c>
      <c r="O893" t="s">
        <v>509</v>
      </c>
      <c r="R893" t="s">
        <v>1438</v>
      </c>
      <c r="S893" t="s">
        <v>1995</v>
      </c>
      <c r="V893" t="s">
        <v>1996</v>
      </c>
      <c r="W893" t="s">
        <v>1993</v>
      </c>
      <c r="AD893" t="s">
        <v>536</v>
      </c>
    </row>
    <row r="894" spans="1:30" x14ac:dyDescent="0.25">
      <c r="A894" t="s">
        <v>33</v>
      </c>
      <c r="D894" t="s">
        <v>1991</v>
      </c>
      <c r="E894" t="s">
        <v>1992</v>
      </c>
      <c r="F894" t="s">
        <v>87</v>
      </c>
      <c r="G894" t="s">
        <v>2220</v>
      </c>
      <c r="H894" t="s">
        <v>89</v>
      </c>
      <c r="I894" t="s">
        <v>144</v>
      </c>
      <c r="J894" t="s">
        <v>91</v>
      </c>
      <c r="K894" t="s">
        <v>92</v>
      </c>
      <c r="L894" t="s">
        <v>2221</v>
      </c>
      <c r="M894" t="s">
        <v>94</v>
      </c>
      <c r="N894" t="s">
        <v>459</v>
      </c>
      <c r="O894" t="s">
        <v>150</v>
      </c>
      <c r="P894">
        <v>1E-3</v>
      </c>
      <c r="R894" t="s">
        <v>1549</v>
      </c>
      <c r="S894" t="s">
        <v>1995</v>
      </c>
      <c r="V894" t="s">
        <v>1996</v>
      </c>
      <c r="W894" t="s">
        <v>1993</v>
      </c>
      <c r="AD894" t="s">
        <v>1550</v>
      </c>
    </row>
    <row r="895" spans="1:30" x14ac:dyDescent="0.25">
      <c r="A895" t="s">
        <v>33</v>
      </c>
      <c r="D895" t="s">
        <v>1991</v>
      </c>
      <c r="E895" t="s">
        <v>1992</v>
      </c>
      <c r="F895" t="s">
        <v>87</v>
      </c>
      <c r="G895" t="s">
        <v>2220</v>
      </c>
      <c r="H895" t="s">
        <v>143</v>
      </c>
      <c r="I895" t="s">
        <v>144</v>
      </c>
      <c r="J895" t="s">
        <v>145</v>
      </c>
      <c r="K895" t="s">
        <v>146</v>
      </c>
      <c r="L895" t="s">
        <v>2221</v>
      </c>
      <c r="M895" t="s">
        <v>252</v>
      </c>
      <c r="N895" t="s">
        <v>459</v>
      </c>
      <c r="O895" t="s">
        <v>147</v>
      </c>
      <c r="R895" t="s">
        <v>1551</v>
      </c>
      <c r="S895" t="s">
        <v>1995</v>
      </c>
      <c r="V895" t="s">
        <v>1996</v>
      </c>
      <c r="W895" t="s">
        <v>1993</v>
      </c>
      <c r="AD895" t="s">
        <v>1552</v>
      </c>
    </row>
    <row r="896" spans="1:30" x14ac:dyDescent="0.25">
      <c r="A896" t="s">
        <v>33</v>
      </c>
      <c r="D896" t="s">
        <v>1991</v>
      </c>
      <c r="E896" t="s">
        <v>1992</v>
      </c>
      <c r="F896" t="s">
        <v>87</v>
      </c>
      <c r="G896" t="s">
        <v>2015</v>
      </c>
      <c r="H896" t="s">
        <v>153</v>
      </c>
      <c r="I896" t="s">
        <v>144</v>
      </c>
      <c r="J896" t="s">
        <v>154</v>
      </c>
      <c r="K896" t="s">
        <v>155</v>
      </c>
      <c r="L896" t="s">
        <v>2016</v>
      </c>
      <c r="N896" t="s">
        <v>1744</v>
      </c>
      <c r="O896" t="s">
        <v>156</v>
      </c>
      <c r="R896" t="s">
        <v>2242</v>
      </c>
      <c r="S896" t="s">
        <v>1995</v>
      </c>
      <c r="V896" t="s">
        <v>1996</v>
      </c>
      <c r="W896" t="s">
        <v>1993</v>
      </c>
      <c r="AD896" t="s">
        <v>1749</v>
      </c>
    </row>
    <row r="897" spans="1:30" x14ac:dyDescent="0.25">
      <c r="A897" t="s">
        <v>33</v>
      </c>
      <c r="D897" t="s">
        <v>1991</v>
      </c>
      <c r="E897" t="s">
        <v>1992</v>
      </c>
      <c r="F897" t="s">
        <v>87</v>
      </c>
      <c r="G897" t="s">
        <v>2220</v>
      </c>
      <c r="H897" t="s">
        <v>89</v>
      </c>
      <c r="I897" t="s">
        <v>180</v>
      </c>
      <c r="J897" t="s">
        <v>91</v>
      </c>
      <c r="K897" t="s">
        <v>92</v>
      </c>
      <c r="L897" t="s">
        <v>2221</v>
      </c>
      <c r="M897" t="s">
        <v>94</v>
      </c>
      <c r="N897" t="s">
        <v>459</v>
      </c>
      <c r="O897" t="s">
        <v>184</v>
      </c>
      <c r="P897">
        <v>1E-3</v>
      </c>
      <c r="R897" t="s">
        <v>1553</v>
      </c>
      <c r="S897" t="s">
        <v>1995</v>
      </c>
      <c r="V897" t="s">
        <v>1996</v>
      </c>
      <c r="W897" t="s">
        <v>1993</v>
      </c>
      <c r="AD897" t="s">
        <v>465</v>
      </c>
    </row>
    <row r="898" spans="1:30" x14ac:dyDescent="0.25">
      <c r="A898" t="s">
        <v>33</v>
      </c>
      <c r="D898" t="s">
        <v>1991</v>
      </c>
      <c r="E898" t="s">
        <v>1992</v>
      </c>
      <c r="F898" t="s">
        <v>87</v>
      </c>
      <c r="G898" t="s">
        <v>2220</v>
      </c>
      <c r="H898" t="s">
        <v>143</v>
      </c>
      <c r="I898" t="s">
        <v>180</v>
      </c>
      <c r="J898" t="s">
        <v>145</v>
      </c>
      <c r="K898" t="s">
        <v>146</v>
      </c>
      <c r="L898" t="s">
        <v>2221</v>
      </c>
      <c r="M898" t="s">
        <v>252</v>
      </c>
      <c r="N898" t="s">
        <v>459</v>
      </c>
      <c r="O898" t="s">
        <v>181</v>
      </c>
      <c r="R898" t="s">
        <v>1554</v>
      </c>
      <c r="S898" t="s">
        <v>1995</v>
      </c>
      <c r="V898" t="s">
        <v>1996</v>
      </c>
      <c r="W898" t="s">
        <v>1993</v>
      </c>
      <c r="AD898" t="s">
        <v>463</v>
      </c>
    </row>
    <row r="899" spans="1:30" x14ac:dyDescent="0.25">
      <c r="A899" t="s">
        <v>33</v>
      </c>
      <c r="D899" t="s">
        <v>1991</v>
      </c>
      <c r="E899" t="s">
        <v>1992</v>
      </c>
      <c r="F899" t="s">
        <v>87</v>
      </c>
      <c r="G899" t="s">
        <v>2220</v>
      </c>
      <c r="H899" t="s">
        <v>38</v>
      </c>
      <c r="I899" t="s">
        <v>106</v>
      </c>
      <c r="J899" t="s">
        <v>40</v>
      </c>
      <c r="K899" t="s">
        <v>41</v>
      </c>
      <c r="L899" t="s">
        <v>2221</v>
      </c>
      <c r="M899" t="s">
        <v>252</v>
      </c>
      <c r="N899" t="s">
        <v>459</v>
      </c>
      <c r="O899" t="s">
        <v>109</v>
      </c>
      <c r="R899" t="s">
        <v>1555</v>
      </c>
      <c r="S899" t="s">
        <v>1995</v>
      </c>
      <c r="V899" t="s">
        <v>1996</v>
      </c>
      <c r="W899" t="s">
        <v>1993</v>
      </c>
      <c r="AD899" t="s">
        <v>461</v>
      </c>
    </row>
    <row r="900" spans="1:30" x14ac:dyDescent="0.25">
      <c r="A900" t="s">
        <v>33</v>
      </c>
      <c r="D900" t="s">
        <v>1991</v>
      </c>
      <c r="E900" t="s">
        <v>1992</v>
      </c>
      <c r="F900" t="s">
        <v>87</v>
      </c>
      <c r="G900" t="s">
        <v>2220</v>
      </c>
      <c r="H900" t="s">
        <v>38</v>
      </c>
      <c r="I900" t="s">
        <v>25</v>
      </c>
      <c r="J900" t="s">
        <v>69</v>
      </c>
      <c r="K900" t="s">
        <v>41</v>
      </c>
      <c r="L900" t="s">
        <v>2221</v>
      </c>
      <c r="M900" t="s">
        <v>252</v>
      </c>
      <c r="N900" t="s">
        <v>459</v>
      </c>
      <c r="O900" t="s">
        <v>512</v>
      </c>
      <c r="R900" t="s">
        <v>556</v>
      </c>
      <c r="S900" t="s">
        <v>1995</v>
      </c>
      <c r="V900" t="s">
        <v>1996</v>
      </c>
      <c r="W900" t="s">
        <v>1993</v>
      </c>
      <c r="AD900" t="s">
        <v>560</v>
      </c>
    </row>
    <row r="901" spans="1:30" x14ac:dyDescent="0.25">
      <c r="A901" t="s">
        <v>33</v>
      </c>
      <c r="D901" t="s">
        <v>1991</v>
      </c>
      <c r="E901" t="s">
        <v>1992</v>
      </c>
      <c r="F901" t="s">
        <v>87</v>
      </c>
      <c r="G901" t="s">
        <v>2220</v>
      </c>
      <c r="H901" t="s">
        <v>38</v>
      </c>
      <c r="I901" t="s">
        <v>24</v>
      </c>
      <c r="J901" t="s">
        <v>69</v>
      </c>
      <c r="K901" t="s">
        <v>41</v>
      </c>
      <c r="L901" t="s">
        <v>2221</v>
      </c>
      <c r="M901" t="s">
        <v>252</v>
      </c>
      <c r="N901" t="s">
        <v>459</v>
      </c>
      <c r="O901" t="s">
        <v>509</v>
      </c>
      <c r="R901" t="s">
        <v>555</v>
      </c>
      <c r="S901" t="s">
        <v>1995</v>
      </c>
      <c r="V901" t="s">
        <v>1996</v>
      </c>
      <c r="W901" t="s">
        <v>1993</v>
      </c>
      <c r="AD901" t="s">
        <v>558</v>
      </c>
    </row>
    <row r="902" spans="1:30" x14ac:dyDescent="0.25">
      <c r="A902" t="s">
        <v>33</v>
      </c>
      <c r="D902" t="s">
        <v>1991</v>
      </c>
      <c r="E902" t="s">
        <v>1992</v>
      </c>
      <c r="F902" t="s">
        <v>87</v>
      </c>
      <c r="G902" t="s">
        <v>2193</v>
      </c>
      <c r="H902" t="s">
        <v>153</v>
      </c>
      <c r="I902" t="s">
        <v>144</v>
      </c>
      <c r="J902" t="s">
        <v>154</v>
      </c>
      <c r="K902" t="s">
        <v>155</v>
      </c>
      <c r="L902" t="s">
        <v>2194</v>
      </c>
      <c r="N902" t="s">
        <v>2195</v>
      </c>
      <c r="O902" t="s">
        <v>156</v>
      </c>
      <c r="R902" t="s">
        <v>1416</v>
      </c>
      <c r="S902" t="s">
        <v>1995</v>
      </c>
      <c r="V902" t="s">
        <v>1996</v>
      </c>
      <c r="W902" t="s">
        <v>1993</v>
      </c>
      <c r="AD902" t="s">
        <v>2243</v>
      </c>
    </row>
    <row r="903" spans="1:30" x14ac:dyDescent="0.25">
      <c r="A903" t="s">
        <v>33</v>
      </c>
      <c r="D903" t="s">
        <v>1991</v>
      </c>
      <c r="E903" t="s">
        <v>1992</v>
      </c>
      <c r="H903" t="s">
        <v>280</v>
      </c>
      <c r="I903" t="s">
        <v>504</v>
      </c>
      <c r="J903" t="s">
        <v>282</v>
      </c>
      <c r="K903" t="s">
        <v>283</v>
      </c>
      <c r="L903" t="s">
        <v>2244</v>
      </c>
      <c r="N903" t="s">
        <v>1566</v>
      </c>
      <c r="O903" t="s">
        <v>505</v>
      </c>
      <c r="Q903" t="s">
        <v>1567</v>
      </c>
      <c r="R903" t="s">
        <v>1568</v>
      </c>
      <c r="S903" t="s">
        <v>1995</v>
      </c>
      <c r="V903" t="s">
        <v>1996</v>
      </c>
      <c r="W903" t="s">
        <v>1993</v>
      </c>
      <c r="AD903" t="s">
        <v>1569</v>
      </c>
    </row>
    <row r="904" spans="1:30" x14ac:dyDescent="0.25">
      <c r="A904" t="s">
        <v>33</v>
      </c>
      <c r="D904" t="s">
        <v>1991</v>
      </c>
      <c r="E904" t="s">
        <v>1992</v>
      </c>
      <c r="H904" t="s">
        <v>166</v>
      </c>
      <c r="I904" t="s">
        <v>468</v>
      </c>
      <c r="J904" t="s">
        <v>167</v>
      </c>
      <c r="K904" t="s">
        <v>41</v>
      </c>
      <c r="L904" t="s">
        <v>2244</v>
      </c>
      <c r="N904" t="s">
        <v>1566</v>
      </c>
      <c r="O904" t="s">
        <v>471</v>
      </c>
      <c r="Q904" t="s">
        <v>2245</v>
      </c>
      <c r="R904" t="s">
        <v>2246</v>
      </c>
      <c r="S904" t="s">
        <v>1995</v>
      </c>
      <c r="V904" t="s">
        <v>1996</v>
      </c>
      <c r="W904" t="s">
        <v>1993</v>
      </c>
      <c r="AD904" t="s">
        <v>2247</v>
      </c>
    </row>
    <row r="905" spans="1:30" x14ac:dyDescent="0.25">
      <c r="A905" t="s">
        <v>33</v>
      </c>
      <c r="D905" t="s">
        <v>1991</v>
      </c>
      <c r="E905" t="s">
        <v>1992</v>
      </c>
      <c r="H905" t="s">
        <v>89</v>
      </c>
      <c r="I905" t="s">
        <v>1570</v>
      </c>
      <c r="J905" t="s">
        <v>1571</v>
      </c>
      <c r="K905" t="s">
        <v>1572</v>
      </c>
      <c r="L905" t="s">
        <v>2244</v>
      </c>
      <c r="M905" t="s">
        <v>1124</v>
      </c>
      <c r="N905" t="s">
        <v>1566</v>
      </c>
      <c r="O905" t="s">
        <v>1573</v>
      </c>
      <c r="R905" t="s">
        <v>1574</v>
      </c>
      <c r="S905" t="s">
        <v>1995</v>
      </c>
      <c r="V905" t="s">
        <v>1996</v>
      </c>
      <c r="W905" t="s">
        <v>1993</v>
      </c>
      <c r="AD905" t="s">
        <v>1575</v>
      </c>
    </row>
    <row r="906" spans="1:30" x14ac:dyDescent="0.25">
      <c r="A906" t="s">
        <v>33</v>
      </c>
      <c r="D906" t="s">
        <v>1991</v>
      </c>
      <c r="E906" t="s">
        <v>1992</v>
      </c>
      <c r="H906" t="s">
        <v>89</v>
      </c>
      <c r="I906" t="s">
        <v>1570</v>
      </c>
      <c r="J906" t="s">
        <v>1571</v>
      </c>
      <c r="K906" t="s">
        <v>1576</v>
      </c>
      <c r="L906" t="s">
        <v>2244</v>
      </c>
      <c r="M906" t="s">
        <v>1124</v>
      </c>
      <c r="N906" t="s">
        <v>1566</v>
      </c>
      <c r="O906" t="s">
        <v>1573</v>
      </c>
      <c r="R906" t="s">
        <v>1577</v>
      </c>
      <c r="S906" t="s">
        <v>1995</v>
      </c>
      <c r="V906" t="s">
        <v>1996</v>
      </c>
      <c r="W906" t="s">
        <v>1993</v>
      </c>
      <c r="AD906" t="s">
        <v>1575</v>
      </c>
    </row>
    <row r="907" spans="1:30" x14ac:dyDescent="0.25">
      <c r="A907" t="s">
        <v>33</v>
      </c>
      <c r="D907" t="s">
        <v>1991</v>
      </c>
      <c r="E907" t="s">
        <v>1992</v>
      </c>
      <c r="H907" t="s">
        <v>166</v>
      </c>
      <c r="I907" t="s">
        <v>1570</v>
      </c>
      <c r="J907" t="s">
        <v>167</v>
      </c>
      <c r="K907" t="s">
        <v>41</v>
      </c>
      <c r="L907" t="s">
        <v>2244</v>
      </c>
      <c r="N907" t="s">
        <v>1566</v>
      </c>
      <c r="O907" t="s">
        <v>1578</v>
      </c>
      <c r="Q907" t="s">
        <v>1579</v>
      </c>
      <c r="R907" t="s">
        <v>1580</v>
      </c>
      <c r="S907" t="s">
        <v>1995</v>
      </c>
      <c r="V907" t="s">
        <v>1996</v>
      </c>
      <c r="W907" t="s">
        <v>1993</v>
      </c>
      <c r="AD907" t="s">
        <v>1581</v>
      </c>
    </row>
    <row r="908" spans="1:30" x14ac:dyDescent="0.25">
      <c r="A908" t="s">
        <v>33</v>
      </c>
      <c r="D908" t="s">
        <v>1991</v>
      </c>
      <c r="E908" t="s">
        <v>1992</v>
      </c>
      <c r="F908" t="s">
        <v>87</v>
      </c>
      <c r="G908" t="s">
        <v>2220</v>
      </c>
      <c r="H908" t="s">
        <v>153</v>
      </c>
      <c r="I908" t="s">
        <v>180</v>
      </c>
      <c r="J908" t="s">
        <v>154</v>
      </c>
      <c r="K908" t="s">
        <v>155</v>
      </c>
      <c r="L908" t="s">
        <v>2221</v>
      </c>
      <c r="N908" t="s">
        <v>459</v>
      </c>
      <c r="O908" t="s">
        <v>187</v>
      </c>
      <c r="R908" t="s">
        <v>1687</v>
      </c>
      <c r="S908" t="s">
        <v>1995</v>
      </c>
      <c r="V908" t="s">
        <v>1996</v>
      </c>
      <c r="W908" t="s">
        <v>1993</v>
      </c>
      <c r="AD908" t="s">
        <v>467</v>
      </c>
    </row>
    <row r="909" spans="1:30" x14ac:dyDescent="0.25">
      <c r="A909" t="s">
        <v>33</v>
      </c>
      <c r="D909" t="s">
        <v>1991</v>
      </c>
      <c r="E909" t="s">
        <v>1992</v>
      </c>
      <c r="F909" t="s">
        <v>87</v>
      </c>
      <c r="G909" t="s">
        <v>389</v>
      </c>
      <c r="H909" t="s">
        <v>153</v>
      </c>
      <c r="I909" t="s">
        <v>180</v>
      </c>
      <c r="J909" t="s">
        <v>154</v>
      </c>
      <c r="K909" t="s">
        <v>155</v>
      </c>
      <c r="L909" t="s">
        <v>390</v>
      </c>
      <c r="N909" t="s">
        <v>371</v>
      </c>
      <c r="O909" t="s">
        <v>187</v>
      </c>
      <c r="R909" t="s">
        <v>1690</v>
      </c>
      <c r="S909" t="s">
        <v>1995</v>
      </c>
      <c r="V909" t="s">
        <v>1996</v>
      </c>
      <c r="W909" t="s">
        <v>1993</v>
      </c>
      <c r="AD909" t="s">
        <v>2248</v>
      </c>
    </row>
    <row r="910" spans="1:30" x14ac:dyDescent="0.25">
      <c r="A910" t="s">
        <v>33</v>
      </c>
      <c r="D910" t="s">
        <v>1991</v>
      </c>
      <c r="E910" t="s">
        <v>1992</v>
      </c>
      <c r="F910" t="s">
        <v>36</v>
      </c>
      <c r="G910" t="s">
        <v>37</v>
      </c>
      <c r="H910" t="s">
        <v>153</v>
      </c>
      <c r="I910" t="s">
        <v>716</v>
      </c>
      <c r="J910" t="s">
        <v>154</v>
      </c>
      <c r="K910" t="s">
        <v>155</v>
      </c>
      <c r="L910" t="s">
        <v>42</v>
      </c>
      <c r="N910" t="s">
        <v>961</v>
      </c>
      <c r="O910" t="s">
        <v>717</v>
      </c>
      <c r="R910" t="s">
        <v>1701</v>
      </c>
      <c r="S910" t="s">
        <v>1995</v>
      </c>
      <c r="V910" t="s">
        <v>1996</v>
      </c>
      <c r="W910" t="s">
        <v>1993</v>
      </c>
      <c r="AD910" t="s">
        <v>1702</v>
      </c>
    </row>
    <row r="911" spans="1:30" x14ac:dyDescent="0.25">
      <c r="A911" t="s">
        <v>33</v>
      </c>
      <c r="D911" t="s">
        <v>1991</v>
      </c>
      <c r="E911" t="s">
        <v>1992</v>
      </c>
      <c r="F911" t="s">
        <v>36</v>
      </c>
      <c r="G911" t="s">
        <v>37</v>
      </c>
      <c r="H911" t="s">
        <v>153</v>
      </c>
      <c r="I911" t="s">
        <v>721</v>
      </c>
      <c r="J911" t="s">
        <v>154</v>
      </c>
      <c r="K911" t="s">
        <v>155</v>
      </c>
      <c r="L911" t="s">
        <v>42</v>
      </c>
      <c r="N911" t="s">
        <v>961</v>
      </c>
      <c r="O911" t="s">
        <v>722</v>
      </c>
      <c r="R911" t="s">
        <v>1706</v>
      </c>
      <c r="S911" t="s">
        <v>1995</v>
      </c>
      <c r="V911" t="s">
        <v>1996</v>
      </c>
      <c r="W911" t="s">
        <v>1993</v>
      </c>
      <c r="AD911" t="s">
        <v>1707</v>
      </c>
    </row>
    <row r="912" spans="1:30" x14ac:dyDescent="0.25">
      <c r="A912" t="s">
        <v>33</v>
      </c>
      <c r="D912" t="s">
        <v>1991</v>
      </c>
      <c r="E912" t="s">
        <v>1992</v>
      </c>
      <c r="F912" t="s">
        <v>87</v>
      </c>
      <c r="G912" t="s">
        <v>1238</v>
      </c>
      <c r="H912" t="s">
        <v>153</v>
      </c>
      <c r="I912" t="s">
        <v>100</v>
      </c>
      <c r="J912" t="s">
        <v>154</v>
      </c>
      <c r="K912" t="s">
        <v>155</v>
      </c>
      <c r="L912" t="s">
        <v>1239</v>
      </c>
      <c r="N912" t="s">
        <v>1240</v>
      </c>
      <c r="O912" t="s">
        <v>213</v>
      </c>
      <c r="R912" t="s">
        <v>2249</v>
      </c>
      <c r="S912" t="s">
        <v>1995</v>
      </c>
      <c r="V912" t="s">
        <v>1996</v>
      </c>
      <c r="W912" t="s">
        <v>1993</v>
      </c>
      <c r="AD912" t="s">
        <v>1711</v>
      </c>
    </row>
    <row r="913" spans="1:30" x14ac:dyDescent="0.25">
      <c r="A913" t="s">
        <v>33</v>
      </c>
      <c r="D913" t="s">
        <v>1991</v>
      </c>
      <c r="E913" t="s">
        <v>1992</v>
      </c>
      <c r="F913" t="s">
        <v>36</v>
      </c>
      <c r="G913" t="s">
        <v>37</v>
      </c>
      <c r="H913" t="s">
        <v>153</v>
      </c>
      <c r="I913" t="s">
        <v>100</v>
      </c>
      <c r="J913" t="s">
        <v>154</v>
      </c>
      <c r="K913" t="s">
        <v>155</v>
      </c>
      <c r="L913" t="s">
        <v>42</v>
      </c>
      <c r="N913" t="s">
        <v>961</v>
      </c>
      <c r="O913" t="s">
        <v>448</v>
      </c>
      <c r="R913" t="s">
        <v>1720</v>
      </c>
      <c r="S913" t="s">
        <v>1995</v>
      </c>
      <c r="V913" t="s">
        <v>1996</v>
      </c>
      <c r="W913" t="s">
        <v>1993</v>
      </c>
      <c r="AD913" t="s">
        <v>1721</v>
      </c>
    </row>
    <row r="914" spans="1:30" x14ac:dyDescent="0.25">
      <c r="A914" t="s">
        <v>33</v>
      </c>
      <c r="D914" t="s">
        <v>1991</v>
      </c>
      <c r="E914" t="s">
        <v>1992</v>
      </c>
      <c r="F914" t="s">
        <v>87</v>
      </c>
      <c r="G914" t="s">
        <v>1742</v>
      </c>
      <c r="H914" t="s">
        <v>38</v>
      </c>
      <c r="I914" t="s">
        <v>106</v>
      </c>
      <c r="J914" t="s">
        <v>40</v>
      </c>
      <c r="K914" t="s">
        <v>41</v>
      </c>
      <c r="L914" t="s">
        <v>1743</v>
      </c>
      <c r="M914" t="s">
        <v>746</v>
      </c>
      <c r="N914" t="s">
        <v>1744</v>
      </c>
      <c r="O914" t="s">
        <v>109</v>
      </c>
      <c r="R914" t="s">
        <v>2250</v>
      </c>
      <c r="S914" t="s">
        <v>1995</v>
      </c>
      <c r="V914" t="s">
        <v>1996</v>
      </c>
      <c r="W914" t="s">
        <v>1993</v>
      </c>
      <c r="AD914" t="s">
        <v>2251</v>
      </c>
    </row>
    <row r="915" spans="1:30" x14ac:dyDescent="0.25">
      <c r="A915" t="s">
        <v>33</v>
      </c>
      <c r="D915" t="s">
        <v>1991</v>
      </c>
      <c r="E915" t="s">
        <v>1992</v>
      </c>
      <c r="F915" t="s">
        <v>87</v>
      </c>
      <c r="G915" t="s">
        <v>2015</v>
      </c>
      <c r="H915" t="s">
        <v>89</v>
      </c>
      <c r="I915" t="s">
        <v>144</v>
      </c>
      <c r="J915" t="s">
        <v>91</v>
      </c>
      <c r="K915" t="s">
        <v>92</v>
      </c>
      <c r="L915" t="s">
        <v>2016</v>
      </c>
      <c r="M915" t="s">
        <v>94</v>
      </c>
      <c r="N915" t="s">
        <v>1744</v>
      </c>
      <c r="O915" t="s">
        <v>150</v>
      </c>
      <c r="P915">
        <v>1E-3</v>
      </c>
      <c r="R915" t="s">
        <v>2252</v>
      </c>
      <c r="S915" t="s">
        <v>1995</v>
      </c>
      <c r="V915" t="s">
        <v>1996</v>
      </c>
      <c r="W915" t="s">
        <v>1993</v>
      </c>
      <c r="AD915" t="s">
        <v>1751</v>
      </c>
    </row>
    <row r="916" spans="1:30" x14ac:dyDescent="0.25">
      <c r="A916" t="s">
        <v>33</v>
      </c>
      <c r="D916" t="s">
        <v>1991</v>
      </c>
      <c r="E916" t="s">
        <v>1992</v>
      </c>
      <c r="F916" t="s">
        <v>87</v>
      </c>
      <c r="G916" t="s">
        <v>2015</v>
      </c>
      <c r="H916" t="s">
        <v>143</v>
      </c>
      <c r="I916" t="s">
        <v>144</v>
      </c>
      <c r="J916" t="s">
        <v>745</v>
      </c>
      <c r="K916" t="s">
        <v>262</v>
      </c>
      <c r="L916" t="s">
        <v>2016</v>
      </c>
      <c r="M916" t="s">
        <v>746</v>
      </c>
      <c r="N916" t="s">
        <v>1744</v>
      </c>
      <c r="O916" t="s">
        <v>147</v>
      </c>
      <c r="R916" t="s">
        <v>2253</v>
      </c>
      <c r="S916" t="s">
        <v>1995</v>
      </c>
      <c r="V916" t="s">
        <v>1996</v>
      </c>
      <c r="W916" t="s">
        <v>1993</v>
      </c>
      <c r="AD916" t="s">
        <v>1753</v>
      </c>
    </row>
    <row r="917" spans="1:30" x14ac:dyDescent="0.25">
      <c r="A917" t="s">
        <v>33</v>
      </c>
      <c r="D917" t="s">
        <v>1991</v>
      </c>
      <c r="E917" t="s">
        <v>1992</v>
      </c>
      <c r="F917" t="s">
        <v>87</v>
      </c>
      <c r="G917" t="s">
        <v>2015</v>
      </c>
      <c r="H917" t="s">
        <v>89</v>
      </c>
      <c r="I917" t="s">
        <v>90</v>
      </c>
      <c r="J917" t="s">
        <v>91</v>
      </c>
      <c r="K917" t="s">
        <v>92</v>
      </c>
      <c r="L917" t="s">
        <v>2016</v>
      </c>
      <c r="M917" t="s">
        <v>94</v>
      </c>
      <c r="N917" t="s">
        <v>1744</v>
      </c>
      <c r="O917" t="s">
        <v>383</v>
      </c>
      <c r="P917">
        <v>1E-3</v>
      </c>
      <c r="R917" t="s">
        <v>2254</v>
      </c>
      <c r="S917" t="s">
        <v>1995</v>
      </c>
      <c r="V917" t="s">
        <v>1996</v>
      </c>
      <c r="W917" t="s">
        <v>1993</v>
      </c>
      <c r="AD917" t="s">
        <v>1755</v>
      </c>
    </row>
    <row r="918" spans="1:30" x14ac:dyDescent="0.25">
      <c r="A918" t="s">
        <v>33</v>
      </c>
      <c r="D918" t="s">
        <v>1991</v>
      </c>
      <c r="E918" t="s">
        <v>1992</v>
      </c>
      <c r="F918" t="s">
        <v>87</v>
      </c>
      <c r="G918" t="s">
        <v>2015</v>
      </c>
      <c r="H918" t="s">
        <v>143</v>
      </c>
      <c r="I918" t="s">
        <v>90</v>
      </c>
      <c r="J918" t="s">
        <v>745</v>
      </c>
      <c r="K918" t="s">
        <v>262</v>
      </c>
      <c r="L918" t="s">
        <v>2016</v>
      </c>
      <c r="M918" t="s">
        <v>746</v>
      </c>
      <c r="N918" t="s">
        <v>1744</v>
      </c>
      <c r="O918" t="s">
        <v>380</v>
      </c>
      <c r="R918" t="s">
        <v>2255</v>
      </c>
      <c r="S918" t="s">
        <v>1995</v>
      </c>
      <c r="V918" t="s">
        <v>1996</v>
      </c>
      <c r="W918" t="s">
        <v>1993</v>
      </c>
      <c r="AD918" t="s">
        <v>1757</v>
      </c>
    </row>
    <row r="919" spans="1:30" x14ac:dyDescent="0.25">
      <c r="A919" t="s">
        <v>33</v>
      </c>
      <c r="D919" t="s">
        <v>1991</v>
      </c>
      <c r="E919" t="s">
        <v>1992</v>
      </c>
      <c r="F919" t="s">
        <v>87</v>
      </c>
      <c r="G919" t="s">
        <v>2015</v>
      </c>
      <c r="H919" t="s">
        <v>38</v>
      </c>
      <c r="I919" t="s">
        <v>106</v>
      </c>
      <c r="J919" t="s">
        <v>40</v>
      </c>
      <c r="K919" t="s">
        <v>41</v>
      </c>
      <c r="L919" t="s">
        <v>2016</v>
      </c>
      <c r="M919" t="s">
        <v>746</v>
      </c>
      <c r="N919" t="s">
        <v>1744</v>
      </c>
      <c r="O919" t="s">
        <v>109</v>
      </c>
      <c r="R919" t="s">
        <v>2256</v>
      </c>
      <c r="S919" t="s">
        <v>1995</v>
      </c>
      <c r="V919" t="s">
        <v>1996</v>
      </c>
      <c r="W919" t="s">
        <v>1993</v>
      </c>
      <c r="AD919" t="s">
        <v>2251</v>
      </c>
    </row>
    <row r="920" spans="1:30" x14ac:dyDescent="0.25">
      <c r="A920" t="s">
        <v>33</v>
      </c>
      <c r="D920" t="s">
        <v>1991</v>
      </c>
      <c r="E920" t="s">
        <v>1992</v>
      </c>
      <c r="F920" t="s">
        <v>87</v>
      </c>
      <c r="G920" t="s">
        <v>1270</v>
      </c>
      <c r="H920" t="s">
        <v>153</v>
      </c>
      <c r="I920" t="s">
        <v>235</v>
      </c>
      <c r="J920" t="s">
        <v>154</v>
      </c>
      <c r="K920" t="s">
        <v>155</v>
      </c>
      <c r="L920" t="s">
        <v>1271</v>
      </c>
      <c r="N920" t="s">
        <v>1272</v>
      </c>
      <c r="O920" t="s">
        <v>1762</v>
      </c>
      <c r="R920" t="s">
        <v>2257</v>
      </c>
      <c r="S920" t="s">
        <v>1995</v>
      </c>
      <c r="V920" t="s">
        <v>1996</v>
      </c>
      <c r="W920" t="s">
        <v>1993</v>
      </c>
      <c r="AD920" t="s">
        <v>2258</v>
      </c>
    </row>
    <row r="921" spans="1:30" x14ac:dyDescent="0.25">
      <c r="A921" t="s">
        <v>33</v>
      </c>
      <c r="D921" t="s">
        <v>1991</v>
      </c>
      <c r="E921" t="s">
        <v>1992</v>
      </c>
      <c r="F921" t="s">
        <v>87</v>
      </c>
      <c r="G921" t="s">
        <v>661</v>
      </c>
      <c r="H921" t="s">
        <v>153</v>
      </c>
      <c r="I921" t="s">
        <v>235</v>
      </c>
      <c r="J921" t="s">
        <v>154</v>
      </c>
      <c r="K921" t="s">
        <v>155</v>
      </c>
      <c r="L921" t="s">
        <v>662</v>
      </c>
      <c r="N921" t="s">
        <v>95</v>
      </c>
      <c r="O921" t="s">
        <v>1762</v>
      </c>
      <c r="R921" t="s">
        <v>1801</v>
      </c>
      <c r="S921" t="s">
        <v>1995</v>
      </c>
      <c r="V921" t="s">
        <v>1996</v>
      </c>
      <c r="W921" t="s">
        <v>1993</v>
      </c>
      <c r="AD921" t="s">
        <v>1947</v>
      </c>
    </row>
    <row r="922" spans="1:30" x14ac:dyDescent="0.25">
      <c r="A922" t="s">
        <v>33</v>
      </c>
      <c r="D922" t="s">
        <v>1991</v>
      </c>
      <c r="E922" t="s">
        <v>1992</v>
      </c>
      <c r="F922" t="s">
        <v>87</v>
      </c>
      <c r="G922" t="s">
        <v>1270</v>
      </c>
      <c r="H922" t="s">
        <v>38</v>
      </c>
      <c r="I922" t="s">
        <v>25</v>
      </c>
      <c r="J922" t="s">
        <v>69</v>
      </c>
      <c r="K922" t="s">
        <v>41</v>
      </c>
      <c r="L922" t="s">
        <v>1271</v>
      </c>
      <c r="M922" t="s">
        <v>493</v>
      </c>
      <c r="N922" t="s">
        <v>1272</v>
      </c>
      <c r="O922" t="s">
        <v>512</v>
      </c>
      <c r="R922" t="s">
        <v>2259</v>
      </c>
      <c r="S922" t="s">
        <v>1995</v>
      </c>
      <c r="V922" t="s">
        <v>1996</v>
      </c>
      <c r="W922" t="s">
        <v>1993</v>
      </c>
      <c r="AD922" t="s">
        <v>1864</v>
      </c>
    </row>
    <row r="923" spans="1:30" x14ac:dyDescent="0.25">
      <c r="A923" t="s">
        <v>33</v>
      </c>
      <c r="D923" t="s">
        <v>1991</v>
      </c>
      <c r="E923" t="s">
        <v>1992</v>
      </c>
      <c r="F923" t="s">
        <v>87</v>
      </c>
      <c r="G923" t="s">
        <v>1270</v>
      </c>
      <c r="H923" t="s">
        <v>38</v>
      </c>
      <c r="I923" t="s">
        <v>24</v>
      </c>
      <c r="J923" t="s">
        <v>69</v>
      </c>
      <c r="K923" t="s">
        <v>41</v>
      </c>
      <c r="L923" t="s">
        <v>1271</v>
      </c>
      <c r="M923" t="s">
        <v>493</v>
      </c>
      <c r="N923" t="s">
        <v>1272</v>
      </c>
      <c r="O923" t="s">
        <v>509</v>
      </c>
      <c r="R923" t="s">
        <v>2260</v>
      </c>
      <c r="S923" t="s">
        <v>1995</v>
      </c>
      <c r="V923" t="s">
        <v>1996</v>
      </c>
      <c r="W923" t="s">
        <v>1993</v>
      </c>
      <c r="AD923" t="s">
        <v>1866</v>
      </c>
    </row>
    <row r="924" spans="1:30" x14ac:dyDescent="0.25">
      <c r="A924" t="s">
        <v>33</v>
      </c>
      <c r="D924" t="s">
        <v>1991</v>
      </c>
      <c r="E924" t="s">
        <v>1992</v>
      </c>
      <c r="F924" t="s">
        <v>87</v>
      </c>
      <c r="G924" t="s">
        <v>2220</v>
      </c>
      <c r="H924" t="s">
        <v>153</v>
      </c>
      <c r="I924" t="s">
        <v>235</v>
      </c>
      <c r="J924" t="s">
        <v>154</v>
      </c>
      <c r="K924" t="s">
        <v>155</v>
      </c>
      <c r="L924" t="s">
        <v>2221</v>
      </c>
      <c r="N924" t="s">
        <v>459</v>
      </c>
      <c r="O924" t="s">
        <v>1762</v>
      </c>
      <c r="R924" t="s">
        <v>1853</v>
      </c>
      <c r="S924" t="s">
        <v>1995</v>
      </c>
      <c r="V924" t="s">
        <v>1996</v>
      </c>
      <c r="W924" t="s">
        <v>1993</v>
      </c>
      <c r="AD924" t="s">
        <v>1854</v>
      </c>
    </row>
    <row r="925" spans="1:30" x14ac:dyDescent="0.25">
      <c r="A925" t="s">
        <v>33</v>
      </c>
      <c r="D925" t="s">
        <v>1991</v>
      </c>
      <c r="E925" t="s">
        <v>1992</v>
      </c>
      <c r="F925" t="s">
        <v>87</v>
      </c>
      <c r="G925" t="s">
        <v>2036</v>
      </c>
      <c r="H925" t="s">
        <v>153</v>
      </c>
      <c r="I925" t="s">
        <v>235</v>
      </c>
      <c r="J925" t="s">
        <v>154</v>
      </c>
      <c r="K925" t="s">
        <v>155</v>
      </c>
      <c r="L925" t="s">
        <v>2037</v>
      </c>
      <c r="N925" t="s">
        <v>817</v>
      </c>
      <c r="O925" t="s">
        <v>1762</v>
      </c>
      <c r="R925" t="s">
        <v>1855</v>
      </c>
      <c r="S925" t="s">
        <v>1995</v>
      </c>
      <c r="V925" t="s">
        <v>1996</v>
      </c>
      <c r="W925" t="s">
        <v>1993</v>
      </c>
      <c r="AD925" t="s">
        <v>1856</v>
      </c>
    </row>
    <row r="926" spans="1:30" x14ac:dyDescent="0.25">
      <c r="A926" t="s">
        <v>33</v>
      </c>
      <c r="D926" t="s">
        <v>1991</v>
      </c>
      <c r="E926" t="s">
        <v>1992</v>
      </c>
      <c r="F926" t="s">
        <v>87</v>
      </c>
      <c r="G926" t="s">
        <v>2023</v>
      </c>
      <c r="H926" t="s">
        <v>153</v>
      </c>
      <c r="I926" t="s">
        <v>235</v>
      </c>
      <c r="J926" t="s">
        <v>154</v>
      </c>
      <c r="K926" t="s">
        <v>155</v>
      </c>
      <c r="L926" t="s">
        <v>2024</v>
      </c>
      <c r="N926" t="s">
        <v>2025</v>
      </c>
      <c r="O926" t="s">
        <v>1762</v>
      </c>
      <c r="R926" t="s">
        <v>2261</v>
      </c>
      <c r="S926" t="s">
        <v>1995</v>
      </c>
      <c r="V926" t="s">
        <v>1996</v>
      </c>
      <c r="W926" t="s">
        <v>1993</v>
      </c>
      <c r="AD926" t="s">
        <v>2262</v>
      </c>
    </row>
    <row r="927" spans="1:30" x14ac:dyDescent="0.25">
      <c r="A927" t="s">
        <v>33</v>
      </c>
      <c r="D927" t="s">
        <v>1991</v>
      </c>
      <c r="E927" t="s">
        <v>1992</v>
      </c>
      <c r="F927" t="s">
        <v>87</v>
      </c>
      <c r="G927" t="s">
        <v>1238</v>
      </c>
      <c r="H927" t="s">
        <v>153</v>
      </c>
      <c r="I927" t="s">
        <v>235</v>
      </c>
      <c r="J927" t="s">
        <v>154</v>
      </c>
      <c r="K927" t="s">
        <v>155</v>
      </c>
      <c r="L927" t="s">
        <v>1239</v>
      </c>
      <c r="N927" t="s">
        <v>1240</v>
      </c>
      <c r="O927" t="s">
        <v>1762</v>
      </c>
      <c r="R927" t="s">
        <v>2263</v>
      </c>
      <c r="S927" t="s">
        <v>1995</v>
      </c>
      <c r="V927" t="s">
        <v>1996</v>
      </c>
      <c r="W927" t="s">
        <v>1993</v>
      </c>
      <c r="AD927" t="s">
        <v>1927</v>
      </c>
    </row>
    <row r="928" spans="1:30" x14ac:dyDescent="0.25">
      <c r="A928" t="s">
        <v>33</v>
      </c>
      <c r="D928" t="s">
        <v>1991</v>
      </c>
      <c r="E928" t="s">
        <v>1992</v>
      </c>
      <c r="F928" t="s">
        <v>87</v>
      </c>
      <c r="G928" t="s">
        <v>802</v>
      </c>
      <c r="H928" t="s">
        <v>89</v>
      </c>
      <c r="I928" t="s">
        <v>144</v>
      </c>
      <c r="J928" t="s">
        <v>91</v>
      </c>
      <c r="K928" t="s">
        <v>92</v>
      </c>
      <c r="L928" t="s">
        <v>803</v>
      </c>
      <c r="M928" t="s">
        <v>94</v>
      </c>
      <c r="N928" t="s">
        <v>2019</v>
      </c>
      <c r="O928" t="s">
        <v>96</v>
      </c>
      <c r="P928">
        <v>1E-3</v>
      </c>
      <c r="R928" t="s">
        <v>1915</v>
      </c>
      <c r="S928" t="s">
        <v>1995</v>
      </c>
      <c r="V928" t="s">
        <v>1996</v>
      </c>
      <c r="W928" t="s">
        <v>1993</v>
      </c>
      <c r="AD928" t="s">
        <v>2264</v>
      </c>
    </row>
    <row r="929" spans="1:30" x14ac:dyDescent="0.25">
      <c r="A929" t="s">
        <v>33</v>
      </c>
      <c r="D929" t="s">
        <v>1991</v>
      </c>
      <c r="E929" t="s">
        <v>1992</v>
      </c>
      <c r="F929" t="s">
        <v>87</v>
      </c>
      <c r="G929" t="s">
        <v>802</v>
      </c>
      <c r="H929" t="s">
        <v>166</v>
      </c>
      <c r="I929" t="s">
        <v>216</v>
      </c>
      <c r="J929" t="s">
        <v>167</v>
      </c>
      <c r="K929" t="s">
        <v>41</v>
      </c>
      <c r="L929" t="s">
        <v>803</v>
      </c>
      <c r="N929" t="s">
        <v>2019</v>
      </c>
      <c r="O929" t="s">
        <v>217</v>
      </c>
      <c r="Q929" t="s">
        <v>1917</v>
      </c>
      <c r="R929" t="s">
        <v>1918</v>
      </c>
      <c r="S929" t="s">
        <v>1995</v>
      </c>
      <c r="V929" t="s">
        <v>1996</v>
      </c>
      <c r="W929" t="s">
        <v>1993</v>
      </c>
      <c r="AD929" t="s">
        <v>2265</v>
      </c>
    </row>
    <row r="930" spans="1:30" x14ac:dyDescent="0.25">
      <c r="A930" t="s">
        <v>33</v>
      </c>
      <c r="D930" t="s">
        <v>1991</v>
      </c>
      <c r="E930" t="s">
        <v>1992</v>
      </c>
      <c r="F930" t="s">
        <v>87</v>
      </c>
      <c r="G930" t="s">
        <v>807</v>
      </c>
      <c r="H930" t="s">
        <v>89</v>
      </c>
      <c r="I930" t="s">
        <v>144</v>
      </c>
      <c r="J930" t="s">
        <v>91</v>
      </c>
      <c r="K930" t="s">
        <v>92</v>
      </c>
      <c r="L930" t="s">
        <v>808</v>
      </c>
      <c r="M930" t="s">
        <v>94</v>
      </c>
      <c r="N930" t="s">
        <v>2021</v>
      </c>
      <c r="O930" t="s">
        <v>96</v>
      </c>
      <c r="P930">
        <v>1E-3</v>
      </c>
      <c r="R930" t="s">
        <v>1922</v>
      </c>
      <c r="S930" t="s">
        <v>1995</v>
      </c>
      <c r="V930" t="s">
        <v>1996</v>
      </c>
      <c r="W930" t="s">
        <v>1993</v>
      </c>
      <c r="AD930" t="s">
        <v>2266</v>
      </c>
    </row>
    <row r="931" spans="1:30" x14ac:dyDescent="0.25">
      <c r="A931" t="s">
        <v>33</v>
      </c>
      <c r="D931" t="s">
        <v>1991</v>
      </c>
      <c r="E931" t="s">
        <v>1992</v>
      </c>
      <c r="F931" t="s">
        <v>87</v>
      </c>
      <c r="G931" t="s">
        <v>807</v>
      </c>
      <c r="H931" t="s">
        <v>166</v>
      </c>
      <c r="I931" t="s">
        <v>216</v>
      </c>
      <c r="J931" t="s">
        <v>167</v>
      </c>
      <c r="K931" t="s">
        <v>41</v>
      </c>
      <c r="L931" t="s">
        <v>808</v>
      </c>
      <c r="N931" t="s">
        <v>2021</v>
      </c>
      <c r="O931" t="s">
        <v>217</v>
      </c>
      <c r="Q931" t="s">
        <v>1917</v>
      </c>
      <c r="R931" t="s">
        <v>1924</v>
      </c>
      <c r="S931" t="s">
        <v>1995</v>
      </c>
      <c r="V931" t="s">
        <v>1996</v>
      </c>
      <c r="W931" t="s">
        <v>1993</v>
      </c>
      <c r="AD931" t="s">
        <v>2267</v>
      </c>
    </row>
    <row r="932" spans="1:30" x14ac:dyDescent="0.25">
      <c r="A932" t="s">
        <v>33</v>
      </c>
      <c r="D932" t="s">
        <v>1991</v>
      </c>
      <c r="E932" t="s">
        <v>1992</v>
      </c>
      <c r="F932" t="s">
        <v>87</v>
      </c>
      <c r="G932" t="s">
        <v>2036</v>
      </c>
      <c r="H932" t="s">
        <v>89</v>
      </c>
      <c r="I932" t="s">
        <v>1570</v>
      </c>
      <c r="J932" t="s">
        <v>1571</v>
      </c>
      <c r="K932" t="s">
        <v>1572</v>
      </c>
      <c r="L932" t="s">
        <v>2037</v>
      </c>
      <c r="M932" t="s">
        <v>94</v>
      </c>
      <c r="N932" t="s">
        <v>817</v>
      </c>
      <c r="O932" t="s">
        <v>1932</v>
      </c>
      <c r="R932" t="s">
        <v>1933</v>
      </c>
      <c r="S932" t="s">
        <v>1995</v>
      </c>
      <c r="V932" t="s">
        <v>1996</v>
      </c>
      <c r="W932" t="s">
        <v>1993</v>
      </c>
      <c r="AD932" t="s">
        <v>1934</v>
      </c>
    </row>
    <row r="933" spans="1:30" x14ac:dyDescent="0.25">
      <c r="A933" t="s">
        <v>947</v>
      </c>
      <c r="B933" t="s">
        <v>1948</v>
      </c>
      <c r="C933" t="s">
        <v>949</v>
      </c>
      <c r="D933" t="s">
        <v>1991</v>
      </c>
      <c r="E933" t="s">
        <v>1992</v>
      </c>
      <c r="F933" t="s">
        <v>87</v>
      </c>
      <c r="G933" t="s">
        <v>2036</v>
      </c>
      <c r="H933" t="s">
        <v>89</v>
      </c>
      <c r="I933" t="s">
        <v>1570</v>
      </c>
      <c r="J933" t="s">
        <v>1571</v>
      </c>
      <c r="K933" t="s">
        <v>1576</v>
      </c>
      <c r="L933" t="s">
        <v>2037</v>
      </c>
      <c r="M933" t="s">
        <v>94</v>
      </c>
      <c r="N933" t="s">
        <v>817</v>
      </c>
      <c r="O933" t="s">
        <v>1932</v>
      </c>
      <c r="R933" t="s">
        <v>1950</v>
      </c>
      <c r="S933" t="s">
        <v>1995</v>
      </c>
      <c r="V933" t="s">
        <v>1996</v>
      </c>
      <c r="W933" t="s">
        <v>1993</v>
      </c>
      <c r="AD933" t="s">
        <v>1934</v>
      </c>
    </row>
    <row r="934" spans="1:30" x14ac:dyDescent="0.25">
      <c r="A934" t="s">
        <v>33</v>
      </c>
      <c r="D934" t="s">
        <v>1991</v>
      </c>
      <c r="E934" t="s">
        <v>1992</v>
      </c>
      <c r="F934" t="s">
        <v>87</v>
      </c>
      <c r="G934" t="s">
        <v>2036</v>
      </c>
      <c r="H934" t="s">
        <v>38</v>
      </c>
      <c r="I934" t="s">
        <v>106</v>
      </c>
      <c r="J934" t="s">
        <v>40</v>
      </c>
      <c r="K934" t="s">
        <v>41</v>
      </c>
      <c r="L934" t="s">
        <v>2037</v>
      </c>
      <c r="M934" t="s">
        <v>1191</v>
      </c>
      <c r="N934" t="s">
        <v>817</v>
      </c>
      <c r="O934" t="s">
        <v>109</v>
      </c>
      <c r="R934" t="s">
        <v>1935</v>
      </c>
      <c r="S934" t="s">
        <v>1995</v>
      </c>
      <c r="V934" t="s">
        <v>1996</v>
      </c>
      <c r="W934" t="s">
        <v>1993</v>
      </c>
      <c r="X934" t="s">
        <v>1193</v>
      </c>
      <c r="AD934" t="s">
        <v>1936</v>
      </c>
    </row>
    <row r="935" spans="1:30" x14ac:dyDescent="0.25">
      <c r="A935" t="s">
        <v>33</v>
      </c>
      <c r="D935" t="s">
        <v>1991</v>
      </c>
      <c r="E935" t="s">
        <v>1992</v>
      </c>
      <c r="F935" t="s">
        <v>87</v>
      </c>
      <c r="G935" t="s">
        <v>389</v>
      </c>
      <c r="H935" t="s">
        <v>153</v>
      </c>
      <c r="I935" t="s">
        <v>235</v>
      </c>
      <c r="J935" t="s">
        <v>154</v>
      </c>
      <c r="K935" t="s">
        <v>155</v>
      </c>
      <c r="L935" t="s">
        <v>390</v>
      </c>
      <c r="N935" t="s">
        <v>371</v>
      </c>
      <c r="O935" t="s">
        <v>1762</v>
      </c>
      <c r="R935" t="s">
        <v>1911</v>
      </c>
      <c r="S935" t="s">
        <v>1995</v>
      </c>
      <c r="V935" t="s">
        <v>1996</v>
      </c>
      <c r="W935" t="s">
        <v>1993</v>
      </c>
      <c r="AD935" t="s">
        <v>2268</v>
      </c>
    </row>
    <row r="936" spans="1:30" x14ac:dyDescent="0.25">
      <c r="D936" t="s">
        <v>1991</v>
      </c>
      <c r="E936" t="s">
        <v>1992</v>
      </c>
      <c r="F936" t="s">
        <v>87</v>
      </c>
      <c r="G936" t="s">
        <v>2036</v>
      </c>
      <c r="H936" t="s">
        <v>143</v>
      </c>
      <c r="I936" t="s">
        <v>90</v>
      </c>
      <c r="J936" t="s">
        <v>145</v>
      </c>
      <c r="K936" t="s">
        <v>146</v>
      </c>
      <c r="L936" t="s">
        <v>2037</v>
      </c>
      <c r="M936" t="s">
        <v>1191</v>
      </c>
      <c r="N936" t="s">
        <v>817</v>
      </c>
      <c r="O936" t="s">
        <v>380</v>
      </c>
      <c r="R936" t="s">
        <v>1930</v>
      </c>
      <c r="S936" t="s">
        <v>1995</v>
      </c>
      <c r="V936" t="s">
        <v>1996</v>
      </c>
      <c r="W936" t="s">
        <v>1993</v>
      </c>
      <c r="AD936" t="s">
        <v>1931</v>
      </c>
    </row>
    <row r="937" spans="1:30" x14ac:dyDescent="0.25">
      <c r="D937" t="s">
        <v>1991</v>
      </c>
      <c r="E937" t="s">
        <v>1992</v>
      </c>
      <c r="F937" t="s">
        <v>87</v>
      </c>
      <c r="G937" t="s">
        <v>2036</v>
      </c>
      <c r="H937" t="s">
        <v>89</v>
      </c>
      <c r="I937" t="s">
        <v>90</v>
      </c>
      <c r="J937" t="s">
        <v>91</v>
      </c>
      <c r="K937" t="s">
        <v>92</v>
      </c>
      <c r="L937" t="s">
        <v>2037</v>
      </c>
      <c r="M937" t="s">
        <v>94</v>
      </c>
      <c r="N937" t="s">
        <v>817</v>
      </c>
      <c r="O937" t="s">
        <v>383</v>
      </c>
      <c r="P937">
        <v>1E-3</v>
      </c>
      <c r="R937" t="s">
        <v>1928</v>
      </c>
      <c r="S937" t="s">
        <v>1995</v>
      </c>
      <c r="V937" t="s">
        <v>1996</v>
      </c>
      <c r="W937" t="s">
        <v>1993</v>
      </c>
      <c r="AD937" t="s">
        <v>1929</v>
      </c>
    </row>
    <row r="938" spans="1:30" x14ac:dyDescent="0.25">
      <c r="A938" t="s">
        <v>33</v>
      </c>
      <c r="D938" t="s">
        <v>1991</v>
      </c>
      <c r="E938" t="s">
        <v>1992</v>
      </c>
      <c r="F938" t="s">
        <v>87</v>
      </c>
      <c r="G938" t="s">
        <v>2036</v>
      </c>
      <c r="H938" t="s">
        <v>38</v>
      </c>
      <c r="I938" t="s">
        <v>25</v>
      </c>
      <c r="J938" t="s">
        <v>69</v>
      </c>
      <c r="K938" t="s">
        <v>41</v>
      </c>
      <c r="L938" t="s">
        <v>2037</v>
      </c>
      <c r="M938" t="s">
        <v>1191</v>
      </c>
      <c r="N938" t="s">
        <v>817</v>
      </c>
      <c r="O938" t="s">
        <v>512</v>
      </c>
      <c r="R938" t="s">
        <v>1937</v>
      </c>
      <c r="S938" t="s">
        <v>1995</v>
      </c>
      <c r="V938" t="s">
        <v>1996</v>
      </c>
      <c r="W938" t="s">
        <v>1993</v>
      </c>
      <c r="X938" t="s">
        <v>1193</v>
      </c>
      <c r="AD938" t="s">
        <v>1938</v>
      </c>
    </row>
    <row r="939" spans="1:30" x14ac:dyDescent="0.25">
      <c r="A939" t="s">
        <v>33</v>
      </c>
      <c r="D939" t="s">
        <v>1991</v>
      </c>
      <c r="E939" t="s">
        <v>1992</v>
      </c>
      <c r="F939" t="s">
        <v>87</v>
      </c>
      <c r="G939" t="s">
        <v>2036</v>
      </c>
      <c r="H939" t="s">
        <v>38</v>
      </c>
      <c r="I939" t="s">
        <v>24</v>
      </c>
      <c r="J939" t="s">
        <v>69</v>
      </c>
      <c r="K939" t="s">
        <v>41</v>
      </c>
      <c r="L939" t="s">
        <v>2037</v>
      </c>
      <c r="M939" t="s">
        <v>1191</v>
      </c>
      <c r="N939" t="s">
        <v>817</v>
      </c>
      <c r="O939" t="s">
        <v>509</v>
      </c>
      <c r="R939" t="s">
        <v>1939</v>
      </c>
      <c r="S939" t="s">
        <v>1995</v>
      </c>
      <c r="V939" t="s">
        <v>1996</v>
      </c>
      <c r="W939" t="s">
        <v>1993</v>
      </c>
      <c r="X939" t="s">
        <v>1193</v>
      </c>
      <c r="AD939" t="s">
        <v>1940</v>
      </c>
    </row>
    <row r="940" spans="1:30" x14ac:dyDescent="0.25">
      <c r="A940" t="s">
        <v>33</v>
      </c>
      <c r="D940" t="s">
        <v>1991</v>
      </c>
      <c r="E940" t="s">
        <v>1992</v>
      </c>
      <c r="F940" t="s">
        <v>87</v>
      </c>
      <c r="G940" t="s">
        <v>2036</v>
      </c>
      <c r="H940" t="s">
        <v>166</v>
      </c>
      <c r="I940" t="s">
        <v>1941</v>
      </c>
      <c r="J940" t="s">
        <v>167</v>
      </c>
      <c r="K940" t="s">
        <v>41</v>
      </c>
      <c r="L940" t="s">
        <v>2037</v>
      </c>
      <c r="N940" t="s">
        <v>817</v>
      </c>
      <c r="O940" t="s">
        <v>1942</v>
      </c>
      <c r="Q940" t="s">
        <v>1943</v>
      </c>
      <c r="R940" t="s">
        <v>1944</v>
      </c>
      <c r="S940" t="s">
        <v>1995</v>
      </c>
      <c r="V940" t="s">
        <v>1996</v>
      </c>
      <c r="W940" t="s">
        <v>1993</v>
      </c>
      <c r="AD940" t="s">
        <v>1945</v>
      </c>
    </row>
    <row r="941" spans="1:30" x14ac:dyDescent="0.25">
      <c r="A941" t="s">
        <v>33</v>
      </c>
      <c r="D941" t="s">
        <v>1991</v>
      </c>
      <c r="E941" t="s">
        <v>1992</v>
      </c>
      <c r="F941" t="s">
        <v>87</v>
      </c>
      <c r="G941" t="s">
        <v>2029</v>
      </c>
      <c r="H941" t="s">
        <v>89</v>
      </c>
      <c r="I941" t="s">
        <v>144</v>
      </c>
      <c r="J941" t="s">
        <v>91</v>
      </c>
      <c r="K941" t="s">
        <v>92</v>
      </c>
      <c r="L941" t="s">
        <v>2030</v>
      </c>
      <c r="M941" t="s">
        <v>94</v>
      </c>
      <c r="N941" t="s">
        <v>2031</v>
      </c>
      <c r="O941" t="s">
        <v>150</v>
      </c>
      <c r="P941">
        <v>1E-3</v>
      </c>
      <c r="R941" t="s">
        <v>2269</v>
      </c>
      <c r="S941" t="s">
        <v>1995</v>
      </c>
      <c r="V941" t="s">
        <v>1996</v>
      </c>
      <c r="W941" t="s">
        <v>1993</v>
      </c>
      <c r="AD941" t="s">
        <v>2270</v>
      </c>
    </row>
    <row r="942" spans="1:30" x14ac:dyDescent="0.25">
      <c r="A942" t="s">
        <v>33</v>
      </c>
      <c r="D942" t="s">
        <v>1991</v>
      </c>
      <c r="E942" t="s">
        <v>1992</v>
      </c>
      <c r="F942" t="s">
        <v>87</v>
      </c>
      <c r="G942" t="s">
        <v>2029</v>
      </c>
      <c r="H942" t="s">
        <v>143</v>
      </c>
      <c r="I942" t="s">
        <v>144</v>
      </c>
      <c r="J942" t="s">
        <v>145</v>
      </c>
      <c r="K942" t="s">
        <v>146</v>
      </c>
      <c r="L942" t="s">
        <v>2030</v>
      </c>
      <c r="M942" t="s">
        <v>1191</v>
      </c>
      <c r="N942" t="s">
        <v>2031</v>
      </c>
      <c r="O942" t="s">
        <v>147</v>
      </c>
      <c r="R942" t="s">
        <v>2271</v>
      </c>
      <c r="S942" t="s">
        <v>1995</v>
      </c>
      <c r="V942" t="s">
        <v>1996</v>
      </c>
      <c r="W942" t="s">
        <v>1993</v>
      </c>
      <c r="X942" t="s">
        <v>1193</v>
      </c>
      <c r="AD942" t="s">
        <v>2272</v>
      </c>
    </row>
    <row r="943" spans="1:30" x14ac:dyDescent="0.25">
      <c r="A943" t="s">
        <v>33</v>
      </c>
      <c r="D943" t="s">
        <v>1991</v>
      </c>
      <c r="E943" t="s">
        <v>1992</v>
      </c>
      <c r="F943" t="s">
        <v>87</v>
      </c>
      <c r="G943" t="s">
        <v>2067</v>
      </c>
      <c r="H943" t="s">
        <v>153</v>
      </c>
      <c r="I943" t="s">
        <v>235</v>
      </c>
      <c r="J943" t="s">
        <v>154</v>
      </c>
      <c r="K943" t="s">
        <v>155</v>
      </c>
      <c r="L943" t="s">
        <v>2068</v>
      </c>
      <c r="N943" t="s">
        <v>2069</v>
      </c>
      <c r="O943" t="s">
        <v>1762</v>
      </c>
      <c r="R943" t="s">
        <v>1926</v>
      </c>
      <c r="S943" t="s">
        <v>1995</v>
      </c>
      <c r="V943" t="s">
        <v>1996</v>
      </c>
      <c r="W943" t="s">
        <v>1993</v>
      </c>
      <c r="AD943" t="s">
        <v>2273</v>
      </c>
    </row>
    <row r="944" spans="1:30" x14ac:dyDescent="0.25">
      <c r="A944" t="s">
        <v>33</v>
      </c>
      <c r="D944" t="s">
        <v>1991</v>
      </c>
      <c r="E944" t="s">
        <v>1992</v>
      </c>
      <c r="F944" t="s">
        <v>87</v>
      </c>
      <c r="G944" t="s">
        <v>2029</v>
      </c>
      <c r="H944" t="s">
        <v>89</v>
      </c>
      <c r="I944" t="s">
        <v>90</v>
      </c>
      <c r="J944" t="s">
        <v>91</v>
      </c>
      <c r="K944" t="s">
        <v>92</v>
      </c>
      <c r="L944" t="s">
        <v>2030</v>
      </c>
      <c r="M944" t="s">
        <v>94</v>
      </c>
      <c r="N944" t="s">
        <v>2031</v>
      </c>
      <c r="O944" t="s">
        <v>383</v>
      </c>
      <c r="P944">
        <v>1E-3</v>
      </c>
      <c r="R944" t="s">
        <v>2274</v>
      </c>
      <c r="S944" t="s">
        <v>1995</v>
      </c>
      <c r="V944" t="s">
        <v>1996</v>
      </c>
      <c r="W944" t="s">
        <v>1993</v>
      </c>
      <c r="AD944" t="s">
        <v>2275</v>
      </c>
    </row>
    <row r="945" spans="1:30" x14ac:dyDescent="0.25">
      <c r="A945" t="s">
        <v>33</v>
      </c>
      <c r="D945" t="s">
        <v>1991</v>
      </c>
      <c r="E945" t="s">
        <v>1992</v>
      </c>
      <c r="F945" t="s">
        <v>87</v>
      </c>
      <c r="G945" t="s">
        <v>2029</v>
      </c>
      <c r="H945" t="s">
        <v>143</v>
      </c>
      <c r="I945" t="s">
        <v>90</v>
      </c>
      <c r="J945" t="s">
        <v>145</v>
      </c>
      <c r="K945" t="s">
        <v>146</v>
      </c>
      <c r="L945" t="s">
        <v>2030</v>
      </c>
      <c r="M945" t="s">
        <v>1191</v>
      </c>
      <c r="N945" t="s">
        <v>2031</v>
      </c>
      <c r="O945" t="s">
        <v>380</v>
      </c>
      <c r="R945" t="s">
        <v>2276</v>
      </c>
      <c r="S945" t="s">
        <v>1995</v>
      </c>
      <c r="V945" t="s">
        <v>1996</v>
      </c>
      <c r="W945" t="s">
        <v>1993</v>
      </c>
      <c r="X945" t="s">
        <v>1193</v>
      </c>
      <c r="AD945" t="s">
        <v>2277</v>
      </c>
    </row>
    <row r="946" spans="1:30" x14ac:dyDescent="0.25">
      <c r="A946" t="s">
        <v>33</v>
      </c>
      <c r="D946" t="s">
        <v>1991</v>
      </c>
      <c r="E946" t="s">
        <v>1992</v>
      </c>
      <c r="F946" t="s">
        <v>87</v>
      </c>
      <c r="G946" t="s">
        <v>2074</v>
      </c>
      <c r="H946" t="s">
        <v>153</v>
      </c>
      <c r="I946" t="s">
        <v>235</v>
      </c>
      <c r="J946" t="s">
        <v>154</v>
      </c>
      <c r="K946" t="s">
        <v>155</v>
      </c>
      <c r="L946" t="s">
        <v>2075</v>
      </c>
      <c r="N946" t="s">
        <v>2076</v>
      </c>
      <c r="O946" t="s">
        <v>1762</v>
      </c>
      <c r="R946" t="s">
        <v>1946</v>
      </c>
      <c r="S946" t="s">
        <v>1995</v>
      </c>
      <c r="V946" t="s">
        <v>1996</v>
      </c>
      <c r="W946" t="s">
        <v>1993</v>
      </c>
      <c r="AD946" t="s">
        <v>2278</v>
      </c>
    </row>
    <row r="947" spans="1:30" x14ac:dyDescent="0.25">
      <c r="A947" t="s">
        <v>33</v>
      </c>
      <c r="D947" t="s">
        <v>1991</v>
      </c>
      <c r="E947" t="s">
        <v>1992</v>
      </c>
      <c r="F947" t="s">
        <v>87</v>
      </c>
      <c r="G947" t="s">
        <v>2029</v>
      </c>
      <c r="H947" t="s">
        <v>89</v>
      </c>
      <c r="I947" t="s">
        <v>100</v>
      </c>
      <c r="J947" t="s">
        <v>91</v>
      </c>
      <c r="K947" t="s">
        <v>92</v>
      </c>
      <c r="L947" t="s">
        <v>2030</v>
      </c>
      <c r="M947" t="s">
        <v>94</v>
      </c>
      <c r="N947" t="s">
        <v>2031</v>
      </c>
      <c r="O947" t="s">
        <v>445</v>
      </c>
      <c r="P947">
        <v>1E-3</v>
      </c>
      <c r="R947" t="s">
        <v>2279</v>
      </c>
      <c r="S947" t="s">
        <v>1995</v>
      </c>
      <c r="V947" t="s">
        <v>1996</v>
      </c>
      <c r="W947" t="s">
        <v>1993</v>
      </c>
      <c r="AD947" t="s">
        <v>2280</v>
      </c>
    </row>
    <row r="948" spans="1:30" x14ac:dyDescent="0.25">
      <c r="A948" t="s">
        <v>33</v>
      </c>
      <c r="D948" t="s">
        <v>1991</v>
      </c>
      <c r="E948" t="s">
        <v>1992</v>
      </c>
      <c r="F948" t="s">
        <v>87</v>
      </c>
      <c r="G948" t="s">
        <v>2029</v>
      </c>
      <c r="H948" t="s">
        <v>143</v>
      </c>
      <c r="I948" t="s">
        <v>100</v>
      </c>
      <c r="J948" t="s">
        <v>145</v>
      </c>
      <c r="K948" t="s">
        <v>146</v>
      </c>
      <c r="L948" t="s">
        <v>2030</v>
      </c>
      <c r="M948" t="s">
        <v>1191</v>
      </c>
      <c r="N948" t="s">
        <v>2031</v>
      </c>
      <c r="O948" t="s">
        <v>442</v>
      </c>
      <c r="R948" t="s">
        <v>2281</v>
      </c>
      <c r="S948" t="s">
        <v>1995</v>
      </c>
      <c r="V948" t="s">
        <v>1996</v>
      </c>
      <c r="W948" t="s">
        <v>1993</v>
      </c>
      <c r="X948" t="s">
        <v>1193</v>
      </c>
      <c r="AD948" t="s">
        <v>2282</v>
      </c>
    </row>
    <row r="949" spans="1:30" x14ac:dyDescent="0.25">
      <c r="A949" t="s">
        <v>33</v>
      </c>
      <c r="D949" t="s">
        <v>1991</v>
      </c>
      <c r="E949" t="s">
        <v>1992</v>
      </c>
      <c r="F949" t="s">
        <v>87</v>
      </c>
      <c r="G949" t="s">
        <v>2029</v>
      </c>
      <c r="H949" t="s">
        <v>38</v>
      </c>
      <c r="I949" t="s">
        <v>106</v>
      </c>
      <c r="J949" t="s">
        <v>40</v>
      </c>
      <c r="K949" t="s">
        <v>41</v>
      </c>
      <c r="L949" t="s">
        <v>2030</v>
      </c>
      <c r="M949" t="s">
        <v>1191</v>
      </c>
      <c r="N949" t="s">
        <v>2031</v>
      </c>
      <c r="O949" t="s">
        <v>109</v>
      </c>
      <c r="R949" t="s">
        <v>2283</v>
      </c>
      <c r="S949" t="s">
        <v>1995</v>
      </c>
      <c r="V949" t="s">
        <v>1996</v>
      </c>
      <c r="W949" t="s">
        <v>1993</v>
      </c>
      <c r="X949" t="s">
        <v>1193</v>
      </c>
      <c r="AD949" t="s">
        <v>2284</v>
      </c>
    </row>
    <row r="950" spans="1:30" x14ac:dyDescent="0.25">
      <c r="A950" t="s">
        <v>33</v>
      </c>
      <c r="D950" t="s">
        <v>1991</v>
      </c>
      <c r="E950" t="s">
        <v>1992</v>
      </c>
      <c r="F950" t="s">
        <v>87</v>
      </c>
      <c r="G950" t="s">
        <v>2029</v>
      </c>
      <c r="H950" t="s">
        <v>38</v>
      </c>
      <c r="I950" t="s">
        <v>25</v>
      </c>
      <c r="J950" t="s">
        <v>69</v>
      </c>
      <c r="K950" t="s">
        <v>41</v>
      </c>
      <c r="L950" t="s">
        <v>2030</v>
      </c>
      <c r="M950" t="s">
        <v>1191</v>
      </c>
      <c r="N950" t="s">
        <v>2031</v>
      </c>
      <c r="O950" t="s">
        <v>512</v>
      </c>
      <c r="R950" t="s">
        <v>1561</v>
      </c>
      <c r="S950" t="s">
        <v>1995</v>
      </c>
      <c r="V950" t="s">
        <v>1996</v>
      </c>
      <c r="W950" t="s">
        <v>1993</v>
      </c>
      <c r="X950" t="s">
        <v>1193</v>
      </c>
      <c r="AD950" t="s">
        <v>2285</v>
      </c>
    </row>
    <row r="951" spans="1:30" x14ac:dyDescent="0.25">
      <c r="A951" t="s">
        <v>33</v>
      </c>
      <c r="D951" t="s">
        <v>1991</v>
      </c>
      <c r="E951" t="s">
        <v>1992</v>
      </c>
      <c r="F951" t="s">
        <v>87</v>
      </c>
      <c r="G951" t="s">
        <v>2029</v>
      </c>
      <c r="H951" t="s">
        <v>38</v>
      </c>
      <c r="I951" t="s">
        <v>24</v>
      </c>
      <c r="J951" t="s">
        <v>69</v>
      </c>
      <c r="K951" t="s">
        <v>41</v>
      </c>
      <c r="L951" t="s">
        <v>2030</v>
      </c>
      <c r="M951" t="s">
        <v>1191</v>
      </c>
      <c r="N951" t="s">
        <v>2031</v>
      </c>
      <c r="O951" t="s">
        <v>509</v>
      </c>
      <c r="R951" t="s">
        <v>1563</v>
      </c>
      <c r="S951" t="s">
        <v>1995</v>
      </c>
      <c r="V951" t="s">
        <v>1996</v>
      </c>
      <c r="W951" t="s">
        <v>1993</v>
      </c>
      <c r="X951" t="s">
        <v>1193</v>
      </c>
      <c r="AD951" t="s">
        <v>2286</v>
      </c>
    </row>
    <row r="952" spans="1:30" x14ac:dyDescent="0.25">
      <c r="A952" t="s">
        <v>33</v>
      </c>
      <c r="D952" t="s">
        <v>1991</v>
      </c>
      <c r="E952" t="s">
        <v>1992</v>
      </c>
      <c r="F952" t="s">
        <v>78</v>
      </c>
      <c r="G952" t="s">
        <v>497</v>
      </c>
      <c r="H952" t="s">
        <v>166</v>
      </c>
      <c r="I952" t="s">
        <v>243</v>
      </c>
      <c r="J952" t="s">
        <v>167</v>
      </c>
      <c r="K952" t="s">
        <v>41</v>
      </c>
      <c r="L952" t="s">
        <v>498</v>
      </c>
      <c r="N952" t="s">
        <v>830</v>
      </c>
      <c r="O952" t="s">
        <v>244</v>
      </c>
      <c r="Q952" t="s">
        <v>245</v>
      </c>
      <c r="R952" t="s">
        <v>502</v>
      </c>
      <c r="S952" t="s">
        <v>1995</v>
      </c>
      <c r="V952" t="s">
        <v>1996</v>
      </c>
      <c r="W952" t="s">
        <v>1993</v>
      </c>
      <c r="AD952" t="s">
        <v>1971</v>
      </c>
    </row>
    <row r="953" spans="1:30" x14ac:dyDescent="0.25">
      <c r="A953" t="s">
        <v>33</v>
      </c>
      <c r="D953" t="s">
        <v>1991</v>
      </c>
      <c r="E953" t="s">
        <v>1992</v>
      </c>
      <c r="F953" t="s">
        <v>78</v>
      </c>
      <c r="G953" t="s">
        <v>497</v>
      </c>
      <c r="H953" t="s">
        <v>166</v>
      </c>
      <c r="I953" t="s">
        <v>160</v>
      </c>
      <c r="J953" t="s">
        <v>167</v>
      </c>
      <c r="K953" t="s">
        <v>41</v>
      </c>
      <c r="L953" t="s">
        <v>498</v>
      </c>
      <c r="N953" t="s">
        <v>830</v>
      </c>
      <c r="O953" t="s">
        <v>168</v>
      </c>
      <c r="Q953" t="s">
        <v>1972</v>
      </c>
      <c r="R953" t="s">
        <v>500</v>
      </c>
      <c r="S953" t="s">
        <v>1995</v>
      </c>
      <c r="V953" t="s">
        <v>1996</v>
      </c>
      <c r="W953" t="s">
        <v>1993</v>
      </c>
      <c r="AD953" t="s">
        <v>1974</v>
      </c>
    </row>
    <row r="954" spans="1:30" x14ac:dyDescent="0.25">
      <c r="D954" t="s">
        <v>1991</v>
      </c>
      <c r="E954" t="s">
        <v>1992</v>
      </c>
      <c r="F954" t="s">
        <v>78</v>
      </c>
      <c r="G954" t="s">
        <v>497</v>
      </c>
      <c r="H954" t="s">
        <v>166</v>
      </c>
      <c r="I954" t="s">
        <v>216</v>
      </c>
      <c r="J954" t="s">
        <v>167</v>
      </c>
      <c r="K954" t="s">
        <v>41</v>
      </c>
      <c r="L954" t="s">
        <v>498</v>
      </c>
      <c r="N954" t="s">
        <v>830</v>
      </c>
      <c r="O954" t="s">
        <v>925</v>
      </c>
      <c r="Q954" t="s">
        <v>1958</v>
      </c>
      <c r="R954" t="s">
        <v>1959</v>
      </c>
      <c r="S954" t="s">
        <v>1995</v>
      </c>
      <c r="V954" t="s">
        <v>1996</v>
      </c>
      <c r="W954" t="s">
        <v>1993</v>
      </c>
      <c r="AD954" t="s">
        <v>1960</v>
      </c>
    </row>
    <row r="955" spans="1:30" x14ac:dyDescent="0.25">
      <c r="A955" t="s">
        <v>33</v>
      </c>
      <c r="D955" t="s">
        <v>1991</v>
      </c>
      <c r="E955" t="s">
        <v>1992</v>
      </c>
      <c r="F955" t="s">
        <v>87</v>
      </c>
      <c r="G955" t="s">
        <v>2193</v>
      </c>
      <c r="H955" t="s">
        <v>153</v>
      </c>
      <c r="I955" t="s">
        <v>235</v>
      </c>
      <c r="J955" t="s">
        <v>154</v>
      </c>
      <c r="K955" t="s">
        <v>155</v>
      </c>
      <c r="L955" t="s">
        <v>2194</v>
      </c>
      <c r="N955" t="s">
        <v>2195</v>
      </c>
      <c r="O955" t="s">
        <v>1762</v>
      </c>
      <c r="R955" t="s">
        <v>1975</v>
      </c>
      <c r="S955" t="s">
        <v>1995</v>
      </c>
      <c r="V955" t="s">
        <v>1996</v>
      </c>
      <c r="W955" t="s">
        <v>1993</v>
      </c>
      <c r="AD955" t="s">
        <v>2287</v>
      </c>
    </row>
    <row r="956" spans="1:30" x14ac:dyDescent="0.25">
      <c r="A956" t="s">
        <v>33</v>
      </c>
      <c r="D956" t="s">
        <v>1991</v>
      </c>
      <c r="E956" t="s">
        <v>1992</v>
      </c>
      <c r="F956" t="s">
        <v>78</v>
      </c>
      <c r="G956" t="s">
        <v>2288</v>
      </c>
      <c r="H956" t="s">
        <v>166</v>
      </c>
      <c r="I956" t="s">
        <v>243</v>
      </c>
      <c r="J956" t="s">
        <v>167</v>
      </c>
      <c r="K956" t="s">
        <v>41</v>
      </c>
      <c r="L956" t="s">
        <v>2289</v>
      </c>
      <c r="N956" t="s">
        <v>2290</v>
      </c>
      <c r="O956" t="s">
        <v>244</v>
      </c>
      <c r="Q956" t="s">
        <v>245</v>
      </c>
      <c r="R956" t="s">
        <v>2291</v>
      </c>
      <c r="S956" t="s">
        <v>1995</v>
      </c>
      <c r="V956" t="s">
        <v>1996</v>
      </c>
      <c r="W956" t="s">
        <v>1993</v>
      </c>
      <c r="AD956" t="s">
        <v>2292</v>
      </c>
    </row>
    <row r="957" spans="1:30" x14ac:dyDescent="0.25">
      <c r="A957" t="s">
        <v>33</v>
      </c>
      <c r="D957" t="s">
        <v>1991</v>
      </c>
      <c r="E957" t="s">
        <v>1992</v>
      </c>
      <c r="F957" t="s">
        <v>78</v>
      </c>
      <c r="G957" t="s">
        <v>2288</v>
      </c>
      <c r="H957" t="s">
        <v>166</v>
      </c>
      <c r="I957" t="s">
        <v>160</v>
      </c>
      <c r="J957" t="s">
        <v>167</v>
      </c>
      <c r="K957" t="s">
        <v>41</v>
      </c>
      <c r="L957" t="s">
        <v>2289</v>
      </c>
      <c r="N957" t="s">
        <v>2290</v>
      </c>
      <c r="O957" t="s">
        <v>168</v>
      </c>
      <c r="Q957" t="s">
        <v>1972</v>
      </c>
      <c r="R957" t="s">
        <v>306</v>
      </c>
      <c r="S957" t="s">
        <v>1995</v>
      </c>
      <c r="V957" t="s">
        <v>1996</v>
      </c>
      <c r="W957" t="s">
        <v>1993</v>
      </c>
      <c r="AD957" t="s">
        <v>2293</v>
      </c>
    </row>
    <row r="958" spans="1:30" x14ac:dyDescent="0.25">
      <c r="D958" t="s">
        <v>1991</v>
      </c>
      <c r="E958" t="s">
        <v>1992</v>
      </c>
      <c r="F958" t="s">
        <v>78</v>
      </c>
      <c r="G958" t="s">
        <v>2288</v>
      </c>
      <c r="H958" t="s">
        <v>166</v>
      </c>
      <c r="I958" t="s">
        <v>216</v>
      </c>
      <c r="J958" t="s">
        <v>167</v>
      </c>
      <c r="K958" t="s">
        <v>41</v>
      </c>
      <c r="L958" t="s">
        <v>2289</v>
      </c>
      <c r="N958" t="s">
        <v>2290</v>
      </c>
      <c r="O958" t="s">
        <v>925</v>
      </c>
      <c r="Q958" t="s">
        <v>1958</v>
      </c>
      <c r="R958" t="s">
        <v>1959</v>
      </c>
      <c r="S958" t="s">
        <v>1995</v>
      </c>
      <c r="V958" t="s">
        <v>1996</v>
      </c>
      <c r="W958" t="s">
        <v>1993</v>
      </c>
      <c r="AD958" t="s">
        <v>2294</v>
      </c>
    </row>
    <row r="959" spans="1:30" x14ac:dyDescent="0.25">
      <c r="A959" t="s">
        <v>33</v>
      </c>
      <c r="D959" t="s">
        <v>1991</v>
      </c>
      <c r="E959" t="s">
        <v>1992</v>
      </c>
      <c r="F959" t="s">
        <v>78</v>
      </c>
      <c r="G959" t="s">
        <v>2295</v>
      </c>
      <c r="H959" t="s">
        <v>166</v>
      </c>
      <c r="I959" t="s">
        <v>243</v>
      </c>
      <c r="J959" t="s">
        <v>167</v>
      </c>
      <c r="K959" t="s">
        <v>41</v>
      </c>
      <c r="L959" t="s">
        <v>2296</v>
      </c>
      <c r="N959" t="s">
        <v>1968</v>
      </c>
      <c r="O959" t="s">
        <v>244</v>
      </c>
      <c r="Q959" t="s">
        <v>245</v>
      </c>
      <c r="R959" t="s">
        <v>2297</v>
      </c>
      <c r="S959" t="s">
        <v>1995</v>
      </c>
      <c r="V959" t="s">
        <v>1996</v>
      </c>
      <c r="W959" t="s">
        <v>1993</v>
      </c>
      <c r="AD959" t="s">
        <v>1988</v>
      </c>
    </row>
    <row r="960" spans="1:30" x14ac:dyDescent="0.25">
      <c r="A960" t="s">
        <v>33</v>
      </c>
      <c r="D960" t="s">
        <v>1991</v>
      </c>
      <c r="E960" t="s">
        <v>1992</v>
      </c>
      <c r="F960" t="s">
        <v>78</v>
      </c>
      <c r="G960" t="s">
        <v>2295</v>
      </c>
      <c r="H960" t="s">
        <v>166</v>
      </c>
      <c r="I960" t="s">
        <v>160</v>
      </c>
      <c r="J960" t="s">
        <v>167</v>
      </c>
      <c r="K960" t="s">
        <v>41</v>
      </c>
      <c r="L960" t="s">
        <v>2296</v>
      </c>
      <c r="N960" t="s">
        <v>1968</v>
      </c>
      <c r="O960" t="s">
        <v>168</v>
      </c>
      <c r="Q960" t="s">
        <v>1972</v>
      </c>
      <c r="R960" t="s">
        <v>2298</v>
      </c>
      <c r="S960" t="s">
        <v>1995</v>
      </c>
      <c r="V960" t="s">
        <v>1996</v>
      </c>
      <c r="W960" t="s">
        <v>1993</v>
      </c>
      <c r="AD960" t="s">
        <v>1990</v>
      </c>
    </row>
    <row r="961" spans="1:30" x14ac:dyDescent="0.25">
      <c r="D961" t="s">
        <v>1991</v>
      </c>
      <c r="E961" t="s">
        <v>1992</v>
      </c>
      <c r="F961" t="s">
        <v>78</v>
      </c>
      <c r="G961" t="s">
        <v>2295</v>
      </c>
      <c r="H961" t="s">
        <v>166</v>
      </c>
      <c r="I961" t="s">
        <v>216</v>
      </c>
      <c r="J961" t="s">
        <v>167</v>
      </c>
      <c r="K961" t="s">
        <v>41</v>
      </c>
      <c r="L961" t="s">
        <v>2296</v>
      </c>
      <c r="N961" t="s">
        <v>1968</v>
      </c>
      <c r="O961" t="s">
        <v>925</v>
      </c>
      <c r="Q961" t="s">
        <v>1958</v>
      </c>
      <c r="R961" t="s">
        <v>1959</v>
      </c>
      <c r="S961" t="s">
        <v>1995</v>
      </c>
      <c r="V961" t="s">
        <v>1996</v>
      </c>
      <c r="W961" t="s">
        <v>1993</v>
      </c>
      <c r="AD961" t="s">
        <v>1969</v>
      </c>
    </row>
    <row r="962" spans="1:30" x14ac:dyDescent="0.25">
      <c r="A962" t="s">
        <v>33</v>
      </c>
      <c r="D962" t="s">
        <v>1991</v>
      </c>
      <c r="E962" t="s">
        <v>1992</v>
      </c>
      <c r="F962" t="s">
        <v>78</v>
      </c>
      <c r="G962" t="s">
        <v>2041</v>
      </c>
      <c r="H962" t="s">
        <v>166</v>
      </c>
      <c r="I962" t="s">
        <v>243</v>
      </c>
      <c r="J962" t="s">
        <v>167</v>
      </c>
      <c r="K962" t="s">
        <v>41</v>
      </c>
      <c r="L962" t="s">
        <v>2042</v>
      </c>
      <c r="N962" t="s">
        <v>823</v>
      </c>
      <c r="O962" t="s">
        <v>244</v>
      </c>
      <c r="Q962" t="s">
        <v>245</v>
      </c>
      <c r="R962" t="s">
        <v>2299</v>
      </c>
      <c r="S962" t="s">
        <v>1995</v>
      </c>
      <c r="V962" t="s">
        <v>1996</v>
      </c>
      <c r="W962" t="s">
        <v>1993</v>
      </c>
      <c r="AD962" t="s">
        <v>1978</v>
      </c>
    </row>
    <row r="963" spans="1:30" x14ac:dyDescent="0.25">
      <c r="A963" t="s">
        <v>33</v>
      </c>
      <c r="D963" t="s">
        <v>1991</v>
      </c>
      <c r="E963" t="s">
        <v>1992</v>
      </c>
      <c r="F963" t="s">
        <v>78</v>
      </c>
      <c r="G963" t="s">
        <v>2041</v>
      </c>
      <c r="H963" t="s">
        <v>166</v>
      </c>
      <c r="I963" t="s">
        <v>160</v>
      </c>
      <c r="J963" t="s">
        <v>167</v>
      </c>
      <c r="K963" t="s">
        <v>41</v>
      </c>
      <c r="L963" t="s">
        <v>2042</v>
      </c>
      <c r="N963" t="s">
        <v>823</v>
      </c>
      <c r="O963" t="s">
        <v>168</v>
      </c>
      <c r="Q963" t="s">
        <v>1972</v>
      </c>
      <c r="R963" t="s">
        <v>341</v>
      </c>
      <c r="S963" t="s">
        <v>1995</v>
      </c>
      <c r="V963" t="s">
        <v>1996</v>
      </c>
      <c r="W963" t="s">
        <v>1993</v>
      </c>
      <c r="AD963" t="s">
        <v>1980</v>
      </c>
    </row>
    <row r="964" spans="1:30" x14ac:dyDescent="0.25">
      <c r="D964" t="s">
        <v>1991</v>
      </c>
      <c r="E964" t="s">
        <v>1992</v>
      </c>
      <c r="F964" t="s">
        <v>78</v>
      </c>
      <c r="G964" t="s">
        <v>2041</v>
      </c>
      <c r="H964" t="s">
        <v>166</v>
      </c>
      <c r="I964" t="s">
        <v>216</v>
      </c>
      <c r="J964" t="s">
        <v>167</v>
      </c>
      <c r="K964" t="s">
        <v>41</v>
      </c>
      <c r="L964" t="s">
        <v>2042</v>
      </c>
      <c r="N964" t="s">
        <v>823</v>
      </c>
      <c r="O964" t="s">
        <v>925</v>
      </c>
      <c r="Q964" t="s">
        <v>1958</v>
      </c>
      <c r="R964" t="s">
        <v>1959</v>
      </c>
      <c r="S964" t="s">
        <v>1995</v>
      </c>
      <c r="V964" t="s">
        <v>1996</v>
      </c>
      <c r="W964" t="s">
        <v>1993</v>
      </c>
      <c r="AD964" t="s">
        <v>1961</v>
      </c>
    </row>
    <row r="965" spans="1:30" x14ac:dyDescent="0.25">
      <c r="A965" t="s">
        <v>33</v>
      </c>
      <c r="D965" t="s">
        <v>1991</v>
      </c>
      <c r="E965" t="s">
        <v>1992</v>
      </c>
      <c r="F965" t="s">
        <v>36</v>
      </c>
      <c r="G965" t="s">
        <v>37</v>
      </c>
      <c r="H965" t="s">
        <v>153</v>
      </c>
      <c r="I965" t="s">
        <v>235</v>
      </c>
      <c r="J965" t="s">
        <v>154</v>
      </c>
      <c r="K965" t="s">
        <v>155</v>
      </c>
      <c r="L965" t="s">
        <v>42</v>
      </c>
      <c r="N965" t="s">
        <v>961</v>
      </c>
      <c r="O965" t="s">
        <v>1762</v>
      </c>
      <c r="R965" t="s">
        <v>1981</v>
      </c>
      <c r="S965" t="s">
        <v>1995</v>
      </c>
      <c r="V965" t="s">
        <v>1996</v>
      </c>
      <c r="W965" t="s">
        <v>1993</v>
      </c>
      <c r="AD965" t="s">
        <v>1982</v>
      </c>
    </row>
    <row r="966" spans="1:30" x14ac:dyDescent="0.25">
      <c r="A966" t="s">
        <v>33</v>
      </c>
      <c r="D966" t="s">
        <v>1991</v>
      </c>
      <c r="E966" t="s">
        <v>1992</v>
      </c>
      <c r="F966" t="s">
        <v>78</v>
      </c>
      <c r="G966" t="s">
        <v>2300</v>
      </c>
      <c r="H966" t="s">
        <v>166</v>
      </c>
      <c r="I966" t="s">
        <v>243</v>
      </c>
      <c r="J966" t="s">
        <v>167</v>
      </c>
      <c r="K966" t="s">
        <v>41</v>
      </c>
      <c r="L966" t="s">
        <v>2301</v>
      </c>
      <c r="N966" t="s">
        <v>2302</v>
      </c>
      <c r="O966" t="s">
        <v>244</v>
      </c>
      <c r="Q966" t="s">
        <v>245</v>
      </c>
      <c r="R966" t="s">
        <v>2303</v>
      </c>
      <c r="S966" t="s">
        <v>1995</v>
      </c>
      <c r="V966" t="s">
        <v>1996</v>
      </c>
      <c r="W966" t="s">
        <v>1993</v>
      </c>
      <c r="AD966" t="s">
        <v>2304</v>
      </c>
    </row>
    <row r="967" spans="1:30" x14ac:dyDescent="0.25">
      <c r="A967" t="s">
        <v>33</v>
      </c>
      <c r="D967" t="s">
        <v>1991</v>
      </c>
      <c r="E967" t="s">
        <v>1992</v>
      </c>
      <c r="F967" t="s">
        <v>78</v>
      </c>
      <c r="G967" t="s">
        <v>2300</v>
      </c>
      <c r="H967" t="s">
        <v>166</v>
      </c>
      <c r="I967" t="s">
        <v>160</v>
      </c>
      <c r="J967" t="s">
        <v>167</v>
      </c>
      <c r="K967" t="s">
        <v>41</v>
      </c>
      <c r="L967" t="s">
        <v>2301</v>
      </c>
      <c r="N967" t="s">
        <v>2302</v>
      </c>
      <c r="O967" t="s">
        <v>168</v>
      </c>
      <c r="Q967" t="s">
        <v>1972</v>
      </c>
      <c r="R967" t="s">
        <v>172</v>
      </c>
      <c r="S967" t="s">
        <v>1995</v>
      </c>
      <c r="V967" t="s">
        <v>1996</v>
      </c>
      <c r="W967" t="s">
        <v>1993</v>
      </c>
      <c r="AD967" t="s">
        <v>2305</v>
      </c>
    </row>
    <row r="968" spans="1:30" x14ac:dyDescent="0.25">
      <c r="D968" t="s">
        <v>1991</v>
      </c>
      <c r="E968" t="s">
        <v>1992</v>
      </c>
      <c r="F968" t="s">
        <v>78</v>
      </c>
      <c r="G968" t="s">
        <v>2300</v>
      </c>
      <c r="H968" t="s">
        <v>166</v>
      </c>
      <c r="I968" t="s">
        <v>216</v>
      </c>
      <c r="J968" t="s">
        <v>167</v>
      </c>
      <c r="K968" t="s">
        <v>41</v>
      </c>
      <c r="L968" t="s">
        <v>2301</v>
      </c>
      <c r="N968" t="s">
        <v>2302</v>
      </c>
      <c r="O968" t="s">
        <v>925</v>
      </c>
      <c r="Q968" t="s">
        <v>1958</v>
      </c>
      <c r="R968" t="s">
        <v>1959</v>
      </c>
      <c r="S968" t="s">
        <v>1995</v>
      </c>
      <c r="V968" t="s">
        <v>1996</v>
      </c>
      <c r="W968" t="s">
        <v>1993</v>
      </c>
      <c r="AD968" t="s">
        <v>2306</v>
      </c>
    </row>
    <row r="969" spans="1:30" x14ac:dyDescent="0.25">
      <c r="A969" t="s">
        <v>33</v>
      </c>
      <c r="D969" t="s">
        <v>1991</v>
      </c>
      <c r="E969" t="s">
        <v>1992</v>
      </c>
      <c r="F969" t="s">
        <v>78</v>
      </c>
      <c r="G969" t="s">
        <v>2307</v>
      </c>
      <c r="H969" t="s">
        <v>166</v>
      </c>
      <c r="I969" t="s">
        <v>243</v>
      </c>
      <c r="J969" t="s">
        <v>167</v>
      </c>
      <c r="K969" t="s">
        <v>41</v>
      </c>
      <c r="L969" t="s">
        <v>2308</v>
      </c>
      <c r="N969" t="s">
        <v>1964</v>
      </c>
      <c r="O969" t="s">
        <v>244</v>
      </c>
      <c r="Q969" t="s">
        <v>245</v>
      </c>
      <c r="R969" t="s">
        <v>246</v>
      </c>
      <c r="S969" t="s">
        <v>1995</v>
      </c>
      <c r="V969" t="s">
        <v>1996</v>
      </c>
      <c r="W969" t="s">
        <v>1993</v>
      </c>
      <c r="AD969" t="s">
        <v>1984</v>
      </c>
    </row>
    <row r="970" spans="1:30" x14ac:dyDescent="0.25">
      <c r="A970" t="s">
        <v>33</v>
      </c>
      <c r="D970" t="s">
        <v>1991</v>
      </c>
      <c r="E970" t="s">
        <v>1992</v>
      </c>
      <c r="F970" t="s">
        <v>78</v>
      </c>
      <c r="G970" t="s">
        <v>2307</v>
      </c>
      <c r="H970" t="s">
        <v>166</v>
      </c>
      <c r="I970" t="s">
        <v>160</v>
      </c>
      <c r="J970" t="s">
        <v>167</v>
      </c>
      <c r="K970" t="s">
        <v>41</v>
      </c>
      <c r="L970" t="s">
        <v>2308</v>
      </c>
      <c r="N970" t="s">
        <v>1964</v>
      </c>
      <c r="O970" t="s">
        <v>168</v>
      </c>
      <c r="Q970" t="s">
        <v>1972</v>
      </c>
      <c r="R970" t="s">
        <v>241</v>
      </c>
      <c r="S970" t="s">
        <v>1995</v>
      </c>
      <c r="V970" t="s">
        <v>1996</v>
      </c>
      <c r="W970" t="s">
        <v>1993</v>
      </c>
      <c r="AD970" t="s">
        <v>1986</v>
      </c>
    </row>
    <row r="971" spans="1:30" x14ac:dyDescent="0.25">
      <c r="D971" t="s">
        <v>1991</v>
      </c>
      <c r="E971" t="s">
        <v>1992</v>
      </c>
      <c r="F971" t="s">
        <v>78</v>
      </c>
      <c r="G971" t="s">
        <v>2307</v>
      </c>
      <c r="H971" t="s">
        <v>166</v>
      </c>
      <c r="I971" t="s">
        <v>216</v>
      </c>
      <c r="J971" t="s">
        <v>167</v>
      </c>
      <c r="K971" t="s">
        <v>41</v>
      </c>
      <c r="L971" t="s">
        <v>2308</v>
      </c>
      <c r="N971" t="s">
        <v>1964</v>
      </c>
      <c r="O971" t="s">
        <v>925</v>
      </c>
      <c r="Q971" t="s">
        <v>1958</v>
      </c>
      <c r="R971" t="s">
        <v>1959</v>
      </c>
      <c r="S971" t="s">
        <v>1995</v>
      </c>
      <c r="V971" t="s">
        <v>1996</v>
      </c>
      <c r="W971" t="s">
        <v>1993</v>
      </c>
      <c r="AD971" t="s">
        <v>1965</v>
      </c>
    </row>
    <row r="972" spans="1:30" x14ac:dyDescent="0.25">
      <c r="A972" t="s">
        <v>33</v>
      </c>
      <c r="D972" t="s">
        <v>2309</v>
      </c>
      <c r="E972" t="s">
        <v>2310</v>
      </c>
      <c r="F972" t="s">
        <v>78</v>
      </c>
      <c r="G972" t="s">
        <v>2311</v>
      </c>
      <c r="H972" t="s">
        <v>38</v>
      </c>
      <c r="I972" t="s">
        <v>80</v>
      </c>
      <c r="J972" t="s">
        <v>69</v>
      </c>
      <c r="K972" t="s">
        <v>41</v>
      </c>
      <c r="L972" t="s">
        <v>2312</v>
      </c>
      <c r="M972" t="s">
        <v>82</v>
      </c>
      <c r="N972" t="s">
        <v>2313</v>
      </c>
      <c r="O972" t="s">
        <v>84</v>
      </c>
      <c r="R972" t="s">
        <v>2314</v>
      </c>
      <c r="S972" t="s">
        <v>2315</v>
      </c>
      <c r="V972" t="s">
        <v>2316</v>
      </c>
      <c r="W972" t="s">
        <v>2317</v>
      </c>
      <c r="AD972" t="s">
        <v>2318</v>
      </c>
    </row>
    <row r="973" spans="1:30" x14ac:dyDescent="0.25">
      <c r="A973" t="s">
        <v>33</v>
      </c>
      <c r="B973" t="s">
        <v>2319</v>
      </c>
      <c r="D973" t="s">
        <v>2309</v>
      </c>
      <c r="E973" t="s">
        <v>2310</v>
      </c>
      <c r="F973" t="s">
        <v>78</v>
      </c>
      <c r="G973" t="s">
        <v>2311</v>
      </c>
      <c r="H973" t="s">
        <v>166</v>
      </c>
      <c r="I973" t="s">
        <v>310</v>
      </c>
      <c r="J973" t="s">
        <v>167</v>
      </c>
      <c r="K973" t="s">
        <v>41</v>
      </c>
      <c r="L973" t="s">
        <v>2312</v>
      </c>
      <c r="N973" t="s">
        <v>2313</v>
      </c>
      <c r="O973" t="s">
        <v>311</v>
      </c>
      <c r="Q973" t="s">
        <v>2320</v>
      </c>
      <c r="R973" t="s">
        <v>1959</v>
      </c>
      <c r="S973" t="s">
        <v>2315</v>
      </c>
      <c r="V973" t="s">
        <v>2316</v>
      </c>
      <c r="W973" t="s">
        <v>2317</v>
      </c>
      <c r="AD973" t="s">
        <v>2321</v>
      </c>
    </row>
    <row r="974" spans="1:30" x14ac:dyDescent="0.25">
      <c r="A974" t="s">
        <v>33</v>
      </c>
      <c r="D974" t="s">
        <v>2309</v>
      </c>
      <c r="E974" t="s">
        <v>2310</v>
      </c>
      <c r="F974" t="s">
        <v>248</v>
      </c>
      <c r="G974" t="s">
        <v>2322</v>
      </c>
      <c r="H974" t="s">
        <v>280</v>
      </c>
      <c r="I974" t="s">
        <v>281</v>
      </c>
      <c r="J974" t="s">
        <v>282</v>
      </c>
      <c r="K974" t="s">
        <v>283</v>
      </c>
      <c r="L974" t="s">
        <v>2323</v>
      </c>
      <c r="N974" t="s">
        <v>2324</v>
      </c>
      <c r="O974" t="s">
        <v>284</v>
      </c>
      <c r="Q974" t="s">
        <v>285</v>
      </c>
      <c r="R974" t="s">
        <v>2325</v>
      </c>
      <c r="S974" t="s">
        <v>2326</v>
      </c>
      <c r="V974" t="s">
        <v>2316</v>
      </c>
      <c r="W974" t="s">
        <v>2317</v>
      </c>
      <c r="AD974" t="s">
        <v>2327</v>
      </c>
    </row>
    <row r="975" spans="1:30" x14ac:dyDescent="0.25">
      <c r="A975" t="s">
        <v>33</v>
      </c>
      <c r="D975" t="s">
        <v>2309</v>
      </c>
      <c r="E975" t="s">
        <v>2310</v>
      </c>
      <c r="F975" t="s">
        <v>248</v>
      </c>
      <c r="G975" t="s">
        <v>2322</v>
      </c>
      <c r="H975" t="s">
        <v>38</v>
      </c>
      <c r="I975" t="s">
        <v>257</v>
      </c>
      <c r="J975" t="s">
        <v>40</v>
      </c>
      <c r="K975" t="s">
        <v>41</v>
      </c>
      <c r="L975" t="s">
        <v>2323</v>
      </c>
      <c r="M975" t="s">
        <v>82</v>
      </c>
      <c r="N975" t="s">
        <v>2324</v>
      </c>
      <c r="O975" t="s">
        <v>258</v>
      </c>
      <c r="R975" t="s">
        <v>2328</v>
      </c>
      <c r="S975" t="s">
        <v>2326</v>
      </c>
      <c r="V975" t="s">
        <v>2316</v>
      </c>
      <c r="W975" t="s">
        <v>2317</v>
      </c>
      <c r="AD975" t="s">
        <v>2329</v>
      </c>
    </row>
    <row r="976" spans="1:30" x14ac:dyDescent="0.25">
      <c r="A976" t="s">
        <v>33</v>
      </c>
      <c r="D976" t="s">
        <v>2309</v>
      </c>
      <c r="E976" t="s">
        <v>2310</v>
      </c>
      <c r="F976" t="s">
        <v>248</v>
      </c>
      <c r="G976" t="s">
        <v>2322</v>
      </c>
      <c r="H976" t="s">
        <v>143</v>
      </c>
      <c r="I976" t="s">
        <v>276</v>
      </c>
      <c r="J976" t="s">
        <v>145</v>
      </c>
      <c r="K976" t="s">
        <v>146</v>
      </c>
      <c r="L976" t="s">
        <v>2323</v>
      </c>
      <c r="N976" t="s">
        <v>2324</v>
      </c>
      <c r="O976" t="s">
        <v>277</v>
      </c>
      <c r="R976" t="s">
        <v>2330</v>
      </c>
      <c r="S976" t="s">
        <v>2326</v>
      </c>
      <c r="V976" t="s">
        <v>2316</v>
      </c>
      <c r="W976" t="s">
        <v>2317</v>
      </c>
      <c r="X976" t="s">
        <v>270</v>
      </c>
      <c r="AD976" t="s">
        <v>2331</v>
      </c>
    </row>
    <row r="977" spans="1:30" x14ac:dyDescent="0.25">
      <c r="A977" t="s">
        <v>33</v>
      </c>
      <c r="D977" t="s">
        <v>2309</v>
      </c>
      <c r="E977" t="s">
        <v>2310</v>
      </c>
      <c r="F977" t="s">
        <v>248</v>
      </c>
      <c r="G977" t="s">
        <v>2322</v>
      </c>
      <c r="H977" t="s">
        <v>143</v>
      </c>
      <c r="I977" t="s">
        <v>272</v>
      </c>
      <c r="J977" t="s">
        <v>145</v>
      </c>
      <c r="K977" t="s">
        <v>146</v>
      </c>
      <c r="L977" t="s">
        <v>2323</v>
      </c>
      <c r="N977" t="s">
        <v>2324</v>
      </c>
      <c r="O977" t="s">
        <v>273</v>
      </c>
      <c r="R977" t="s">
        <v>2332</v>
      </c>
      <c r="S977" t="s">
        <v>2315</v>
      </c>
      <c r="V977" t="s">
        <v>2316</v>
      </c>
      <c r="W977" t="s">
        <v>2317</v>
      </c>
      <c r="X977" t="s">
        <v>270</v>
      </c>
      <c r="AD977" t="s">
        <v>2333</v>
      </c>
    </row>
    <row r="978" spans="1:30" x14ac:dyDescent="0.25">
      <c r="A978" t="s">
        <v>33</v>
      </c>
      <c r="D978" t="s">
        <v>2309</v>
      </c>
      <c r="E978" t="s">
        <v>2310</v>
      </c>
      <c r="F978" t="s">
        <v>248</v>
      </c>
      <c r="G978" t="s">
        <v>2322</v>
      </c>
      <c r="H978" t="s">
        <v>166</v>
      </c>
      <c r="I978" t="s">
        <v>288</v>
      </c>
      <c r="J978" t="s">
        <v>167</v>
      </c>
      <c r="K978" t="s">
        <v>41</v>
      </c>
      <c r="L978" t="s">
        <v>2323</v>
      </c>
      <c r="N978" t="s">
        <v>2324</v>
      </c>
      <c r="O978" t="s">
        <v>289</v>
      </c>
      <c r="Q978" t="s">
        <v>285</v>
      </c>
      <c r="R978" t="s">
        <v>2334</v>
      </c>
      <c r="S978" t="s">
        <v>2315</v>
      </c>
      <c r="V978" t="s">
        <v>2316</v>
      </c>
      <c r="W978" t="s">
        <v>2317</v>
      </c>
      <c r="AD978" t="s">
        <v>2335</v>
      </c>
    </row>
    <row r="979" spans="1:30" x14ac:dyDescent="0.25">
      <c r="A979" t="s">
        <v>33</v>
      </c>
      <c r="D979" t="s">
        <v>2309</v>
      </c>
      <c r="E979" t="s">
        <v>2310</v>
      </c>
      <c r="F979" t="s">
        <v>248</v>
      </c>
      <c r="G979" t="s">
        <v>2322</v>
      </c>
      <c r="H979" t="s">
        <v>143</v>
      </c>
      <c r="I979" t="s">
        <v>257</v>
      </c>
      <c r="J979" t="s">
        <v>145</v>
      </c>
      <c r="K979" t="s">
        <v>146</v>
      </c>
      <c r="L979" t="s">
        <v>2323</v>
      </c>
      <c r="M979" t="s">
        <v>82</v>
      </c>
      <c r="N979" t="s">
        <v>2324</v>
      </c>
      <c r="O979" t="s">
        <v>292</v>
      </c>
      <c r="R979" t="s">
        <v>2336</v>
      </c>
      <c r="S979" t="s">
        <v>2315</v>
      </c>
      <c r="V979" t="s">
        <v>2316</v>
      </c>
      <c r="W979" t="s">
        <v>2317</v>
      </c>
      <c r="AD979" t="s">
        <v>2337</v>
      </c>
    </row>
    <row r="980" spans="1:30" x14ac:dyDescent="0.25">
      <c r="A980" t="s">
        <v>33</v>
      </c>
      <c r="D980" t="s">
        <v>2309</v>
      </c>
      <c r="E980" t="s">
        <v>2310</v>
      </c>
      <c r="F980" t="s">
        <v>248</v>
      </c>
      <c r="G980" t="s">
        <v>2322</v>
      </c>
      <c r="H980" t="s">
        <v>143</v>
      </c>
      <c r="I980" t="s">
        <v>295</v>
      </c>
      <c r="J980" t="s">
        <v>145</v>
      </c>
      <c r="K980" t="s">
        <v>146</v>
      </c>
      <c r="L980" t="s">
        <v>2323</v>
      </c>
      <c r="M980" t="s">
        <v>82</v>
      </c>
      <c r="N980" t="s">
        <v>2324</v>
      </c>
      <c r="O980" t="s">
        <v>296</v>
      </c>
      <c r="R980" t="s">
        <v>2338</v>
      </c>
      <c r="S980" t="s">
        <v>2315</v>
      </c>
      <c r="V980" t="s">
        <v>2316</v>
      </c>
      <c r="W980" t="s">
        <v>2317</v>
      </c>
      <c r="AD980" t="s">
        <v>2339</v>
      </c>
    </row>
    <row r="981" spans="1:30" x14ac:dyDescent="0.25">
      <c r="A981" t="s">
        <v>33</v>
      </c>
      <c r="D981" t="s">
        <v>2309</v>
      </c>
      <c r="E981" t="s">
        <v>2310</v>
      </c>
      <c r="F981" t="s">
        <v>248</v>
      </c>
      <c r="G981" t="s">
        <v>2322</v>
      </c>
      <c r="H981" t="s">
        <v>143</v>
      </c>
      <c r="I981" t="s">
        <v>299</v>
      </c>
      <c r="J981" t="s">
        <v>145</v>
      </c>
      <c r="K981" t="s">
        <v>146</v>
      </c>
      <c r="L981" t="s">
        <v>2323</v>
      </c>
      <c r="M981" t="s">
        <v>82</v>
      </c>
      <c r="N981" t="s">
        <v>2324</v>
      </c>
      <c r="O981" t="s">
        <v>300</v>
      </c>
      <c r="R981" t="s">
        <v>2340</v>
      </c>
      <c r="S981" t="s">
        <v>2315</v>
      </c>
      <c r="V981" t="s">
        <v>2316</v>
      </c>
      <c r="W981" t="s">
        <v>2317</v>
      </c>
      <c r="AD981" t="s">
        <v>2341</v>
      </c>
    </row>
    <row r="982" spans="1:30" x14ac:dyDescent="0.25">
      <c r="A982" t="s">
        <v>33</v>
      </c>
      <c r="D982" t="s">
        <v>2309</v>
      </c>
      <c r="E982" t="s">
        <v>2310</v>
      </c>
      <c r="F982" t="s">
        <v>248</v>
      </c>
      <c r="G982" t="s">
        <v>2322</v>
      </c>
      <c r="H982" t="s">
        <v>38</v>
      </c>
      <c r="I982" t="s">
        <v>250</v>
      </c>
      <c r="J982" t="s">
        <v>40</v>
      </c>
      <c r="K982" t="s">
        <v>41</v>
      </c>
      <c r="L982" t="s">
        <v>2323</v>
      </c>
      <c r="M982" t="s">
        <v>139</v>
      </c>
      <c r="N982" t="s">
        <v>2324</v>
      </c>
      <c r="O982" t="s">
        <v>254</v>
      </c>
      <c r="R982" t="s">
        <v>2342</v>
      </c>
      <c r="S982" t="s">
        <v>2315</v>
      </c>
      <c r="V982" t="s">
        <v>2316</v>
      </c>
      <c r="W982" t="s">
        <v>2317</v>
      </c>
      <c r="X982" t="s">
        <v>56</v>
      </c>
      <c r="AD982" t="s">
        <v>2343</v>
      </c>
    </row>
    <row r="983" spans="1:30" x14ac:dyDescent="0.25">
      <c r="A983" t="s">
        <v>33</v>
      </c>
      <c r="D983" t="s">
        <v>2309</v>
      </c>
      <c r="E983" t="s">
        <v>2310</v>
      </c>
      <c r="F983" t="s">
        <v>248</v>
      </c>
      <c r="G983" t="s">
        <v>2322</v>
      </c>
      <c r="H983" t="s">
        <v>143</v>
      </c>
      <c r="I983" t="s">
        <v>267</v>
      </c>
      <c r="J983" t="s">
        <v>145</v>
      </c>
      <c r="K983" t="s">
        <v>146</v>
      </c>
      <c r="L983" t="s">
        <v>2323</v>
      </c>
      <c r="N983" t="s">
        <v>2324</v>
      </c>
      <c r="O983" t="s">
        <v>268</v>
      </c>
      <c r="R983" t="s">
        <v>2344</v>
      </c>
      <c r="S983" t="s">
        <v>2315</v>
      </c>
      <c r="V983" t="s">
        <v>2316</v>
      </c>
      <c r="W983" t="s">
        <v>2317</v>
      </c>
      <c r="X983" t="s">
        <v>270</v>
      </c>
      <c r="AD983" t="s">
        <v>2345</v>
      </c>
    </row>
    <row r="984" spans="1:30" x14ac:dyDescent="0.25">
      <c r="A984" t="s">
        <v>33</v>
      </c>
      <c r="D984" t="s">
        <v>2309</v>
      </c>
      <c r="E984" t="s">
        <v>2310</v>
      </c>
      <c r="F984" t="s">
        <v>248</v>
      </c>
      <c r="G984" t="s">
        <v>2322</v>
      </c>
      <c r="H984" t="s">
        <v>143</v>
      </c>
      <c r="I984" t="s">
        <v>261</v>
      </c>
      <c r="J984" t="s">
        <v>145</v>
      </c>
      <c r="K984" t="s">
        <v>146</v>
      </c>
      <c r="L984" t="s">
        <v>2323</v>
      </c>
      <c r="M984" t="s">
        <v>139</v>
      </c>
      <c r="N984" t="s">
        <v>2324</v>
      </c>
      <c r="O984" t="s">
        <v>263</v>
      </c>
      <c r="R984" t="s">
        <v>2346</v>
      </c>
      <c r="S984" t="s">
        <v>2315</v>
      </c>
      <c r="V984" t="s">
        <v>2316</v>
      </c>
      <c r="W984" t="s">
        <v>2317</v>
      </c>
      <c r="X984" t="s">
        <v>56</v>
      </c>
      <c r="AD984" t="s">
        <v>2347</v>
      </c>
    </row>
    <row r="985" spans="1:30" x14ac:dyDescent="0.25">
      <c r="A985" t="s">
        <v>33</v>
      </c>
      <c r="D985" t="s">
        <v>2309</v>
      </c>
      <c r="E985" t="s">
        <v>2348</v>
      </c>
      <c r="F985" t="s">
        <v>36</v>
      </c>
      <c r="G985" t="s">
        <v>2349</v>
      </c>
      <c r="H985" t="s">
        <v>38</v>
      </c>
      <c r="I985" t="s">
        <v>74</v>
      </c>
      <c r="J985" t="s">
        <v>69</v>
      </c>
      <c r="K985" t="s">
        <v>41</v>
      </c>
      <c r="L985" t="s">
        <v>2350</v>
      </c>
      <c r="M985" t="s">
        <v>889</v>
      </c>
      <c r="N985" t="s">
        <v>2351</v>
      </c>
      <c r="O985" t="s">
        <v>75</v>
      </c>
      <c r="R985" t="s">
        <v>2352</v>
      </c>
      <c r="S985" t="s">
        <v>2315</v>
      </c>
      <c r="V985" t="s">
        <v>2316</v>
      </c>
      <c r="W985" t="s">
        <v>2353</v>
      </c>
      <c r="X985" t="s">
        <v>892</v>
      </c>
      <c r="AD985" t="s">
        <v>2354</v>
      </c>
    </row>
    <row r="986" spans="1:30" x14ac:dyDescent="0.25">
      <c r="A986" t="s">
        <v>33</v>
      </c>
      <c r="D986" t="s">
        <v>2309</v>
      </c>
      <c r="E986" t="s">
        <v>2348</v>
      </c>
      <c r="F986" t="s">
        <v>36</v>
      </c>
      <c r="G986" t="s">
        <v>2349</v>
      </c>
      <c r="H986" t="s">
        <v>38</v>
      </c>
      <c r="I986" t="s">
        <v>68</v>
      </c>
      <c r="J986" t="s">
        <v>69</v>
      </c>
      <c r="K986" t="s">
        <v>41</v>
      </c>
      <c r="L986" t="s">
        <v>2350</v>
      </c>
      <c r="M986" t="s">
        <v>889</v>
      </c>
      <c r="N986" t="s">
        <v>2351</v>
      </c>
      <c r="O986" t="s">
        <v>71</v>
      </c>
      <c r="R986" t="s">
        <v>2355</v>
      </c>
      <c r="S986" t="s">
        <v>2315</v>
      </c>
      <c r="V986" t="s">
        <v>2316</v>
      </c>
      <c r="W986" t="s">
        <v>2353</v>
      </c>
      <c r="X986" t="s">
        <v>892</v>
      </c>
      <c r="AD986" t="s">
        <v>2356</v>
      </c>
    </row>
    <row r="987" spans="1:30" x14ac:dyDescent="0.25">
      <c r="A987" t="s">
        <v>33</v>
      </c>
      <c r="D987" t="s">
        <v>2309</v>
      </c>
      <c r="E987" t="s">
        <v>2348</v>
      </c>
      <c r="F987" t="s">
        <v>36</v>
      </c>
      <c r="G987" t="s">
        <v>2349</v>
      </c>
      <c r="H987" t="s">
        <v>38</v>
      </c>
      <c r="I987" t="s">
        <v>52</v>
      </c>
      <c r="J987" t="s">
        <v>40</v>
      </c>
      <c r="K987" t="s">
        <v>41</v>
      </c>
      <c r="L987" t="s">
        <v>2350</v>
      </c>
      <c r="M987" t="s">
        <v>53</v>
      </c>
      <c r="N987" t="s">
        <v>2351</v>
      </c>
      <c r="O987" t="s">
        <v>54</v>
      </c>
      <c r="R987" t="s">
        <v>2357</v>
      </c>
      <c r="S987" t="s">
        <v>2315</v>
      </c>
      <c r="V987" t="s">
        <v>2316</v>
      </c>
      <c r="W987" t="s">
        <v>2353</v>
      </c>
      <c r="X987" t="s">
        <v>56</v>
      </c>
      <c r="AD987" t="s">
        <v>2358</v>
      </c>
    </row>
    <row r="988" spans="1:30" x14ac:dyDescent="0.25">
      <c r="A988" t="s">
        <v>33</v>
      </c>
      <c r="D988" t="s">
        <v>2309</v>
      </c>
      <c r="E988" t="s">
        <v>2348</v>
      </c>
      <c r="F988" t="s">
        <v>36</v>
      </c>
      <c r="G988" t="s">
        <v>2349</v>
      </c>
      <c r="H988" t="s">
        <v>38</v>
      </c>
      <c r="I988" t="s">
        <v>39</v>
      </c>
      <c r="J988" t="s">
        <v>40</v>
      </c>
      <c r="K988" t="s">
        <v>41</v>
      </c>
      <c r="L988" t="s">
        <v>2350</v>
      </c>
      <c r="M988" t="s">
        <v>43</v>
      </c>
      <c r="N988" t="s">
        <v>2351</v>
      </c>
      <c r="O988" t="s">
        <v>45</v>
      </c>
      <c r="R988" t="s">
        <v>2359</v>
      </c>
      <c r="S988" t="s">
        <v>2315</v>
      </c>
      <c r="V988" t="s">
        <v>2316</v>
      </c>
      <c r="W988" t="s">
        <v>2353</v>
      </c>
      <c r="AD988" t="s">
        <v>2360</v>
      </c>
    </row>
    <row r="989" spans="1:30" x14ac:dyDescent="0.25">
      <c r="A989" t="s">
        <v>33</v>
      </c>
      <c r="D989" t="s">
        <v>2309</v>
      </c>
      <c r="E989" t="s">
        <v>2348</v>
      </c>
      <c r="F989" t="s">
        <v>36</v>
      </c>
      <c r="G989" t="s">
        <v>2349</v>
      </c>
      <c r="H989" t="s">
        <v>38</v>
      </c>
      <c r="I989" t="s">
        <v>63</v>
      </c>
      <c r="J989" t="s">
        <v>40</v>
      </c>
      <c r="K989" t="s">
        <v>41</v>
      </c>
      <c r="L989" t="s">
        <v>2350</v>
      </c>
      <c r="M989" t="s">
        <v>64</v>
      </c>
      <c r="N989" t="s">
        <v>2351</v>
      </c>
      <c r="O989" t="s">
        <v>65</v>
      </c>
      <c r="R989" t="s">
        <v>2361</v>
      </c>
      <c r="S989" t="s">
        <v>2315</v>
      </c>
      <c r="V989" t="s">
        <v>2316</v>
      </c>
      <c r="W989" t="s">
        <v>2353</v>
      </c>
      <c r="Z989">
        <v>300</v>
      </c>
      <c r="AD989" t="s">
        <v>2362</v>
      </c>
    </row>
    <row r="990" spans="1:30" x14ac:dyDescent="0.25">
      <c r="A990" t="s">
        <v>33</v>
      </c>
      <c r="D990" t="s">
        <v>2309</v>
      </c>
      <c r="E990" t="s">
        <v>2348</v>
      </c>
      <c r="F990" t="s">
        <v>36</v>
      </c>
      <c r="G990" t="s">
        <v>2349</v>
      </c>
      <c r="H990" t="s">
        <v>38</v>
      </c>
      <c r="I990" t="s">
        <v>58</v>
      </c>
      <c r="J990" t="s">
        <v>40</v>
      </c>
      <c r="K990" t="s">
        <v>41</v>
      </c>
      <c r="L990" t="s">
        <v>2350</v>
      </c>
      <c r="M990" t="s">
        <v>59</v>
      </c>
      <c r="N990" t="s">
        <v>2351</v>
      </c>
      <c r="O990" t="s">
        <v>60</v>
      </c>
      <c r="R990" t="s">
        <v>2363</v>
      </c>
      <c r="S990" t="s">
        <v>2315</v>
      </c>
      <c r="V990" t="s">
        <v>2316</v>
      </c>
      <c r="W990" t="s">
        <v>2353</v>
      </c>
      <c r="AD990" t="s">
        <v>2364</v>
      </c>
    </row>
    <row r="991" spans="1:30" x14ac:dyDescent="0.25">
      <c r="A991" t="s">
        <v>33</v>
      </c>
      <c r="D991" t="s">
        <v>2309</v>
      </c>
      <c r="E991" t="s">
        <v>2365</v>
      </c>
      <c r="F991" t="s">
        <v>36</v>
      </c>
      <c r="G991" t="s">
        <v>2366</v>
      </c>
      <c r="H991" t="s">
        <v>38</v>
      </c>
      <c r="I991" t="s">
        <v>74</v>
      </c>
      <c r="J991" t="s">
        <v>69</v>
      </c>
      <c r="K991" t="s">
        <v>41</v>
      </c>
      <c r="L991" t="s">
        <v>2367</v>
      </c>
      <c r="M991" t="s">
        <v>889</v>
      </c>
      <c r="N991" t="s">
        <v>2351</v>
      </c>
      <c r="O991" t="s">
        <v>75</v>
      </c>
      <c r="R991" t="s">
        <v>2368</v>
      </c>
      <c r="S991" t="s">
        <v>2315</v>
      </c>
      <c r="V991" t="s">
        <v>2316</v>
      </c>
      <c r="W991" t="s">
        <v>2369</v>
      </c>
      <c r="X991" t="s">
        <v>892</v>
      </c>
      <c r="AD991" t="s">
        <v>2354</v>
      </c>
    </row>
    <row r="992" spans="1:30" x14ac:dyDescent="0.25">
      <c r="A992" t="s">
        <v>33</v>
      </c>
      <c r="D992" t="s">
        <v>2309</v>
      </c>
      <c r="E992" t="s">
        <v>2365</v>
      </c>
      <c r="F992" t="s">
        <v>36</v>
      </c>
      <c r="G992" t="s">
        <v>2366</v>
      </c>
      <c r="H992" t="s">
        <v>38</v>
      </c>
      <c r="I992" t="s">
        <v>68</v>
      </c>
      <c r="J992" t="s">
        <v>69</v>
      </c>
      <c r="K992" t="s">
        <v>41</v>
      </c>
      <c r="L992" t="s">
        <v>2367</v>
      </c>
      <c r="M992" t="s">
        <v>889</v>
      </c>
      <c r="N992" t="s">
        <v>2351</v>
      </c>
      <c r="O992" t="s">
        <v>71</v>
      </c>
      <c r="R992" t="s">
        <v>2370</v>
      </c>
      <c r="S992" t="s">
        <v>2315</v>
      </c>
      <c r="V992" t="s">
        <v>2316</v>
      </c>
      <c r="W992" t="s">
        <v>2369</v>
      </c>
      <c r="X992" t="s">
        <v>892</v>
      </c>
      <c r="AD992" t="s">
        <v>2356</v>
      </c>
    </row>
    <row r="993" spans="1:30" x14ac:dyDescent="0.25">
      <c r="A993" t="s">
        <v>33</v>
      </c>
      <c r="D993" t="s">
        <v>2309</v>
      </c>
      <c r="E993" t="s">
        <v>2365</v>
      </c>
      <c r="F993" t="s">
        <v>36</v>
      </c>
      <c r="G993" t="s">
        <v>2366</v>
      </c>
      <c r="H993" t="s">
        <v>38</v>
      </c>
      <c r="I993" t="s">
        <v>52</v>
      </c>
      <c r="J993" t="s">
        <v>40</v>
      </c>
      <c r="K993" t="s">
        <v>41</v>
      </c>
      <c r="L993" t="s">
        <v>2367</v>
      </c>
      <c r="M993" t="s">
        <v>53</v>
      </c>
      <c r="N993" t="s">
        <v>2351</v>
      </c>
      <c r="O993" t="s">
        <v>54</v>
      </c>
      <c r="R993" t="s">
        <v>2371</v>
      </c>
      <c r="S993" t="s">
        <v>2315</v>
      </c>
      <c r="V993" t="s">
        <v>2316</v>
      </c>
      <c r="W993" t="s">
        <v>2369</v>
      </c>
      <c r="X993" t="s">
        <v>56</v>
      </c>
      <c r="AD993" t="s">
        <v>2358</v>
      </c>
    </row>
    <row r="994" spans="1:30" x14ac:dyDescent="0.25">
      <c r="A994" t="s">
        <v>33</v>
      </c>
      <c r="D994" t="s">
        <v>2309</v>
      </c>
      <c r="E994" t="s">
        <v>2365</v>
      </c>
      <c r="F994" t="s">
        <v>36</v>
      </c>
      <c r="G994" t="s">
        <v>2366</v>
      </c>
      <c r="H994" t="s">
        <v>38</v>
      </c>
      <c r="I994" t="s">
        <v>39</v>
      </c>
      <c r="J994" t="s">
        <v>40</v>
      </c>
      <c r="K994" t="s">
        <v>41</v>
      </c>
      <c r="L994" t="s">
        <v>2367</v>
      </c>
      <c r="M994" t="s">
        <v>43</v>
      </c>
      <c r="N994" t="s">
        <v>2351</v>
      </c>
      <c r="O994" t="s">
        <v>45</v>
      </c>
      <c r="R994" t="s">
        <v>2372</v>
      </c>
      <c r="S994" t="s">
        <v>2315</v>
      </c>
      <c r="V994" t="s">
        <v>2316</v>
      </c>
      <c r="W994" t="s">
        <v>2369</v>
      </c>
      <c r="AD994" t="s">
        <v>2360</v>
      </c>
    </row>
    <row r="995" spans="1:30" x14ac:dyDescent="0.25">
      <c r="A995" t="s">
        <v>33</v>
      </c>
      <c r="D995" t="s">
        <v>2309</v>
      </c>
      <c r="E995" t="s">
        <v>2365</v>
      </c>
      <c r="F995" t="s">
        <v>36</v>
      </c>
      <c r="G995" t="s">
        <v>2366</v>
      </c>
      <c r="H995" t="s">
        <v>38</v>
      </c>
      <c r="I995" t="s">
        <v>63</v>
      </c>
      <c r="J995" t="s">
        <v>40</v>
      </c>
      <c r="K995" t="s">
        <v>41</v>
      </c>
      <c r="L995" t="s">
        <v>2367</v>
      </c>
      <c r="M995" t="s">
        <v>64</v>
      </c>
      <c r="N995" t="s">
        <v>2351</v>
      </c>
      <c r="O995" t="s">
        <v>65</v>
      </c>
      <c r="R995" t="s">
        <v>2373</v>
      </c>
      <c r="S995" t="s">
        <v>2315</v>
      </c>
      <c r="V995" t="s">
        <v>2316</v>
      </c>
      <c r="W995" t="s">
        <v>2369</v>
      </c>
      <c r="Z995">
        <v>300</v>
      </c>
      <c r="AD995" t="s">
        <v>2362</v>
      </c>
    </row>
    <row r="996" spans="1:30" x14ac:dyDescent="0.25">
      <c r="A996" t="s">
        <v>33</v>
      </c>
      <c r="D996" t="s">
        <v>2309</v>
      </c>
      <c r="E996" t="s">
        <v>2365</v>
      </c>
      <c r="F996" t="s">
        <v>36</v>
      </c>
      <c r="G996" t="s">
        <v>2366</v>
      </c>
      <c r="H996" t="s">
        <v>38</v>
      </c>
      <c r="I996" t="s">
        <v>58</v>
      </c>
      <c r="J996" t="s">
        <v>40</v>
      </c>
      <c r="K996" t="s">
        <v>41</v>
      </c>
      <c r="L996" t="s">
        <v>2367</v>
      </c>
      <c r="M996" t="s">
        <v>59</v>
      </c>
      <c r="N996" t="s">
        <v>2351</v>
      </c>
      <c r="O996" t="s">
        <v>60</v>
      </c>
      <c r="R996" t="s">
        <v>2374</v>
      </c>
      <c r="S996" t="s">
        <v>2315</v>
      </c>
      <c r="V996" t="s">
        <v>2316</v>
      </c>
      <c r="W996" t="s">
        <v>2369</v>
      </c>
      <c r="AD996" t="s">
        <v>2364</v>
      </c>
    </row>
    <row r="997" spans="1:30" x14ac:dyDescent="0.25">
      <c r="A997" t="s">
        <v>33</v>
      </c>
      <c r="D997" t="s">
        <v>2309</v>
      </c>
      <c r="E997" t="s">
        <v>2310</v>
      </c>
      <c r="F997" t="s">
        <v>36</v>
      </c>
      <c r="G997" t="s">
        <v>2375</v>
      </c>
      <c r="H997" t="s">
        <v>38</v>
      </c>
      <c r="I997" t="s">
        <v>74</v>
      </c>
      <c r="J997" t="s">
        <v>69</v>
      </c>
      <c r="K997" t="s">
        <v>41</v>
      </c>
      <c r="L997" t="s">
        <v>2376</v>
      </c>
      <c r="M997" t="s">
        <v>960</v>
      </c>
      <c r="N997" t="s">
        <v>961</v>
      </c>
      <c r="O997" t="s">
        <v>75</v>
      </c>
      <c r="R997" t="s">
        <v>2377</v>
      </c>
      <c r="S997" t="s">
        <v>2315</v>
      </c>
      <c r="U997" t="s">
        <v>48</v>
      </c>
      <c r="V997" t="s">
        <v>2316</v>
      </c>
      <c r="W997" t="s">
        <v>2317</v>
      </c>
      <c r="X997" t="s">
        <v>963</v>
      </c>
      <c r="AD997" t="s">
        <v>964</v>
      </c>
    </row>
    <row r="998" spans="1:30" x14ac:dyDescent="0.25">
      <c r="A998" t="s">
        <v>33</v>
      </c>
      <c r="D998" t="s">
        <v>2309</v>
      </c>
      <c r="E998" t="s">
        <v>2310</v>
      </c>
      <c r="F998" t="s">
        <v>36</v>
      </c>
      <c r="G998" t="s">
        <v>2375</v>
      </c>
      <c r="H998" t="s">
        <v>38</v>
      </c>
      <c r="I998" t="s">
        <v>68</v>
      </c>
      <c r="J998" t="s">
        <v>69</v>
      </c>
      <c r="K998" t="s">
        <v>41</v>
      </c>
      <c r="L998" t="s">
        <v>2376</v>
      </c>
      <c r="M998" t="s">
        <v>960</v>
      </c>
      <c r="N998" t="s">
        <v>961</v>
      </c>
      <c r="O998" t="s">
        <v>71</v>
      </c>
      <c r="R998" t="s">
        <v>2378</v>
      </c>
      <c r="S998" t="s">
        <v>2315</v>
      </c>
      <c r="U998" t="s">
        <v>48</v>
      </c>
      <c r="V998" t="s">
        <v>2316</v>
      </c>
      <c r="W998" t="s">
        <v>2317</v>
      </c>
      <c r="X998" t="s">
        <v>963</v>
      </c>
      <c r="AD998" t="s">
        <v>966</v>
      </c>
    </row>
    <row r="999" spans="1:30" x14ac:dyDescent="0.25">
      <c r="A999" t="s">
        <v>33</v>
      </c>
      <c r="D999" t="s">
        <v>2309</v>
      </c>
      <c r="E999" t="s">
        <v>2310</v>
      </c>
      <c r="F999" t="s">
        <v>36</v>
      </c>
      <c r="G999" t="s">
        <v>2375</v>
      </c>
      <c r="H999" t="s">
        <v>153</v>
      </c>
      <c r="I999" t="s">
        <v>180</v>
      </c>
      <c r="J999" t="s">
        <v>154</v>
      </c>
      <c r="K999" t="s">
        <v>155</v>
      </c>
      <c r="L999" t="s">
        <v>2376</v>
      </c>
      <c r="N999" t="s">
        <v>961</v>
      </c>
      <c r="O999" t="s">
        <v>187</v>
      </c>
      <c r="R999" t="s">
        <v>2379</v>
      </c>
      <c r="S999" t="s">
        <v>2315</v>
      </c>
      <c r="V999" t="s">
        <v>2316</v>
      </c>
      <c r="W999" t="s">
        <v>2317</v>
      </c>
      <c r="AD999" t="s">
        <v>2380</v>
      </c>
    </row>
    <row r="1000" spans="1:30" x14ac:dyDescent="0.25">
      <c r="A1000" t="s">
        <v>947</v>
      </c>
      <c r="B1000" t="s">
        <v>1948</v>
      </c>
      <c r="C1000" t="s">
        <v>949</v>
      </c>
      <c r="D1000" t="s">
        <v>2309</v>
      </c>
      <c r="E1000" t="s">
        <v>2310</v>
      </c>
      <c r="F1000" t="s">
        <v>36</v>
      </c>
      <c r="G1000" t="s">
        <v>2375</v>
      </c>
      <c r="H1000" t="s">
        <v>153</v>
      </c>
      <c r="I1000" t="s">
        <v>2381</v>
      </c>
      <c r="J1000" t="s">
        <v>154</v>
      </c>
      <c r="K1000" t="s">
        <v>155</v>
      </c>
      <c r="L1000" t="s">
        <v>2376</v>
      </c>
      <c r="N1000" t="s">
        <v>961</v>
      </c>
      <c r="O1000" t="s">
        <v>2382</v>
      </c>
      <c r="R1000" t="s">
        <v>2383</v>
      </c>
      <c r="S1000" t="s">
        <v>2315</v>
      </c>
      <c r="V1000" t="s">
        <v>2316</v>
      </c>
      <c r="W1000" t="s">
        <v>2317</v>
      </c>
      <c r="AD1000" t="s">
        <v>2384</v>
      </c>
    </row>
    <row r="1001" spans="1:30" x14ac:dyDescent="0.25">
      <c r="A1001" t="s">
        <v>947</v>
      </c>
      <c r="B1001" t="s">
        <v>1948</v>
      </c>
      <c r="C1001" t="s">
        <v>949</v>
      </c>
      <c r="D1001" t="s">
        <v>2309</v>
      </c>
      <c r="E1001" t="s">
        <v>2310</v>
      </c>
      <c r="F1001" t="s">
        <v>36</v>
      </c>
      <c r="G1001" t="s">
        <v>2375</v>
      </c>
      <c r="H1001" t="s">
        <v>89</v>
      </c>
      <c r="I1001" t="s">
        <v>2381</v>
      </c>
      <c r="J1001" t="s">
        <v>91</v>
      </c>
      <c r="K1001" t="s">
        <v>92</v>
      </c>
      <c r="L1001" t="s">
        <v>2376</v>
      </c>
      <c r="M1001" t="s">
        <v>94</v>
      </c>
      <c r="N1001" t="s">
        <v>961</v>
      </c>
      <c r="O1001" t="s">
        <v>2385</v>
      </c>
      <c r="P1001" t="s">
        <v>2386</v>
      </c>
      <c r="R1001" t="s">
        <v>2387</v>
      </c>
      <c r="S1001" t="s">
        <v>2315</v>
      </c>
      <c r="V1001" t="s">
        <v>2316</v>
      </c>
      <c r="W1001" t="s">
        <v>2317</v>
      </c>
      <c r="AD1001" t="s">
        <v>2388</v>
      </c>
    </row>
    <row r="1002" spans="1:30" x14ac:dyDescent="0.25">
      <c r="A1002" t="s">
        <v>947</v>
      </c>
      <c r="B1002" t="s">
        <v>1948</v>
      </c>
      <c r="C1002" t="s">
        <v>949</v>
      </c>
      <c r="D1002" t="s">
        <v>2309</v>
      </c>
      <c r="E1002" t="s">
        <v>2310</v>
      </c>
      <c r="F1002" t="s">
        <v>36</v>
      </c>
      <c r="G1002" t="s">
        <v>2375</v>
      </c>
      <c r="H1002" t="s">
        <v>143</v>
      </c>
      <c r="I1002" t="s">
        <v>2381</v>
      </c>
      <c r="J1002" t="s">
        <v>145</v>
      </c>
      <c r="K1002" t="s">
        <v>146</v>
      </c>
      <c r="L1002" t="s">
        <v>2376</v>
      </c>
      <c r="M1002" t="s">
        <v>139</v>
      </c>
      <c r="N1002" t="s">
        <v>961</v>
      </c>
      <c r="O1002" t="s">
        <v>2389</v>
      </c>
      <c r="R1002" t="s">
        <v>2390</v>
      </c>
      <c r="S1002" t="s">
        <v>2315</v>
      </c>
      <c r="V1002" t="s">
        <v>2316</v>
      </c>
      <c r="W1002" t="s">
        <v>2317</v>
      </c>
      <c r="X1002" t="s">
        <v>56</v>
      </c>
      <c r="AD1002" t="s">
        <v>2391</v>
      </c>
    </row>
    <row r="1003" spans="1:30" x14ac:dyDescent="0.25">
      <c r="A1003" t="s">
        <v>33</v>
      </c>
      <c r="D1003" t="s">
        <v>2309</v>
      </c>
      <c r="E1003" t="s">
        <v>2310</v>
      </c>
      <c r="F1003" t="s">
        <v>36</v>
      </c>
      <c r="G1003" t="s">
        <v>2375</v>
      </c>
      <c r="H1003" t="s">
        <v>89</v>
      </c>
      <c r="I1003" t="s">
        <v>180</v>
      </c>
      <c r="J1003" t="s">
        <v>91</v>
      </c>
      <c r="K1003" t="s">
        <v>92</v>
      </c>
      <c r="L1003" t="s">
        <v>2376</v>
      </c>
      <c r="M1003" t="s">
        <v>94</v>
      </c>
      <c r="N1003" t="s">
        <v>961</v>
      </c>
      <c r="O1003" t="s">
        <v>184</v>
      </c>
      <c r="P1003" t="s">
        <v>2386</v>
      </c>
      <c r="R1003" t="s">
        <v>2392</v>
      </c>
      <c r="S1003" t="s">
        <v>2315</v>
      </c>
      <c r="V1003" t="s">
        <v>2316</v>
      </c>
      <c r="W1003" t="s">
        <v>2317</v>
      </c>
      <c r="AD1003" t="s">
        <v>2393</v>
      </c>
    </row>
    <row r="1004" spans="1:30" x14ac:dyDescent="0.25">
      <c r="A1004" t="s">
        <v>33</v>
      </c>
      <c r="D1004" t="s">
        <v>2309</v>
      </c>
      <c r="E1004" t="s">
        <v>2310</v>
      </c>
      <c r="F1004" t="s">
        <v>36</v>
      </c>
      <c r="G1004" t="s">
        <v>2375</v>
      </c>
      <c r="H1004" t="s">
        <v>143</v>
      </c>
      <c r="I1004" t="s">
        <v>180</v>
      </c>
      <c r="J1004" t="s">
        <v>145</v>
      </c>
      <c r="K1004" t="s">
        <v>146</v>
      </c>
      <c r="L1004" t="s">
        <v>2376</v>
      </c>
      <c r="M1004" t="s">
        <v>139</v>
      </c>
      <c r="N1004" t="s">
        <v>961</v>
      </c>
      <c r="O1004" t="s">
        <v>181</v>
      </c>
      <c r="R1004" t="s">
        <v>2390</v>
      </c>
      <c r="S1004" t="s">
        <v>2315</v>
      </c>
      <c r="V1004" t="s">
        <v>2316</v>
      </c>
      <c r="W1004" t="s">
        <v>2317</v>
      </c>
      <c r="X1004" t="s">
        <v>56</v>
      </c>
      <c r="AD1004" t="s">
        <v>2394</v>
      </c>
    </row>
    <row r="1005" spans="1:30" x14ac:dyDescent="0.25">
      <c r="A1005" t="s">
        <v>33</v>
      </c>
      <c r="D1005" t="s">
        <v>2309</v>
      </c>
      <c r="E1005" t="s">
        <v>2310</v>
      </c>
      <c r="F1005" t="s">
        <v>36</v>
      </c>
      <c r="G1005" t="s">
        <v>2375</v>
      </c>
      <c r="H1005" t="s">
        <v>153</v>
      </c>
      <c r="I1005" t="s">
        <v>100</v>
      </c>
      <c r="J1005" t="s">
        <v>154</v>
      </c>
      <c r="K1005" t="s">
        <v>155</v>
      </c>
      <c r="L1005" t="s">
        <v>2376</v>
      </c>
      <c r="N1005" t="s">
        <v>961</v>
      </c>
      <c r="O1005" t="s">
        <v>448</v>
      </c>
      <c r="R1005" t="s">
        <v>2395</v>
      </c>
      <c r="S1005" t="s">
        <v>2315</v>
      </c>
      <c r="V1005" t="s">
        <v>2316</v>
      </c>
      <c r="W1005" t="s">
        <v>2317</v>
      </c>
      <c r="AD1005" t="s">
        <v>1721</v>
      </c>
    </row>
    <row r="1006" spans="1:30" x14ac:dyDescent="0.25">
      <c r="A1006" t="s">
        <v>33</v>
      </c>
      <c r="D1006" t="s">
        <v>2309</v>
      </c>
      <c r="E1006" t="s">
        <v>2310</v>
      </c>
      <c r="F1006" t="s">
        <v>36</v>
      </c>
      <c r="G1006" t="s">
        <v>2375</v>
      </c>
      <c r="H1006" t="s">
        <v>153</v>
      </c>
      <c r="I1006" t="s">
        <v>716</v>
      </c>
      <c r="J1006" t="s">
        <v>154</v>
      </c>
      <c r="K1006" t="s">
        <v>155</v>
      </c>
      <c r="L1006" t="s">
        <v>2376</v>
      </c>
      <c r="N1006" t="s">
        <v>961</v>
      </c>
      <c r="O1006" t="s">
        <v>717</v>
      </c>
      <c r="R1006" t="s">
        <v>2396</v>
      </c>
      <c r="S1006" t="s">
        <v>2315</v>
      </c>
      <c r="V1006" t="s">
        <v>2316</v>
      </c>
      <c r="W1006" t="s">
        <v>2317</v>
      </c>
      <c r="AD1006" t="s">
        <v>1702</v>
      </c>
    </row>
    <row r="1007" spans="1:30" x14ac:dyDescent="0.25">
      <c r="A1007" t="s">
        <v>33</v>
      </c>
      <c r="D1007" t="s">
        <v>2309</v>
      </c>
      <c r="E1007" t="s">
        <v>2310</v>
      </c>
      <c r="F1007" t="s">
        <v>36</v>
      </c>
      <c r="G1007" t="s">
        <v>2375</v>
      </c>
      <c r="H1007" t="s">
        <v>89</v>
      </c>
      <c r="I1007" t="s">
        <v>716</v>
      </c>
      <c r="J1007" t="s">
        <v>91</v>
      </c>
      <c r="K1007" t="s">
        <v>92</v>
      </c>
      <c r="L1007" t="s">
        <v>2376</v>
      </c>
      <c r="M1007" t="s">
        <v>94</v>
      </c>
      <c r="N1007" t="s">
        <v>961</v>
      </c>
      <c r="O1007" t="s">
        <v>974</v>
      </c>
      <c r="P1007" t="s">
        <v>2386</v>
      </c>
      <c r="R1007" t="s">
        <v>2397</v>
      </c>
      <c r="S1007" t="s">
        <v>2315</v>
      </c>
      <c r="V1007" t="s">
        <v>2316</v>
      </c>
      <c r="W1007" t="s">
        <v>2317</v>
      </c>
      <c r="AD1007" t="s">
        <v>976</v>
      </c>
    </row>
    <row r="1008" spans="1:30" x14ac:dyDescent="0.25">
      <c r="A1008" t="s">
        <v>33</v>
      </c>
      <c r="D1008" t="s">
        <v>2309</v>
      </c>
      <c r="E1008" t="s">
        <v>2310</v>
      </c>
      <c r="F1008" t="s">
        <v>36</v>
      </c>
      <c r="G1008" t="s">
        <v>2375</v>
      </c>
      <c r="H1008" t="s">
        <v>143</v>
      </c>
      <c r="I1008" t="s">
        <v>716</v>
      </c>
      <c r="J1008" t="s">
        <v>145</v>
      </c>
      <c r="K1008" t="s">
        <v>146</v>
      </c>
      <c r="L1008" t="s">
        <v>2376</v>
      </c>
      <c r="M1008" t="s">
        <v>139</v>
      </c>
      <c r="N1008" t="s">
        <v>961</v>
      </c>
      <c r="O1008" t="s">
        <v>977</v>
      </c>
      <c r="R1008" t="s">
        <v>2398</v>
      </c>
      <c r="S1008" t="s">
        <v>2315</v>
      </c>
      <c r="V1008" t="s">
        <v>2316</v>
      </c>
      <c r="W1008" t="s">
        <v>2317</v>
      </c>
      <c r="X1008" t="s">
        <v>56</v>
      </c>
      <c r="AD1008" t="s">
        <v>979</v>
      </c>
    </row>
    <row r="1009" spans="1:30" x14ac:dyDescent="0.25">
      <c r="A1009" t="s">
        <v>33</v>
      </c>
      <c r="D1009" t="s">
        <v>2309</v>
      </c>
      <c r="E1009" t="s">
        <v>2310</v>
      </c>
      <c r="F1009" t="s">
        <v>36</v>
      </c>
      <c r="G1009" t="s">
        <v>2375</v>
      </c>
      <c r="H1009" t="s">
        <v>89</v>
      </c>
      <c r="I1009" t="s">
        <v>100</v>
      </c>
      <c r="J1009" t="s">
        <v>91</v>
      </c>
      <c r="K1009" t="s">
        <v>92</v>
      </c>
      <c r="L1009" t="s">
        <v>2376</v>
      </c>
      <c r="M1009" t="s">
        <v>94</v>
      </c>
      <c r="N1009" t="s">
        <v>961</v>
      </c>
      <c r="O1009" t="s">
        <v>445</v>
      </c>
      <c r="P1009" t="s">
        <v>2386</v>
      </c>
      <c r="R1009" t="s">
        <v>2399</v>
      </c>
      <c r="S1009" t="s">
        <v>2315</v>
      </c>
      <c r="V1009" t="s">
        <v>2316</v>
      </c>
      <c r="W1009" t="s">
        <v>2317</v>
      </c>
      <c r="AD1009" t="s">
        <v>989</v>
      </c>
    </row>
    <row r="1010" spans="1:30" x14ac:dyDescent="0.25">
      <c r="A1010" t="s">
        <v>33</v>
      </c>
      <c r="D1010" t="s">
        <v>2309</v>
      </c>
      <c r="E1010" t="s">
        <v>2310</v>
      </c>
      <c r="F1010" t="s">
        <v>36</v>
      </c>
      <c r="G1010" t="s">
        <v>2375</v>
      </c>
      <c r="H1010" t="s">
        <v>143</v>
      </c>
      <c r="I1010" t="s">
        <v>100</v>
      </c>
      <c r="J1010" t="s">
        <v>145</v>
      </c>
      <c r="K1010" t="s">
        <v>146</v>
      </c>
      <c r="L1010" t="s">
        <v>2376</v>
      </c>
      <c r="M1010" t="s">
        <v>139</v>
      </c>
      <c r="N1010" t="s">
        <v>961</v>
      </c>
      <c r="O1010" t="s">
        <v>442</v>
      </c>
      <c r="R1010" t="s">
        <v>2398</v>
      </c>
      <c r="S1010" t="s">
        <v>2315</v>
      </c>
      <c r="V1010" t="s">
        <v>2316</v>
      </c>
      <c r="W1010" t="s">
        <v>2317</v>
      </c>
      <c r="X1010" t="s">
        <v>56</v>
      </c>
      <c r="AD1010" t="s">
        <v>990</v>
      </c>
    </row>
    <row r="1011" spans="1:30" x14ac:dyDescent="0.25">
      <c r="A1011" t="s">
        <v>33</v>
      </c>
      <c r="D1011" t="s">
        <v>2309</v>
      </c>
      <c r="E1011" t="s">
        <v>2310</v>
      </c>
      <c r="F1011" t="s">
        <v>36</v>
      </c>
      <c r="G1011" t="s">
        <v>2375</v>
      </c>
      <c r="H1011" t="s">
        <v>38</v>
      </c>
      <c r="I1011" t="s">
        <v>25</v>
      </c>
      <c r="J1011" t="s">
        <v>69</v>
      </c>
      <c r="K1011" t="s">
        <v>41</v>
      </c>
      <c r="L1011" t="s">
        <v>2376</v>
      </c>
      <c r="M1011" t="s">
        <v>139</v>
      </c>
      <c r="N1011" t="s">
        <v>961</v>
      </c>
      <c r="O1011" t="s">
        <v>512</v>
      </c>
      <c r="R1011" t="s">
        <v>2400</v>
      </c>
      <c r="S1011" t="s">
        <v>2315</v>
      </c>
      <c r="V1011" t="s">
        <v>2316</v>
      </c>
      <c r="W1011" t="s">
        <v>2317</v>
      </c>
      <c r="X1011" t="s">
        <v>56</v>
      </c>
      <c r="AD1011" t="s">
        <v>992</v>
      </c>
    </row>
    <row r="1012" spans="1:30" x14ac:dyDescent="0.25">
      <c r="A1012" t="s">
        <v>33</v>
      </c>
      <c r="D1012" t="s">
        <v>2309</v>
      </c>
      <c r="E1012" t="s">
        <v>2310</v>
      </c>
      <c r="F1012" t="s">
        <v>36</v>
      </c>
      <c r="G1012" t="s">
        <v>2375</v>
      </c>
      <c r="H1012" t="s">
        <v>38</v>
      </c>
      <c r="I1012" t="s">
        <v>24</v>
      </c>
      <c r="J1012" t="s">
        <v>69</v>
      </c>
      <c r="K1012" t="s">
        <v>41</v>
      </c>
      <c r="L1012" t="s">
        <v>2376</v>
      </c>
      <c r="M1012" t="s">
        <v>139</v>
      </c>
      <c r="N1012" t="s">
        <v>961</v>
      </c>
      <c r="O1012" t="s">
        <v>509</v>
      </c>
      <c r="R1012" t="s">
        <v>2401</v>
      </c>
      <c r="S1012" t="s">
        <v>2315</v>
      </c>
      <c r="V1012" t="s">
        <v>2316</v>
      </c>
      <c r="W1012" t="s">
        <v>2317</v>
      </c>
      <c r="X1012" t="s">
        <v>56</v>
      </c>
      <c r="AD1012" t="s">
        <v>994</v>
      </c>
    </row>
    <row r="1013" spans="1:30" x14ac:dyDescent="0.25">
      <c r="A1013" t="s">
        <v>33</v>
      </c>
      <c r="D1013" t="s">
        <v>2309</v>
      </c>
      <c r="E1013" t="s">
        <v>2310</v>
      </c>
      <c r="F1013" t="s">
        <v>36</v>
      </c>
      <c r="G1013" t="s">
        <v>2375</v>
      </c>
      <c r="H1013" t="s">
        <v>38</v>
      </c>
      <c r="I1013" t="s">
        <v>63</v>
      </c>
      <c r="J1013" t="s">
        <v>40</v>
      </c>
      <c r="K1013" t="s">
        <v>41</v>
      </c>
      <c r="L1013" t="s">
        <v>2376</v>
      </c>
      <c r="M1013" t="s">
        <v>139</v>
      </c>
      <c r="N1013" t="s">
        <v>961</v>
      </c>
      <c r="O1013" t="s">
        <v>65</v>
      </c>
      <c r="R1013" t="s">
        <v>2402</v>
      </c>
      <c r="S1013" t="s">
        <v>2315</v>
      </c>
      <c r="V1013" t="s">
        <v>2316</v>
      </c>
      <c r="W1013" t="s">
        <v>2317</v>
      </c>
      <c r="X1013" t="s">
        <v>56</v>
      </c>
      <c r="AD1013" t="s">
        <v>996</v>
      </c>
    </row>
    <row r="1014" spans="1:30" x14ac:dyDescent="0.25">
      <c r="A1014" t="s">
        <v>33</v>
      </c>
      <c r="D1014" t="s">
        <v>2309</v>
      </c>
      <c r="E1014" t="s">
        <v>2348</v>
      </c>
      <c r="F1014" t="s">
        <v>36</v>
      </c>
      <c r="G1014" t="s">
        <v>2403</v>
      </c>
      <c r="H1014" t="s">
        <v>38</v>
      </c>
      <c r="I1014" t="s">
        <v>74</v>
      </c>
      <c r="J1014" t="s">
        <v>69</v>
      </c>
      <c r="K1014" t="s">
        <v>41</v>
      </c>
      <c r="L1014" t="s">
        <v>2404</v>
      </c>
      <c r="M1014" t="s">
        <v>889</v>
      </c>
      <c r="N1014" t="s">
        <v>890</v>
      </c>
      <c r="O1014" t="s">
        <v>75</v>
      </c>
      <c r="R1014" t="s">
        <v>2405</v>
      </c>
      <c r="S1014" t="s">
        <v>2315</v>
      </c>
      <c r="V1014" t="s">
        <v>2316</v>
      </c>
      <c r="W1014" t="s">
        <v>2353</v>
      </c>
      <c r="X1014" t="s">
        <v>892</v>
      </c>
      <c r="AD1014" t="s">
        <v>893</v>
      </c>
    </row>
    <row r="1015" spans="1:30" x14ac:dyDescent="0.25">
      <c r="A1015" t="s">
        <v>33</v>
      </c>
      <c r="D1015" t="s">
        <v>2309</v>
      </c>
      <c r="E1015" t="s">
        <v>2348</v>
      </c>
      <c r="F1015" t="s">
        <v>36</v>
      </c>
      <c r="G1015" t="s">
        <v>2403</v>
      </c>
      <c r="H1015" t="s">
        <v>38</v>
      </c>
      <c r="I1015" t="s">
        <v>68</v>
      </c>
      <c r="J1015" t="s">
        <v>69</v>
      </c>
      <c r="K1015" t="s">
        <v>41</v>
      </c>
      <c r="L1015" t="s">
        <v>2404</v>
      </c>
      <c r="M1015" t="s">
        <v>889</v>
      </c>
      <c r="N1015" t="s">
        <v>890</v>
      </c>
      <c r="O1015" t="s">
        <v>71</v>
      </c>
      <c r="R1015" t="s">
        <v>2406</v>
      </c>
      <c r="S1015" t="s">
        <v>2315</v>
      </c>
      <c r="V1015" t="s">
        <v>2316</v>
      </c>
      <c r="W1015" t="s">
        <v>2353</v>
      </c>
      <c r="X1015" t="s">
        <v>892</v>
      </c>
      <c r="AD1015" t="s">
        <v>895</v>
      </c>
    </row>
    <row r="1016" spans="1:30" x14ac:dyDescent="0.25">
      <c r="A1016" t="s">
        <v>33</v>
      </c>
      <c r="D1016" t="s">
        <v>2309</v>
      </c>
      <c r="E1016" t="s">
        <v>2348</v>
      </c>
      <c r="F1016" t="s">
        <v>36</v>
      </c>
      <c r="G1016" t="s">
        <v>2403</v>
      </c>
      <c r="H1016" t="s">
        <v>38</v>
      </c>
      <c r="I1016" t="s">
        <v>52</v>
      </c>
      <c r="J1016" t="s">
        <v>40</v>
      </c>
      <c r="K1016" t="s">
        <v>41</v>
      </c>
      <c r="L1016" t="s">
        <v>2404</v>
      </c>
      <c r="M1016" t="s">
        <v>53</v>
      </c>
      <c r="N1016" t="s">
        <v>890</v>
      </c>
      <c r="O1016" t="s">
        <v>54</v>
      </c>
      <c r="R1016" t="s">
        <v>2407</v>
      </c>
      <c r="S1016" t="s">
        <v>2315</v>
      </c>
      <c r="V1016" t="s">
        <v>2316</v>
      </c>
      <c r="W1016" t="s">
        <v>2353</v>
      </c>
      <c r="X1016" t="s">
        <v>56</v>
      </c>
      <c r="AD1016" t="s">
        <v>897</v>
      </c>
    </row>
    <row r="1017" spans="1:30" x14ac:dyDescent="0.25">
      <c r="A1017" t="s">
        <v>33</v>
      </c>
      <c r="D1017" t="s">
        <v>2309</v>
      </c>
      <c r="E1017" t="s">
        <v>2348</v>
      </c>
      <c r="F1017" t="s">
        <v>36</v>
      </c>
      <c r="G1017" t="s">
        <v>2403</v>
      </c>
      <c r="H1017" t="s">
        <v>38</v>
      </c>
      <c r="I1017" t="s">
        <v>39</v>
      </c>
      <c r="J1017" t="s">
        <v>40</v>
      </c>
      <c r="K1017" t="s">
        <v>41</v>
      </c>
      <c r="L1017" t="s">
        <v>2404</v>
      </c>
      <c r="M1017" t="s">
        <v>43</v>
      </c>
      <c r="N1017" t="s">
        <v>890</v>
      </c>
      <c r="O1017" t="s">
        <v>45</v>
      </c>
      <c r="R1017" t="s">
        <v>2408</v>
      </c>
      <c r="S1017" t="s">
        <v>2315</v>
      </c>
      <c r="V1017" t="s">
        <v>2316</v>
      </c>
      <c r="W1017" t="s">
        <v>2353</v>
      </c>
      <c r="AD1017" t="s">
        <v>899</v>
      </c>
    </row>
    <row r="1018" spans="1:30" x14ac:dyDescent="0.25">
      <c r="A1018" t="s">
        <v>33</v>
      </c>
      <c r="D1018" t="s">
        <v>2309</v>
      </c>
      <c r="E1018" t="s">
        <v>2348</v>
      </c>
      <c r="F1018" t="s">
        <v>36</v>
      </c>
      <c r="G1018" t="s">
        <v>2403</v>
      </c>
      <c r="H1018" t="s">
        <v>38</v>
      </c>
      <c r="I1018" t="s">
        <v>63</v>
      </c>
      <c r="J1018" t="s">
        <v>40</v>
      </c>
      <c r="K1018" t="s">
        <v>41</v>
      </c>
      <c r="L1018" t="s">
        <v>2404</v>
      </c>
      <c r="M1018" t="s">
        <v>64</v>
      </c>
      <c r="N1018" t="s">
        <v>890</v>
      </c>
      <c r="O1018" t="s">
        <v>65</v>
      </c>
      <c r="R1018" t="s">
        <v>2409</v>
      </c>
      <c r="S1018" t="s">
        <v>2315</v>
      </c>
      <c r="V1018" t="s">
        <v>2316</v>
      </c>
      <c r="W1018" t="s">
        <v>2353</v>
      </c>
      <c r="Z1018">
        <v>15000</v>
      </c>
      <c r="AD1018" t="s">
        <v>901</v>
      </c>
    </row>
    <row r="1019" spans="1:30" x14ac:dyDescent="0.25">
      <c r="A1019" t="s">
        <v>33</v>
      </c>
      <c r="D1019" t="s">
        <v>2309</v>
      </c>
      <c r="E1019" t="s">
        <v>2348</v>
      </c>
      <c r="F1019" t="s">
        <v>36</v>
      </c>
      <c r="G1019" t="s">
        <v>2403</v>
      </c>
      <c r="H1019" t="s">
        <v>38</v>
      </c>
      <c r="I1019" t="s">
        <v>58</v>
      </c>
      <c r="J1019" t="s">
        <v>40</v>
      </c>
      <c r="K1019" t="s">
        <v>41</v>
      </c>
      <c r="L1019" t="s">
        <v>2404</v>
      </c>
      <c r="M1019" t="s">
        <v>59</v>
      </c>
      <c r="N1019" t="s">
        <v>890</v>
      </c>
      <c r="O1019" t="s">
        <v>60</v>
      </c>
      <c r="R1019" t="s">
        <v>2410</v>
      </c>
      <c r="S1019" t="s">
        <v>2315</v>
      </c>
      <c r="V1019" t="s">
        <v>2316</v>
      </c>
      <c r="W1019" t="s">
        <v>2353</v>
      </c>
      <c r="AD1019" t="s">
        <v>903</v>
      </c>
    </row>
    <row r="1020" spans="1:30" x14ac:dyDescent="0.25">
      <c r="A1020" t="s">
        <v>33</v>
      </c>
      <c r="D1020" t="s">
        <v>2309</v>
      </c>
      <c r="E1020" t="s">
        <v>2365</v>
      </c>
      <c r="F1020" t="s">
        <v>36</v>
      </c>
      <c r="G1020" t="s">
        <v>2411</v>
      </c>
      <c r="H1020" t="s">
        <v>38</v>
      </c>
      <c r="I1020" t="s">
        <v>74</v>
      </c>
      <c r="J1020" t="s">
        <v>69</v>
      </c>
      <c r="K1020" t="s">
        <v>41</v>
      </c>
      <c r="L1020" t="s">
        <v>2412</v>
      </c>
      <c r="M1020" t="s">
        <v>889</v>
      </c>
      <c r="N1020" t="s">
        <v>890</v>
      </c>
      <c r="O1020" t="s">
        <v>75</v>
      </c>
      <c r="R1020" t="s">
        <v>2413</v>
      </c>
      <c r="S1020" t="s">
        <v>2315</v>
      </c>
      <c r="V1020" t="s">
        <v>2316</v>
      </c>
      <c r="W1020" t="s">
        <v>2369</v>
      </c>
      <c r="X1020" t="s">
        <v>892</v>
      </c>
      <c r="AD1020" t="s">
        <v>893</v>
      </c>
    </row>
    <row r="1021" spans="1:30" x14ac:dyDescent="0.25">
      <c r="A1021" t="s">
        <v>33</v>
      </c>
      <c r="D1021" t="s">
        <v>2309</v>
      </c>
      <c r="E1021" t="s">
        <v>2365</v>
      </c>
      <c r="F1021" t="s">
        <v>36</v>
      </c>
      <c r="G1021" t="s">
        <v>2411</v>
      </c>
      <c r="H1021" t="s">
        <v>38</v>
      </c>
      <c r="I1021" t="s">
        <v>68</v>
      </c>
      <c r="J1021" t="s">
        <v>69</v>
      </c>
      <c r="K1021" t="s">
        <v>41</v>
      </c>
      <c r="L1021" t="s">
        <v>2412</v>
      </c>
      <c r="M1021" t="s">
        <v>889</v>
      </c>
      <c r="N1021" t="s">
        <v>890</v>
      </c>
      <c r="O1021" t="s">
        <v>71</v>
      </c>
      <c r="R1021" t="s">
        <v>2414</v>
      </c>
      <c r="S1021" t="s">
        <v>2315</v>
      </c>
      <c r="V1021" t="s">
        <v>2316</v>
      </c>
      <c r="W1021" t="s">
        <v>2369</v>
      </c>
      <c r="X1021" t="s">
        <v>892</v>
      </c>
      <c r="AD1021" t="s">
        <v>895</v>
      </c>
    </row>
    <row r="1022" spans="1:30" x14ac:dyDescent="0.25">
      <c r="A1022" t="s">
        <v>33</v>
      </c>
      <c r="D1022" t="s">
        <v>2309</v>
      </c>
      <c r="E1022" t="s">
        <v>2365</v>
      </c>
      <c r="F1022" t="s">
        <v>36</v>
      </c>
      <c r="G1022" t="s">
        <v>2411</v>
      </c>
      <c r="H1022" t="s">
        <v>38</v>
      </c>
      <c r="I1022" t="s">
        <v>52</v>
      </c>
      <c r="J1022" t="s">
        <v>40</v>
      </c>
      <c r="K1022" t="s">
        <v>41</v>
      </c>
      <c r="L1022" t="s">
        <v>2412</v>
      </c>
      <c r="M1022" t="s">
        <v>53</v>
      </c>
      <c r="N1022" t="s">
        <v>890</v>
      </c>
      <c r="O1022" t="s">
        <v>54</v>
      </c>
      <c r="R1022" t="s">
        <v>2415</v>
      </c>
      <c r="S1022" t="s">
        <v>2315</v>
      </c>
      <c r="V1022" t="s">
        <v>2316</v>
      </c>
      <c r="W1022" t="s">
        <v>2369</v>
      </c>
      <c r="X1022" t="s">
        <v>56</v>
      </c>
      <c r="AD1022" t="s">
        <v>897</v>
      </c>
    </row>
    <row r="1023" spans="1:30" x14ac:dyDescent="0.25">
      <c r="A1023" t="s">
        <v>33</v>
      </c>
      <c r="D1023" t="s">
        <v>2309</v>
      </c>
      <c r="E1023" t="s">
        <v>2365</v>
      </c>
      <c r="F1023" t="s">
        <v>36</v>
      </c>
      <c r="G1023" t="s">
        <v>2411</v>
      </c>
      <c r="H1023" t="s">
        <v>38</v>
      </c>
      <c r="I1023" t="s">
        <v>39</v>
      </c>
      <c r="J1023" t="s">
        <v>40</v>
      </c>
      <c r="K1023" t="s">
        <v>41</v>
      </c>
      <c r="L1023" t="s">
        <v>2412</v>
      </c>
      <c r="M1023" t="s">
        <v>43</v>
      </c>
      <c r="N1023" t="s">
        <v>890</v>
      </c>
      <c r="O1023" t="s">
        <v>45</v>
      </c>
      <c r="R1023" t="s">
        <v>2416</v>
      </c>
      <c r="S1023" t="s">
        <v>2315</v>
      </c>
      <c r="V1023" t="s">
        <v>2316</v>
      </c>
      <c r="W1023" t="s">
        <v>2369</v>
      </c>
      <c r="AD1023" t="s">
        <v>899</v>
      </c>
    </row>
    <row r="1024" spans="1:30" x14ac:dyDescent="0.25">
      <c r="A1024" t="s">
        <v>33</v>
      </c>
      <c r="D1024" t="s">
        <v>2309</v>
      </c>
      <c r="E1024" t="s">
        <v>2365</v>
      </c>
      <c r="F1024" t="s">
        <v>36</v>
      </c>
      <c r="G1024" t="s">
        <v>2411</v>
      </c>
      <c r="H1024" t="s">
        <v>38</v>
      </c>
      <c r="I1024" t="s">
        <v>63</v>
      </c>
      <c r="J1024" t="s">
        <v>40</v>
      </c>
      <c r="K1024" t="s">
        <v>41</v>
      </c>
      <c r="L1024" t="s">
        <v>2412</v>
      </c>
      <c r="M1024" t="s">
        <v>64</v>
      </c>
      <c r="N1024" t="s">
        <v>890</v>
      </c>
      <c r="O1024" t="s">
        <v>65</v>
      </c>
      <c r="R1024" t="s">
        <v>2417</v>
      </c>
      <c r="S1024" t="s">
        <v>2315</v>
      </c>
      <c r="V1024" t="s">
        <v>2316</v>
      </c>
      <c r="W1024" t="s">
        <v>2369</v>
      </c>
      <c r="Z1024">
        <v>15000</v>
      </c>
      <c r="AD1024" t="s">
        <v>901</v>
      </c>
    </row>
    <row r="1025" spans="1:30" x14ac:dyDescent="0.25">
      <c r="A1025" t="s">
        <v>33</v>
      </c>
      <c r="D1025" t="s">
        <v>2309</v>
      </c>
      <c r="E1025" t="s">
        <v>2365</v>
      </c>
      <c r="F1025" t="s">
        <v>36</v>
      </c>
      <c r="G1025" t="s">
        <v>2411</v>
      </c>
      <c r="H1025" t="s">
        <v>38</v>
      </c>
      <c r="I1025" t="s">
        <v>58</v>
      </c>
      <c r="J1025" t="s">
        <v>40</v>
      </c>
      <c r="K1025" t="s">
        <v>41</v>
      </c>
      <c r="L1025" t="s">
        <v>2412</v>
      </c>
      <c r="M1025" t="s">
        <v>59</v>
      </c>
      <c r="N1025" t="s">
        <v>890</v>
      </c>
      <c r="O1025" t="s">
        <v>60</v>
      </c>
      <c r="R1025" t="s">
        <v>2418</v>
      </c>
      <c r="S1025" t="s">
        <v>2315</v>
      </c>
      <c r="V1025" t="s">
        <v>2316</v>
      </c>
      <c r="W1025" t="s">
        <v>2369</v>
      </c>
      <c r="AD1025" t="s">
        <v>903</v>
      </c>
    </row>
    <row r="1026" spans="1:30" x14ac:dyDescent="0.25">
      <c r="A1026" t="s">
        <v>33</v>
      </c>
      <c r="D1026" t="s">
        <v>2309</v>
      </c>
      <c r="E1026" t="s">
        <v>2348</v>
      </c>
      <c r="H1026" t="s">
        <v>166</v>
      </c>
      <c r="I1026" t="s">
        <v>2419</v>
      </c>
      <c r="J1026" t="s">
        <v>167</v>
      </c>
      <c r="K1026" t="s">
        <v>41</v>
      </c>
      <c r="L1026" t="s">
        <v>2353</v>
      </c>
      <c r="N1026" t="s">
        <v>2420</v>
      </c>
      <c r="O1026" t="s">
        <v>2421</v>
      </c>
      <c r="Q1026" t="s">
        <v>2422</v>
      </c>
      <c r="R1026" t="s">
        <v>2423</v>
      </c>
      <c r="S1026" t="s">
        <v>2315</v>
      </c>
      <c r="V1026" t="s">
        <v>2316</v>
      </c>
      <c r="W1026" t="s">
        <v>2353</v>
      </c>
      <c r="AD1026" t="s">
        <v>2424</v>
      </c>
    </row>
    <row r="1027" spans="1:30" x14ac:dyDescent="0.25">
      <c r="A1027" t="s">
        <v>33</v>
      </c>
      <c r="D1027" t="s">
        <v>2309</v>
      </c>
      <c r="E1027" t="s">
        <v>2348</v>
      </c>
      <c r="H1027" t="s">
        <v>153</v>
      </c>
      <c r="I1027" t="s">
        <v>598</v>
      </c>
      <c r="J1027" t="s">
        <v>154</v>
      </c>
      <c r="K1027" t="s">
        <v>155</v>
      </c>
      <c r="L1027" t="s">
        <v>2353</v>
      </c>
      <c r="N1027" t="s">
        <v>2420</v>
      </c>
      <c r="O1027" t="s">
        <v>599</v>
      </c>
      <c r="R1027" t="s">
        <v>2425</v>
      </c>
      <c r="S1027" t="s">
        <v>2315</v>
      </c>
      <c r="V1027" t="s">
        <v>2316</v>
      </c>
      <c r="W1027" t="s">
        <v>2353</v>
      </c>
      <c r="AD1027" t="s">
        <v>2426</v>
      </c>
    </row>
    <row r="1028" spans="1:30" x14ac:dyDescent="0.25">
      <c r="A1028" t="s">
        <v>33</v>
      </c>
      <c r="D1028" t="s">
        <v>2309</v>
      </c>
      <c r="E1028" t="s">
        <v>2348</v>
      </c>
      <c r="H1028" t="s">
        <v>166</v>
      </c>
      <c r="I1028" t="s">
        <v>216</v>
      </c>
      <c r="J1028" t="s">
        <v>167</v>
      </c>
      <c r="K1028" t="s">
        <v>41</v>
      </c>
      <c r="L1028" t="s">
        <v>2353</v>
      </c>
      <c r="N1028" t="s">
        <v>2420</v>
      </c>
      <c r="O1028" t="s">
        <v>872</v>
      </c>
      <c r="Q1028" t="s">
        <v>1275</v>
      </c>
      <c r="R1028" t="s">
        <v>2427</v>
      </c>
      <c r="S1028" t="s">
        <v>2315</v>
      </c>
      <c r="V1028" t="s">
        <v>2316</v>
      </c>
      <c r="W1028" t="s">
        <v>2353</v>
      </c>
      <c r="AD1028" t="s">
        <v>2428</v>
      </c>
    </row>
    <row r="1029" spans="1:30" x14ac:dyDescent="0.25">
      <c r="A1029" t="s">
        <v>33</v>
      </c>
      <c r="D1029" t="s">
        <v>2309</v>
      </c>
      <c r="E1029" t="s">
        <v>2365</v>
      </c>
      <c r="H1029" t="s">
        <v>166</v>
      </c>
      <c r="I1029" t="s">
        <v>2419</v>
      </c>
      <c r="J1029" t="s">
        <v>167</v>
      </c>
      <c r="K1029" t="s">
        <v>41</v>
      </c>
      <c r="L1029" t="s">
        <v>2369</v>
      </c>
      <c r="N1029" t="s">
        <v>2420</v>
      </c>
      <c r="O1029" t="s">
        <v>2421</v>
      </c>
      <c r="P1029" t="s">
        <v>2429</v>
      </c>
      <c r="Q1029" t="s">
        <v>2422</v>
      </c>
      <c r="R1029" t="s">
        <v>2430</v>
      </c>
      <c r="S1029" t="s">
        <v>2315</v>
      </c>
      <c r="V1029" t="s">
        <v>2316</v>
      </c>
      <c r="W1029" t="s">
        <v>2369</v>
      </c>
      <c r="AD1029" t="s">
        <v>2424</v>
      </c>
    </row>
    <row r="1030" spans="1:30" x14ac:dyDescent="0.25">
      <c r="A1030" t="s">
        <v>33</v>
      </c>
      <c r="D1030" t="s">
        <v>2309</v>
      </c>
      <c r="E1030" t="s">
        <v>2365</v>
      </c>
      <c r="H1030" t="s">
        <v>153</v>
      </c>
      <c r="I1030" t="s">
        <v>598</v>
      </c>
      <c r="J1030" t="s">
        <v>154</v>
      </c>
      <c r="K1030" t="s">
        <v>155</v>
      </c>
      <c r="L1030" t="s">
        <v>2369</v>
      </c>
      <c r="N1030" t="s">
        <v>2420</v>
      </c>
      <c r="O1030" t="s">
        <v>599</v>
      </c>
      <c r="R1030" t="s">
        <v>2431</v>
      </c>
      <c r="S1030" t="s">
        <v>2315</v>
      </c>
      <c r="V1030" t="s">
        <v>2316</v>
      </c>
      <c r="W1030" t="s">
        <v>2369</v>
      </c>
      <c r="AD1030" t="s">
        <v>2426</v>
      </c>
    </row>
    <row r="1031" spans="1:30" x14ac:dyDescent="0.25">
      <c r="A1031" t="s">
        <v>33</v>
      </c>
      <c r="D1031" t="s">
        <v>2309</v>
      </c>
      <c r="E1031" t="s">
        <v>2365</v>
      </c>
      <c r="H1031" t="s">
        <v>166</v>
      </c>
      <c r="I1031" t="s">
        <v>216</v>
      </c>
      <c r="J1031" t="s">
        <v>167</v>
      </c>
      <c r="K1031" t="s">
        <v>41</v>
      </c>
      <c r="L1031" t="s">
        <v>2369</v>
      </c>
      <c r="N1031" t="s">
        <v>2420</v>
      </c>
      <c r="O1031" t="s">
        <v>872</v>
      </c>
      <c r="Q1031" t="s">
        <v>1275</v>
      </c>
      <c r="R1031" t="s">
        <v>2432</v>
      </c>
      <c r="S1031" t="s">
        <v>2315</v>
      </c>
      <c r="V1031" t="s">
        <v>2316</v>
      </c>
      <c r="W1031" t="s">
        <v>2369</v>
      </c>
      <c r="AD1031" t="s">
        <v>2428</v>
      </c>
    </row>
    <row r="1032" spans="1:30" x14ac:dyDescent="0.25">
      <c r="A1032" t="s">
        <v>33</v>
      </c>
      <c r="D1032" t="s">
        <v>2309</v>
      </c>
      <c r="E1032" t="s">
        <v>2310</v>
      </c>
      <c r="F1032" t="s">
        <v>248</v>
      </c>
      <c r="G1032" t="s">
        <v>2433</v>
      </c>
      <c r="H1032" t="s">
        <v>280</v>
      </c>
      <c r="I1032" t="s">
        <v>281</v>
      </c>
      <c r="J1032" t="s">
        <v>282</v>
      </c>
      <c r="K1032" t="s">
        <v>283</v>
      </c>
      <c r="L1032" t="s">
        <v>2434</v>
      </c>
      <c r="N1032" t="s">
        <v>2435</v>
      </c>
      <c r="O1032" t="s">
        <v>284</v>
      </c>
      <c r="Q1032" t="s">
        <v>285</v>
      </c>
      <c r="R1032" t="s">
        <v>2436</v>
      </c>
      <c r="S1032" t="s">
        <v>2315</v>
      </c>
      <c r="V1032" t="s">
        <v>2316</v>
      </c>
      <c r="W1032" t="s">
        <v>2317</v>
      </c>
      <c r="AD1032" t="s">
        <v>2437</v>
      </c>
    </row>
    <row r="1033" spans="1:30" x14ac:dyDescent="0.25">
      <c r="A1033" t="s">
        <v>33</v>
      </c>
      <c r="D1033" t="s">
        <v>2309</v>
      </c>
      <c r="E1033" t="s">
        <v>2310</v>
      </c>
      <c r="F1033" t="s">
        <v>248</v>
      </c>
      <c r="G1033" t="s">
        <v>2433</v>
      </c>
      <c r="H1033" t="s">
        <v>38</v>
      </c>
      <c r="I1033" t="s">
        <v>257</v>
      </c>
      <c r="J1033" t="s">
        <v>40</v>
      </c>
      <c r="K1033" t="s">
        <v>41</v>
      </c>
      <c r="L1033" t="s">
        <v>2434</v>
      </c>
      <c r="M1033" t="s">
        <v>82</v>
      </c>
      <c r="N1033" t="s">
        <v>2435</v>
      </c>
      <c r="O1033" t="s">
        <v>258</v>
      </c>
      <c r="R1033" t="s">
        <v>2438</v>
      </c>
      <c r="S1033" t="s">
        <v>2315</v>
      </c>
      <c r="V1033" t="s">
        <v>2316</v>
      </c>
      <c r="W1033" t="s">
        <v>2317</v>
      </c>
      <c r="AD1033" t="s">
        <v>2439</v>
      </c>
    </row>
    <row r="1034" spans="1:30" x14ac:dyDescent="0.25">
      <c r="A1034" t="s">
        <v>33</v>
      </c>
      <c r="D1034" t="s">
        <v>2309</v>
      </c>
      <c r="E1034" t="s">
        <v>2310</v>
      </c>
      <c r="F1034" t="s">
        <v>248</v>
      </c>
      <c r="G1034" t="s">
        <v>2433</v>
      </c>
      <c r="H1034" t="s">
        <v>143</v>
      </c>
      <c r="I1034" t="s">
        <v>276</v>
      </c>
      <c r="J1034" t="s">
        <v>145</v>
      </c>
      <c r="K1034" t="s">
        <v>146</v>
      </c>
      <c r="L1034" t="s">
        <v>2434</v>
      </c>
      <c r="N1034" t="s">
        <v>2435</v>
      </c>
      <c r="O1034" t="s">
        <v>277</v>
      </c>
      <c r="R1034" t="s">
        <v>2440</v>
      </c>
      <c r="S1034" t="s">
        <v>2315</v>
      </c>
      <c r="V1034" t="s">
        <v>2316</v>
      </c>
      <c r="W1034" t="s">
        <v>2317</v>
      </c>
      <c r="X1034" t="s">
        <v>270</v>
      </c>
      <c r="AD1034" t="s">
        <v>2441</v>
      </c>
    </row>
    <row r="1035" spans="1:30" x14ac:dyDescent="0.25">
      <c r="A1035" t="s">
        <v>33</v>
      </c>
      <c r="D1035" t="s">
        <v>2309</v>
      </c>
      <c r="E1035" t="s">
        <v>2310</v>
      </c>
      <c r="F1035" t="s">
        <v>248</v>
      </c>
      <c r="G1035" t="s">
        <v>2433</v>
      </c>
      <c r="H1035" t="s">
        <v>143</v>
      </c>
      <c r="I1035" t="s">
        <v>272</v>
      </c>
      <c r="J1035" t="s">
        <v>145</v>
      </c>
      <c r="K1035" t="s">
        <v>146</v>
      </c>
      <c r="L1035" t="s">
        <v>2434</v>
      </c>
      <c r="N1035" t="s">
        <v>2435</v>
      </c>
      <c r="O1035" t="s">
        <v>273</v>
      </c>
      <c r="R1035" t="s">
        <v>2442</v>
      </c>
      <c r="S1035" t="s">
        <v>2315</v>
      </c>
      <c r="V1035" t="s">
        <v>2316</v>
      </c>
      <c r="W1035" t="s">
        <v>2317</v>
      </c>
      <c r="X1035" t="s">
        <v>270</v>
      </c>
      <c r="AD1035" t="s">
        <v>2443</v>
      </c>
    </row>
    <row r="1036" spans="1:30" x14ac:dyDescent="0.25">
      <c r="A1036" t="s">
        <v>33</v>
      </c>
      <c r="D1036" t="s">
        <v>2309</v>
      </c>
      <c r="E1036" t="s">
        <v>2310</v>
      </c>
      <c r="F1036" t="s">
        <v>248</v>
      </c>
      <c r="G1036" t="s">
        <v>2433</v>
      </c>
      <c r="H1036" t="s">
        <v>166</v>
      </c>
      <c r="I1036" t="s">
        <v>288</v>
      </c>
      <c r="J1036" t="s">
        <v>167</v>
      </c>
      <c r="K1036" t="s">
        <v>41</v>
      </c>
      <c r="L1036" t="s">
        <v>2434</v>
      </c>
      <c r="N1036" t="s">
        <v>2435</v>
      </c>
      <c r="O1036" t="s">
        <v>289</v>
      </c>
      <c r="Q1036" t="s">
        <v>285</v>
      </c>
      <c r="R1036" t="s">
        <v>2444</v>
      </c>
      <c r="S1036" t="s">
        <v>2315</v>
      </c>
      <c r="V1036" t="s">
        <v>2316</v>
      </c>
      <c r="W1036" t="s">
        <v>2317</v>
      </c>
      <c r="AD1036" t="s">
        <v>2445</v>
      </c>
    </row>
    <row r="1037" spans="1:30" x14ac:dyDescent="0.25">
      <c r="A1037" t="s">
        <v>33</v>
      </c>
      <c r="D1037" t="s">
        <v>2309</v>
      </c>
      <c r="E1037" t="s">
        <v>2310</v>
      </c>
      <c r="F1037" t="s">
        <v>248</v>
      </c>
      <c r="G1037" t="s">
        <v>2433</v>
      </c>
      <c r="H1037" t="s">
        <v>143</v>
      </c>
      <c r="I1037" t="s">
        <v>257</v>
      </c>
      <c r="J1037" t="s">
        <v>145</v>
      </c>
      <c r="K1037" t="s">
        <v>146</v>
      </c>
      <c r="L1037" t="s">
        <v>2434</v>
      </c>
      <c r="M1037" t="s">
        <v>82</v>
      </c>
      <c r="N1037" t="s">
        <v>2435</v>
      </c>
      <c r="O1037" t="s">
        <v>292</v>
      </c>
      <c r="R1037" t="s">
        <v>2446</v>
      </c>
      <c r="S1037" t="s">
        <v>2315</v>
      </c>
      <c r="V1037" t="s">
        <v>2316</v>
      </c>
      <c r="W1037" t="s">
        <v>2317</v>
      </c>
      <c r="AD1037" t="s">
        <v>2447</v>
      </c>
    </row>
    <row r="1038" spans="1:30" x14ac:dyDescent="0.25">
      <c r="A1038" t="s">
        <v>33</v>
      </c>
      <c r="D1038" t="s">
        <v>2309</v>
      </c>
      <c r="E1038" t="s">
        <v>2310</v>
      </c>
      <c r="F1038" t="s">
        <v>248</v>
      </c>
      <c r="G1038" t="s">
        <v>2433</v>
      </c>
      <c r="H1038" t="s">
        <v>143</v>
      </c>
      <c r="I1038" t="s">
        <v>295</v>
      </c>
      <c r="J1038" t="s">
        <v>145</v>
      </c>
      <c r="K1038" t="s">
        <v>146</v>
      </c>
      <c r="L1038" t="s">
        <v>2434</v>
      </c>
      <c r="M1038" t="s">
        <v>82</v>
      </c>
      <c r="N1038" t="s">
        <v>2435</v>
      </c>
      <c r="O1038" t="s">
        <v>296</v>
      </c>
      <c r="R1038" t="s">
        <v>2448</v>
      </c>
      <c r="S1038" t="s">
        <v>2315</v>
      </c>
      <c r="V1038" t="s">
        <v>2316</v>
      </c>
      <c r="W1038" t="s">
        <v>2317</v>
      </c>
      <c r="AD1038" t="s">
        <v>2449</v>
      </c>
    </row>
    <row r="1039" spans="1:30" x14ac:dyDescent="0.25">
      <c r="A1039" t="s">
        <v>33</v>
      </c>
      <c r="D1039" t="s">
        <v>2309</v>
      </c>
      <c r="E1039" t="s">
        <v>2310</v>
      </c>
      <c r="F1039" t="s">
        <v>248</v>
      </c>
      <c r="G1039" t="s">
        <v>2433</v>
      </c>
      <c r="H1039" t="s">
        <v>143</v>
      </c>
      <c r="I1039" t="s">
        <v>299</v>
      </c>
      <c r="J1039" t="s">
        <v>145</v>
      </c>
      <c r="K1039" t="s">
        <v>146</v>
      </c>
      <c r="L1039" t="s">
        <v>2434</v>
      </c>
      <c r="M1039" t="s">
        <v>82</v>
      </c>
      <c r="N1039" t="s">
        <v>2435</v>
      </c>
      <c r="O1039" t="s">
        <v>300</v>
      </c>
      <c r="R1039" t="s">
        <v>2450</v>
      </c>
      <c r="S1039" t="s">
        <v>2315</v>
      </c>
      <c r="V1039" t="s">
        <v>2316</v>
      </c>
      <c r="W1039" t="s">
        <v>2317</v>
      </c>
      <c r="AD1039" t="s">
        <v>2451</v>
      </c>
    </row>
    <row r="1040" spans="1:30" x14ac:dyDescent="0.25">
      <c r="A1040" t="s">
        <v>33</v>
      </c>
      <c r="D1040" t="s">
        <v>2309</v>
      </c>
      <c r="E1040" t="s">
        <v>2310</v>
      </c>
      <c r="F1040" t="s">
        <v>248</v>
      </c>
      <c r="G1040" t="s">
        <v>2433</v>
      </c>
      <c r="H1040" t="s">
        <v>38</v>
      </c>
      <c r="I1040" t="s">
        <v>250</v>
      </c>
      <c r="J1040" t="s">
        <v>40</v>
      </c>
      <c r="K1040" t="s">
        <v>41</v>
      </c>
      <c r="L1040" t="s">
        <v>2434</v>
      </c>
      <c r="M1040" t="s">
        <v>176</v>
      </c>
      <c r="N1040" t="s">
        <v>2435</v>
      </c>
      <c r="O1040" t="s">
        <v>254</v>
      </c>
      <c r="R1040" t="s">
        <v>2452</v>
      </c>
      <c r="S1040" t="s">
        <v>2315</v>
      </c>
      <c r="V1040" t="s">
        <v>2316</v>
      </c>
      <c r="W1040" t="s">
        <v>2317</v>
      </c>
      <c r="AD1040" t="s">
        <v>2453</v>
      </c>
    </row>
    <row r="1041" spans="1:30" x14ac:dyDescent="0.25">
      <c r="A1041" t="s">
        <v>33</v>
      </c>
      <c r="D1041" t="s">
        <v>2309</v>
      </c>
      <c r="E1041" t="s">
        <v>2310</v>
      </c>
      <c r="F1041" t="s">
        <v>248</v>
      </c>
      <c r="G1041" t="s">
        <v>2433</v>
      </c>
      <c r="H1041" t="s">
        <v>143</v>
      </c>
      <c r="I1041" t="s">
        <v>267</v>
      </c>
      <c r="J1041" t="s">
        <v>145</v>
      </c>
      <c r="K1041" t="s">
        <v>146</v>
      </c>
      <c r="L1041" t="s">
        <v>2434</v>
      </c>
      <c r="N1041" t="s">
        <v>2435</v>
      </c>
      <c r="O1041" t="s">
        <v>268</v>
      </c>
      <c r="R1041" t="s">
        <v>2454</v>
      </c>
      <c r="S1041" t="s">
        <v>2315</v>
      </c>
      <c r="V1041" t="s">
        <v>2316</v>
      </c>
      <c r="W1041" t="s">
        <v>2317</v>
      </c>
      <c r="X1041" t="s">
        <v>270</v>
      </c>
      <c r="AD1041" t="s">
        <v>2455</v>
      </c>
    </row>
    <row r="1042" spans="1:30" x14ac:dyDescent="0.25">
      <c r="A1042" t="s">
        <v>33</v>
      </c>
      <c r="D1042" t="s">
        <v>2309</v>
      </c>
      <c r="E1042" t="s">
        <v>2310</v>
      </c>
      <c r="F1042" t="s">
        <v>248</v>
      </c>
      <c r="G1042" t="s">
        <v>2433</v>
      </c>
      <c r="H1042" t="s">
        <v>143</v>
      </c>
      <c r="I1042" t="s">
        <v>261</v>
      </c>
      <c r="J1042" t="s">
        <v>145</v>
      </c>
      <c r="K1042" t="s">
        <v>146</v>
      </c>
      <c r="L1042" t="s">
        <v>2434</v>
      </c>
      <c r="M1042" t="s">
        <v>176</v>
      </c>
      <c r="N1042" t="s">
        <v>2435</v>
      </c>
      <c r="O1042" t="s">
        <v>263</v>
      </c>
      <c r="R1042" t="s">
        <v>2456</v>
      </c>
      <c r="S1042" t="s">
        <v>2315</v>
      </c>
      <c r="V1042" t="s">
        <v>2316</v>
      </c>
      <c r="W1042" t="s">
        <v>2317</v>
      </c>
      <c r="AD1042" t="s">
        <v>2457</v>
      </c>
    </row>
    <row r="1043" spans="1:30" x14ac:dyDescent="0.25">
      <c r="A1043" t="s">
        <v>33</v>
      </c>
      <c r="D1043" t="s">
        <v>2309</v>
      </c>
      <c r="E1043" t="s">
        <v>2310</v>
      </c>
      <c r="F1043" t="s">
        <v>87</v>
      </c>
      <c r="G1043" t="s">
        <v>2458</v>
      </c>
      <c r="H1043" t="s">
        <v>153</v>
      </c>
      <c r="I1043" t="s">
        <v>144</v>
      </c>
      <c r="J1043" t="s">
        <v>154</v>
      </c>
      <c r="K1043" t="s">
        <v>155</v>
      </c>
      <c r="L1043" t="s">
        <v>2459</v>
      </c>
      <c r="N1043" t="s">
        <v>177</v>
      </c>
      <c r="O1043" t="s">
        <v>156</v>
      </c>
      <c r="R1043" t="s">
        <v>2460</v>
      </c>
      <c r="S1043" t="s">
        <v>2315</v>
      </c>
      <c r="V1043" t="s">
        <v>2316</v>
      </c>
      <c r="W1043" t="s">
        <v>2317</v>
      </c>
      <c r="AD1043" t="s">
        <v>195</v>
      </c>
    </row>
    <row r="1044" spans="1:30" x14ac:dyDescent="0.25">
      <c r="A1044" t="s">
        <v>33</v>
      </c>
      <c r="D1044" t="s">
        <v>2309</v>
      </c>
      <c r="E1044" t="s">
        <v>2310</v>
      </c>
      <c r="F1044" t="s">
        <v>87</v>
      </c>
      <c r="G1044" t="s">
        <v>2458</v>
      </c>
      <c r="H1044" t="s">
        <v>143</v>
      </c>
      <c r="I1044" t="s">
        <v>144</v>
      </c>
      <c r="J1044" t="s">
        <v>145</v>
      </c>
      <c r="K1044" t="s">
        <v>146</v>
      </c>
      <c r="L1044" t="s">
        <v>2459</v>
      </c>
      <c r="M1044" t="s">
        <v>176</v>
      </c>
      <c r="N1044" t="s">
        <v>177</v>
      </c>
      <c r="O1044" t="s">
        <v>147</v>
      </c>
      <c r="R1044" t="s">
        <v>2461</v>
      </c>
      <c r="S1044" t="s">
        <v>2315</v>
      </c>
      <c r="V1044" t="s">
        <v>2316</v>
      </c>
      <c r="W1044" t="s">
        <v>2317</v>
      </c>
      <c r="AD1044" t="s">
        <v>191</v>
      </c>
    </row>
    <row r="1045" spans="1:30" x14ac:dyDescent="0.25">
      <c r="A1045" t="s">
        <v>33</v>
      </c>
      <c r="D1045" t="s">
        <v>2309</v>
      </c>
      <c r="E1045" t="s">
        <v>2310</v>
      </c>
      <c r="F1045" t="s">
        <v>87</v>
      </c>
      <c r="G1045" t="s">
        <v>2458</v>
      </c>
      <c r="H1045" t="s">
        <v>153</v>
      </c>
      <c r="I1045" t="s">
        <v>90</v>
      </c>
      <c r="J1045" t="s">
        <v>154</v>
      </c>
      <c r="K1045" t="s">
        <v>155</v>
      </c>
      <c r="L1045" t="s">
        <v>2459</v>
      </c>
      <c r="N1045" t="s">
        <v>177</v>
      </c>
      <c r="O1045" t="s">
        <v>386</v>
      </c>
      <c r="R1045" t="s">
        <v>2462</v>
      </c>
      <c r="S1045" t="s">
        <v>2315</v>
      </c>
      <c r="V1045" t="s">
        <v>2316</v>
      </c>
      <c r="W1045" t="s">
        <v>2317</v>
      </c>
      <c r="AD1045" t="s">
        <v>2463</v>
      </c>
    </row>
    <row r="1046" spans="1:30" x14ac:dyDescent="0.25">
      <c r="A1046" t="s">
        <v>33</v>
      </c>
      <c r="D1046" t="s">
        <v>2309</v>
      </c>
      <c r="E1046" t="s">
        <v>2310</v>
      </c>
      <c r="F1046" t="s">
        <v>87</v>
      </c>
      <c r="G1046" t="s">
        <v>2458</v>
      </c>
      <c r="H1046" t="s">
        <v>143</v>
      </c>
      <c r="I1046" t="s">
        <v>90</v>
      </c>
      <c r="J1046" t="s">
        <v>145</v>
      </c>
      <c r="K1046" t="s">
        <v>146</v>
      </c>
      <c r="L1046" t="s">
        <v>2459</v>
      </c>
      <c r="M1046" t="s">
        <v>176</v>
      </c>
      <c r="N1046" t="s">
        <v>177</v>
      </c>
      <c r="O1046" t="s">
        <v>380</v>
      </c>
      <c r="R1046" t="s">
        <v>2464</v>
      </c>
      <c r="S1046" t="s">
        <v>2315</v>
      </c>
      <c r="V1046" t="s">
        <v>2316</v>
      </c>
      <c r="W1046" t="s">
        <v>2317</v>
      </c>
      <c r="AD1046" t="s">
        <v>2465</v>
      </c>
    </row>
    <row r="1047" spans="1:30" x14ac:dyDescent="0.25">
      <c r="A1047" t="s">
        <v>33</v>
      </c>
      <c r="D1047" t="s">
        <v>2309</v>
      </c>
      <c r="E1047" t="s">
        <v>2310</v>
      </c>
      <c r="F1047" t="s">
        <v>87</v>
      </c>
      <c r="G1047" t="s">
        <v>2458</v>
      </c>
      <c r="H1047" t="s">
        <v>153</v>
      </c>
      <c r="I1047" t="s">
        <v>180</v>
      </c>
      <c r="J1047" t="s">
        <v>154</v>
      </c>
      <c r="K1047" t="s">
        <v>155</v>
      </c>
      <c r="L1047" t="s">
        <v>2459</v>
      </c>
      <c r="N1047" t="s">
        <v>177</v>
      </c>
      <c r="O1047" t="s">
        <v>187</v>
      </c>
      <c r="R1047" t="s">
        <v>2466</v>
      </c>
      <c r="S1047" t="s">
        <v>2315</v>
      </c>
      <c r="V1047" t="s">
        <v>2316</v>
      </c>
      <c r="W1047" t="s">
        <v>2317</v>
      </c>
      <c r="AD1047" t="s">
        <v>189</v>
      </c>
    </row>
    <row r="1048" spans="1:30" x14ac:dyDescent="0.25">
      <c r="A1048" t="s">
        <v>33</v>
      </c>
      <c r="D1048" t="s">
        <v>2309</v>
      </c>
      <c r="E1048" t="s">
        <v>2310</v>
      </c>
      <c r="F1048" t="s">
        <v>87</v>
      </c>
      <c r="G1048" t="s">
        <v>2458</v>
      </c>
      <c r="H1048" t="s">
        <v>143</v>
      </c>
      <c r="I1048" t="s">
        <v>180</v>
      </c>
      <c r="J1048" t="s">
        <v>145</v>
      </c>
      <c r="K1048" t="s">
        <v>146</v>
      </c>
      <c r="L1048" t="s">
        <v>2459</v>
      </c>
      <c r="M1048" t="s">
        <v>176</v>
      </c>
      <c r="N1048" t="s">
        <v>177</v>
      </c>
      <c r="O1048" t="s">
        <v>181</v>
      </c>
      <c r="R1048" t="s">
        <v>2467</v>
      </c>
      <c r="S1048" t="s">
        <v>2315</v>
      </c>
      <c r="V1048" t="s">
        <v>2316</v>
      </c>
      <c r="W1048" t="s">
        <v>2317</v>
      </c>
      <c r="AD1048" t="s">
        <v>183</v>
      </c>
    </row>
    <row r="1049" spans="1:30" x14ac:dyDescent="0.25">
      <c r="A1049" t="s">
        <v>33</v>
      </c>
      <c r="D1049" t="s">
        <v>2309</v>
      </c>
      <c r="E1049" t="s">
        <v>2310</v>
      </c>
      <c r="F1049" t="s">
        <v>87</v>
      </c>
      <c r="G1049" t="s">
        <v>2458</v>
      </c>
      <c r="H1049" t="s">
        <v>153</v>
      </c>
      <c r="I1049" t="s">
        <v>100</v>
      </c>
      <c r="J1049" t="s">
        <v>154</v>
      </c>
      <c r="K1049" t="s">
        <v>155</v>
      </c>
      <c r="L1049" t="s">
        <v>2459</v>
      </c>
      <c r="N1049" t="s">
        <v>177</v>
      </c>
      <c r="O1049" t="s">
        <v>448</v>
      </c>
      <c r="R1049" t="s">
        <v>2468</v>
      </c>
      <c r="S1049" t="s">
        <v>2315</v>
      </c>
      <c r="V1049" t="s">
        <v>2316</v>
      </c>
      <c r="W1049" t="s">
        <v>2317</v>
      </c>
      <c r="AD1049" t="s">
        <v>2469</v>
      </c>
    </row>
    <row r="1050" spans="1:30" x14ac:dyDescent="0.25">
      <c r="A1050" t="s">
        <v>33</v>
      </c>
      <c r="D1050" t="s">
        <v>2309</v>
      </c>
      <c r="E1050" t="s">
        <v>2310</v>
      </c>
      <c r="F1050" t="s">
        <v>87</v>
      </c>
      <c r="G1050" t="s">
        <v>2458</v>
      </c>
      <c r="H1050" t="s">
        <v>143</v>
      </c>
      <c r="I1050" t="s">
        <v>100</v>
      </c>
      <c r="J1050" t="s">
        <v>145</v>
      </c>
      <c r="K1050" t="s">
        <v>146</v>
      </c>
      <c r="L1050" t="s">
        <v>2459</v>
      </c>
      <c r="M1050" t="s">
        <v>176</v>
      </c>
      <c r="N1050" t="s">
        <v>177</v>
      </c>
      <c r="O1050" t="s">
        <v>442</v>
      </c>
      <c r="R1050" t="s">
        <v>2470</v>
      </c>
      <c r="S1050" t="s">
        <v>2315</v>
      </c>
      <c r="V1050" t="s">
        <v>2316</v>
      </c>
      <c r="W1050" t="s">
        <v>2317</v>
      </c>
      <c r="AD1050" t="s">
        <v>2471</v>
      </c>
    </row>
    <row r="1051" spans="1:30" x14ac:dyDescent="0.25">
      <c r="A1051" t="s">
        <v>33</v>
      </c>
      <c r="D1051" t="s">
        <v>2309</v>
      </c>
      <c r="E1051" t="s">
        <v>2310</v>
      </c>
      <c r="F1051" t="s">
        <v>87</v>
      </c>
      <c r="G1051" t="s">
        <v>2458</v>
      </c>
      <c r="H1051" t="s">
        <v>38</v>
      </c>
      <c r="I1051" t="s">
        <v>106</v>
      </c>
      <c r="J1051" t="s">
        <v>40</v>
      </c>
      <c r="K1051" t="s">
        <v>41</v>
      </c>
      <c r="L1051" t="s">
        <v>2459</v>
      </c>
      <c r="M1051" t="s">
        <v>176</v>
      </c>
      <c r="N1051" t="s">
        <v>177</v>
      </c>
      <c r="O1051" t="s">
        <v>109</v>
      </c>
      <c r="R1051" t="s">
        <v>2472</v>
      </c>
      <c r="S1051" t="s">
        <v>2315</v>
      </c>
      <c r="V1051" t="s">
        <v>2316</v>
      </c>
      <c r="W1051" t="s">
        <v>2317</v>
      </c>
      <c r="AD1051" t="s">
        <v>179</v>
      </c>
    </row>
    <row r="1052" spans="1:30" x14ac:dyDescent="0.25">
      <c r="A1052" t="s">
        <v>33</v>
      </c>
      <c r="D1052" t="s">
        <v>2309</v>
      </c>
      <c r="E1052" t="s">
        <v>2310</v>
      </c>
      <c r="F1052" t="s">
        <v>87</v>
      </c>
      <c r="G1052" t="s">
        <v>2458</v>
      </c>
      <c r="H1052" t="s">
        <v>38</v>
      </c>
      <c r="I1052" t="s">
        <v>25</v>
      </c>
      <c r="J1052" t="s">
        <v>69</v>
      </c>
      <c r="K1052" t="s">
        <v>41</v>
      </c>
      <c r="L1052" t="s">
        <v>2459</v>
      </c>
      <c r="M1052" t="s">
        <v>176</v>
      </c>
      <c r="N1052" t="s">
        <v>177</v>
      </c>
      <c r="O1052" t="s">
        <v>512</v>
      </c>
      <c r="R1052" t="s">
        <v>2473</v>
      </c>
      <c r="S1052" t="s">
        <v>2315</v>
      </c>
      <c r="V1052" t="s">
        <v>2316</v>
      </c>
      <c r="W1052" t="s">
        <v>2317</v>
      </c>
      <c r="AD1052" t="s">
        <v>530</v>
      </c>
    </row>
    <row r="1053" spans="1:30" x14ac:dyDescent="0.25">
      <c r="A1053" t="s">
        <v>33</v>
      </c>
      <c r="D1053" t="s">
        <v>2309</v>
      </c>
      <c r="E1053" t="s">
        <v>2310</v>
      </c>
      <c r="F1053" t="s">
        <v>87</v>
      </c>
      <c r="G1053" t="s">
        <v>2458</v>
      </c>
      <c r="H1053" t="s">
        <v>38</v>
      </c>
      <c r="I1053" t="s">
        <v>24</v>
      </c>
      <c r="J1053" t="s">
        <v>69</v>
      </c>
      <c r="K1053" t="s">
        <v>41</v>
      </c>
      <c r="L1053" t="s">
        <v>2459</v>
      </c>
      <c r="M1053" t="s">
        <v>176</v>
      </c>
      <c r="N1053" t="s">
        <v>177</v>
      </c>
      <c r="O1053" t="s">
        <v>509</v>
      </c>
      <c r="R1053" t="s">
        <v>2474</v>
      </c>
      <c r="S1053" t="s">
        <v>2315</v>
      </c>
      <c r="V1053" t="s">
        <v>2316</v>
      </c>
      <c r="W1053" t="s">
        <v>2317</v>
      </c>
      <c r="AD1053" t="s">
        <v>528</v>
      </c>
    </row>
    <row r="1054" spans="1:30" x14ac:dyDescent="0.25">
      <c r="A1054" t="s">
        <v>33</v>
      </c>
      <c r="D1054" t="s">
        <v>2309</v>
      </c>
      <c r="E1054" t="s">
        <v>2310</v>
      </c>
      <c r="F1054" t="s">
        <v>87</v>
      </c>
      <c r="G1054" t="s">
        <v>2475</v>
      </c>
      <c r="H1054" t="s">
        <v>153</v>
      </c>
      <c r="I1054" t="s">
        <v>90</v>
      </c>
      <c r="J1054" t="s">
        <v>154</v>
      </c>
      <c r="K1054" t="s">
        <v>155</v>
      </c>
      <c r="L1054" t="s">
        <v>2476</v>
      </c>
      <c r="N1054" t="s">
        <v>95</v>
      </c>
      <c r="O1054" t="s">
        <v>213</v>
      </c>
      <c r="R1054" t="s">
        <v>2477</v>
      </c>
      <c r="S1054" t="s">
        <v>2315</v>
      </c>
      <c r="V1054" t="s">
        <v>2316</v>
      </c>
      <c r="W1054" t="s">
        <v>2317</v>
      </c>
      <c r="AD1054" t="s">
        <v>215</v>
      </c>
    </row>
    <row r="1055" spans="1:30" x14ac:dyDescent="0.25">
      <c r="A1055" t="s">
        <v>33</v>
      </c>
      <c r="D1055" t="s">
        <v>2309</v>
      </c>
      <c r="E1055" t="s">
        <v>2310</v>
      </c>
      <c r="F1055" t="s">
        <v>87</v>
      </c>
      <c r="G1055" t="s">
        <v>2475</v>
      </c>
      <c r="H1055" t="s">
        <v>89</v>
      </c>
      <c r="I1055" t="s">
        <v>90</v>
      </c>
      <c r="J1055" t="s">
        <v>91</v>
      </c>
      <c r="K1055" t="s">
        <v>92</v>
      </c>
      <c r="L1055" t="s">
        <v>2476</v>
      </c>
      <c r="M1055" t="s">
        <v>94</v>
      </c>
      <c r="N1055" t="s">
        <v>95</v>
      </c>
      <c r="O1055" t="s">
        <v>96</v>
      </c>
      <c r="P1055" t="s">
        <v>2386</v>
      </c>
      <c r="R1055" t="s">
        <v>2478</v>
      </c>
      <c r="S1055" t="s">
        <v>2315</v>
      </c>
      <c r="V1055" t="s">
        <v>2316</v>
      </c>
      <c r="W1055" t="s">
        <v>2317</v>
      </c>
      <c r="AD1055" t="s">
        <v>98</v>
      </c>
    </row>
    <row r="1056" spans="1:30" x14ac:dyDescent="0.25">
      <c r="A1056" t="s">
        <v>33</v>
      </c>
      <c r="D1056" t="s">
        <v>2309</v>
      </c>
      <c r="E1056" t="s">
        <v>2310</v>
      </c>
      <c r="F1056" t="s">
        <v>87</v>
      </c>
      <c r="G1056" t="s">
        <v>2475</v>
      </c>
      <c r="H1056" t="s">
        <v>166</v>
      </c>
      <c r="I1056" t="s">
        <v>216</v>
      </c>
      <c r="J1056" t="s">
        <v>167</v>
      </c>
      <c r="K1056" t="s">
        <v>41</v>
      </c>
      <c r="L1056" t="s">
        <v>2476</v>
      </c>
      <c r="N1056" t="s">
        <v>95</v>
      </c>
      <c r="O1056" t="s">
        <v>217</v>
      </c>
      <c r="Q1056" t="s">
        <v>1199</v>
      </c>
      <c r="R1056" t="s">
        <v>2479</v>
      </c>
      <c r="S1056" t="s">
        <v>2315</v>
      </c>
      <c r="V1056" t="s">
        <v>2316</v>
      </c>
      <c r="W1056" t="s">
        <v>2317</v>
      </c>
      <c r="AD1056" t="s">
        <v>220</v>
      </c>
    </row>
    <row r="1057" spans="1:30" x14ac:dyDescent="0.25">
      <c r="A1057" t="s">
        <v>33</v>
      </c>
      <c r="D1057" t="s">
        <v>2309</v>
      </c>
      <c r="E1057" t="s">
        <v>2310</v>
      </c>
      <c r="F1057" t="s">
        <v>87</v>
      </c>
      <c r="G1057" t="s">
        <v>2480</v>
      </c>
      <c r="H1057" t="s">
        <v>153</v>
      </c>
      <c r="I1057" t="s">
        <v>90</v>
      </c>
      <c r="J1057" t="s">
        <v>154</v>
      </c>
      <c r="K1057" t="s">
        <v>155</v>
      </c>
      <c r="L1057" t="s">
        <v>2481</v>
      </c>
      <c r="N1057" t="s">
        <v>2482</v>
      </c>
      <c r="O1057" t="s">
        <v>213</v>
      </c>
      <c r="R1057" t="s">
        <v>2483</v>
      </c>
      <c r="S1057" t="s">
        <v>2315</v>
      </c>
      <c r="V1057" t="s">
        <v>2316</v>
      </c>
      <c r="W1057" t="s">
        <v>2317</v>
      </c>
      <c r="AD1057" t="s">
        <v>2484</v>
      </c>
    </row>
    <row r="1058" spans="1:30" x14ac:dyDescent="0.25">
      <c r="A1058" t="s">
        <v>33</v>
      </c>
      <c r="D1058" t="s">
        <v>2309</v>
      </c>
      <c r="E1058" t="s">
        <v>2310</v>
      </c>
      <c r="F1058" t="s">
        <v>87</v>
      </c>
      <c r="G1058" t="s">
        <v>2480</v>
      </c>
      <c r="H1058" t="s">
        <v>89</v>
      </c>
      <c r="I1058" t="s">
        <v>90</v>
      </c>
      <c r="J1058" t="s">
        <v>91</v>
      </c>
      <c r="K1058" t="s">
        <v>92</v>
      </c>
      <c r="L1058" t="s">
        <v>2481</v>
      </c>
      <c r="M1058" t="s">
        <v>94</v>
      </c>
      <c r="N1058" t="s">
        <v>2482</v>
      </c>
      <c r="O1058" t="s">
        <v>96</v>
      </c>
      <c r="P1058" t="s">
        <v>2386</v>
      </c>
      <c r="R1058" t="s">
        <v>2485</v>
      </c>
      <c r="S1058" t="s">
        <v>2315</v>
      </c>
      <c r="V1058" t="s">
        <v>2316</v>
      </c>
      <c r="W1058" t="s">
        <v>2317</v>
      </c>
      <c r="AD1058" t="s">
        <v>2486</v>
      </c>
    </row>
    <row r="1059" spans="1:30" x14ac:dyDescent="0.25">
      <c r="A1059" t="s">
        <v>33</v>
      </c>
      <c r="D1059" t="s">
        <v>2309</v>
      </c>
      <c r="E1059" t="s">
        <v>2310</v>
      </c>
      <c r="F1059" t="s">
        <v>87</v>
      </c>
      <c r="G1059" t="s">
        <v>2480</v>
      </c>
      <c r="H1059" t="s">
        <v>166</v>
      </c>
      <c r="I1059" t="s">
        <v>216</v>
      </c>
      <c r="J1059" t="s">
        <v>167</v>
      </c>
      <c r="K1059" t="s">
        <v>41</v>
      </c>
      <c r="L1059" t="s">
        <v>2481</v>
      </c>
      <c r="N1059" t="s">
        <v>2482</v>
      </c>
      <c r="O1059" t="s">
        <v>217</v>
      </c>
      <c r="Q1059" t="s">
        <v>1199</v>
      </c>
      <c r="R1059" t="s">
        <v>2487</v>
      </c>
      <c r="S1059" t="s">
        <v>2315</v>
      </c>
      <c r="V1059" t="s">
        <v>2316</v>
      </c>
      <c r="W1059" t="s">
        <v>2317</v>
      </c>
      <c r="AD1059" t="s">
        <v>2488</v>
      </c>
    </row>
    <row r="1060" spans="1:30" x14ac:dyDescent="0.25">
      <c r="A1060" t="s">
        <v>33</v>
      </c>
      <c r="D1060" t="s">
        <v>2309</v>
      </c>
      <c r="E1060" t="s">
        <v>2310</v>
      </c>
      <c r="F1060" t="s">
        <v>87</v>
      </c>
      <c r="G1060" t="s">
        <v>2489</v>
      </c>
      <c r="H1060" t="s">
        <v>166</v>
      </c>
      <c r="I1060" t="s">
        <v>216</v>
      </c>
      <c r="J1060" t="s">
        <v>167</v>
      </c>
      <c r="K1060" t="s">
        <v>41</v>
      </c>
      <c r="L1060" t="s">
        <v>2490</v>
      </c>
      <c r="N1060" t="s">
        <v>1188</v>
      </c>
      <c r="O1060" t="s">
        <v>217</v>
      </c>
      <c r="Q1060" t="s">
        <v>1199</v>
      </c>
      <c r="R1060" t="s">
        <v>2491</v>
      </c>
      <c r="S1060" t="s">
        <v>2315</v>
      </c>
      <c r="V1060" t="s">
        <v>2316</v>
      </c>
      <c r="W1060" t="s">
        <v>2317</v>
      </c>
      <c r="AD1060" t="s">
        <v>2492</v>
      </c>
    </row>
    <row r="1061" spans="1:30" x14ac:dyDescent="0.25">
      <c r="A1061" t="s">
        <v>33</v>
      </c>
      <c r="D1061" t="s">
        <v>2309</v>
      </c>
      <c r="E1061" t="s">
        <v>2310</v>
      </c>
      <c r="F1061" t="s">
        <v>87</v>
      </c>
      <c r="G1061" t="s">
        <v>2493</v>
      </c>
      <c r="H1061" t="s">
        <v>153</v>
      </c>
      <c r="I1061" t="s">
        <v>144</v>
      </c>
      <c r="J1061" t="s">
        <v>154</v>
      </c>
      <c r="K1061" t="s">
        <v>155</v>
      </c>
      <c r="L1061" t="s">
        <v>2494</v>
      </c>
      <c r="N1061" t="s">
        <v>2136</v>
      </c>
      <c r="O1061" t="s">
        <v>213</v>
      </c>
      <c r="R1061" t="s">
        <v>2495</v>
      </c>
      <c r="S1061" t="s">
        <v>2315</v>
      </c>
      <c r="V1061" t="s">
        <v>2316</v>
      </c>
      <c r="W1061" t="s">
        <v>2317</v>
      </c>
      <c r="AD1061" t="s">
        <v>2138</v>
      </c>
    </row>
    <row r="1062" spans="1:30" x14ac:dyDescent="0.25">
      <c r="A1062" t="s">
        <v>33</v>
      </c>
      <c r="D1062" t="s">
        <v>2309</v>
      </c>
      <c r="E1062" t="s">
        <v>2310</v>
      </c>
      <c r="F1062" t="s">
        <v>87</v>
      </c>
      <c r="G1062" t="s">
        <v>2493</v>
      </c>
      <c r="H1062" t="s">
        <v>166</v>
      </c>
      <c r="I1062" t="s">
        <v>216</v>
      </c>
      <c r="J1062" t="s">
        <v>167</v>
      </c>
      <c r="K1062" t="s">
        <v>41</v>
      </c>
      <c r="L1062" t="s">
        <v>2494</v>
      </c>
      <c r="N1062" t="s">
        <v>2136</v>
      </c>
      <c r="O1062" t="s">
        <v>217</v>
      </c>
      <c r="Q1062" t="s">
        <v>1199</v>
      </c>
      <c r="R1062" t="s">
        <v>2496</v>
      </c>
      <c r="S1062" t="s">
        <v>2315</v>
      </c>
      <c r="V1062" t="s">
        <v>2316</v>
      </c>
      <c r="W1062" t="s">
        <v>2317</v>
      </c>
      <c r="AD1062" t="s">
        <v>2207</v>
      </c>
    </row>
    <row r="1063" spans="1:30" x14ac:dyDescent="0.25">
      <c r="A1063" t="s">
        <v>33</v>
      </c>
      <c r="D1063" t="s">
        <v>2309</v>
      </c>
      <c r="E1063" t="s">
        <v>2310</v>
      </c>
      <c r="F1063" t="s">
        <v>87</v>
      </c>
      <c r="G1063" t="s">
        <v>2497</v>
      </c>
      <c r="H1063" t="s">
        <v>166</v>
      </c>
      <c r="I1063" t="s">
        <v>216</v>
      </c>
      <c r="J1063" t="s">
        <v>167</v>
      </c>
      <c r="K1063" t="s">
        <v>41</v>
      </c>
      <c r="L1063" t="s">
        <v>2498</v>
      </c>
      <c r="N1063" t="s">
        <v>2499</v>
      </c>
      <c r="O1063" t="s">
        <v>217</v>
      </c>
      <c r="Q1063" t="s">
        <v>1199</v>
      </c>
      <c r="R1063" t="s">
        <v>2500</v>
      </c>
      <c r="S1063" t="s">
        <v>2315</v>
      </c>
      <c r="V1063" t="s">
        <v>2316</v>
      </c>
      <c r="W1063" t="s">
        <v>2317</v>
      </c>
      <c r="AD1063" t="s">
        <v>2501</v>
      </c>
    </row>
    <row r="1064" spans="1:30" x14ac:dyDescent="0.25">
      <c r="A1064" t="s">
        <v>33</v>
      </c>
      <c r="D1064" t="s">
        <v>2309</v>
      </c>
      <c r="E1064" t="s">
        <v>2310</v>
      </c>
      <c r="F1064" t="s">
        <v>87</v>
      </c>
      <c r="G1064" t="s">
        <v>2502</v>
      </c>
      <c r="H1064" t="s">
        <v>153</v>
      </c>
      <c r="I1064" t="s">
        <v>100</v>
      </c>
      <c r="J1064" t="s">
        <v>154</v>
      </c>
      <c r="K1064" t="s">
        <v>155</v>
      </c>
      <c r="L1064" t="s">
        <v>2503</v>
      </c>
      <c r="N1064" t="s">
        <v>1240</v>
      </c>
      <c r="O1064" t="s">
        <v>213</v>
      </c>
      <c r="R1064" t="s">
        <v>2504</v>
      </c>
      <c r="S1064" t="s">
        <v>2315</v>
      </c>
      <c r="V1064" t="s">
        <v>2316</v>
      </c>
      <c r="W1064" t="s">
        <v>2317</v>
      </c>
      <c r="AD1064" t="s">
        <v>1711</v>
      </c>
    </row>
    <row r="1065" spans="1:30" x14ac:dyDescent="0.25">
      <c r="A1065" t="s">
        <v>33</v>
      </c>
      <c r="D1065" t="s">
        <v>2309</v>
      </c>
      <c r="E1065" t="s">
        <v>2310</v>
      </c>
      <c r="F1065" t="s">
        <v>87</v>
      </c>
      <c r="G1065" t="s">
        <v>2502</v>
      </c>
      <c r="H1065" t="s">
        <v>89</v>
      </c>
      <c r="I1065" t="s">
        <v>100</v>
      </c>
      <c r="J1065" t="s">
        <v>91</v>
      </c>
      <c r="K1065" t="s">
        <v>92</v>
      </c>
      <c r="L1065" t="s">
        <v>2503</v>
      </c>
      <c r="M1065" t="s">
        <v>94</v>
      </c>
      <c r="N1065" t="s">
        <v>1240</v>
      </c>
      <c r="O1065" t="s">
        <v>96</v>
      </c>
      <c r="P1065" t="s">
        <v>2386</v>
      </c>
      <c r="R1065" t="s">
        <v>2505</v>
      </c>
      <c r="S1065" t="s">
        <v>2315</v>
      </c>
      <c r="V1065" t="s">
        <v>2316</v>
      </c>
      <c r="W1065" t="s">
        <v>2317</v>
      </c>
      <c r="AD1065" t="s">
        <v>1242</v>
      </c>
    </row>
    <row r="1066" spans="1:30" x14ac:dyDescent="0.25">
      <c r="A1066" t="s">
        <v>33</v>
      </c>
      <c r="D1066" t="s">
        <v>2309</v>
      </c>
      <c r="E1066" t="s">
        <v>2310</v>
      </c>
      <c r="F1066" t="s">
        <v>87</v>
      </c>
      <c r="G1066" t="s">
        <v>2502</v>
      </c>
      <c r="H1066" t="s">
        <v>166</v>
      </c>
      <c r="I1066" t="s">
        <v>216</v>
      </c>
      <c r="J1066" t="s">
        <v>167</v>
      </c>
      <c r="K1066" t="s">
        <v>41</v>
      </c>
      <c r="L1066" t="s">
        <v>2503</v>
      </c>
      <c r="N1066" t="s">
        <v>1240</v>
      </c>
      <c r="O1066" t="s">
        <v>217</v>
      </c>
      <c r="Q1066" t="s">
        <v>1227</v>
      </c>
      <c r="R1066" t="s">
        <v>2506</v>
      </c>
      <c r="S1066" t="s">
        <v>2315</v>
      </c>
      <c r="V1066" t="s">
        <v>2316</v>
      </c>
      <c r="W1066" t="s">
        <v>2317</v>
      </c>
      <c r="AD1066" t="s">
        <v>2507</v>
      </c>
    </row>
    <row r="1067" spans="1:30" x14ac:dyDescent="0.25">
      <c r="A1067" t="s">
        <v>33</v>
      </c>
      <c r="D1067" t="s">
        <v>2309</v>
      </c>
      <c r="E1067" t="s">
        <v>2310</v>
      </c>
      <c r="F1067" t="s">
        <v>87</v>
      </c>
      <c r="G1067" t="s">
        <v>2508</v>
      </c>
      <c r="H1067" t="s">
        <v>153</v>
      </c>
      <c r="I1067" t="s">
        <v>100</v>
      </c>
      <c r="J1067" t="s">
        <v>154</v>
      </c>
      <c r="K1067" t="s">
        <v>155</v>
      </c>
      <c r="L1067" t="s">
        <v>2509</v>
      </c>
      <c r="N1067" t="s">
        <v>2510</v>
      </c>
      <c r="O1067" t="s">
        <v>213</v>
      </c>
      <c r="R1067" t="s">
        <v>2511</v>
      </c>
      <c r="S1067" t="s">
        <v>2315</v>
      </c>
      <c r="V1067" t="s">
        <v>2316</v>
      </c>
      <c r="W1067" t="s">
        <v>2317</v>
      </c>
      <c r="AD1067" t="s">
        <v>2512</v>
      </c>
    </row>
    <row r="1068" spans="1:30" x14ac:dyDescent="0.25">
      <c r="A1068" t="s">
        <v>33</v>
      </c>
      <c r="D1068" t="s">
        <v>2309</v>
      </c>
      <c r="E1068" t="s">
        <v>2310</v>
      </c>
      <c r="F1068" t="s">
        <v>87</v>
      </c>
      <c r="G1068" t="s">
        <v>2508</v>
      </c>
      <c r="H1068" t="s">
        <v>89</v>
      </c>
      <c r="I1068" t="s">
        <v>100</v>
      </c>
      <c r="J1068" t="s">
        <v>91</v>
      </c>
      <c r="K1068" t="s">
        <v>92</v>
      </c>
      <c r="L1068" t="s">
        <v>2509</v>
      </c>
      <c r="M1068" t="s">
        <v>94</v>
      </c>
      <c r="N1068" t="s">
        <v>2510</v>
      </c>
      <c r="O1068" t="s">
        <v>96</v>
      </c>
      <c r="P1068" t="s">
        <v>2386</v>
      </c>
      <c r="R1068" t="s">
        <v>2513</v>
      </c>
      <c r="S1068" t="s">
        <v>2315</v>
      </c>
      <c r="V1068" t="s">
        <v>2316</v>
      </c>
      <c r="W1068" t="s">
        <v>2317</v>
      </c>
      <c r="AD1068" t="s">
        <v>2514</v>
      </c>
    </row>
    <row r="1069" spans="1:30" x14ac:dyDescent="0.25">
      <c r="A1069" t="s">
        <v>33</v>
      </c>
      <c r="D1069" t="s">
        <v>2309</v>
      </c>
      <c r="E1069" t="s">
        <v>2310</v>
      </c>
      <c r="F1069" t="s">
        <v>87</v>
      </c>
      <c r="G1069" t="s">
        <v>2508</v>
      </c>
      <c r="H1069" t="s">
        <v>166</v>
      </c>
      <c r="I1069" t="s">
        <v>216</v>
      </c>
      <c r="J1069" t="s">
        <v>167</v>
      </c>
      <c r="K1069" t="s">
        <v>41</v>
      </c>
      <c r="L1069" t="s">
        <v>2509</v>
      </c>
      <c r="N1069" t="s">
        <v>2510</v>
      </c>
      <c r="O1069" t="s">
        <v>217</v>
      </c>
      <c r="Q1069" t="s">
        <v>1227</v>
      </c>
      <c r="R1069" t="s">
        <v>2515</v>
      </c>
      <c r="S1069" t="s">
        <v>2315</v>
      </c>
      <c r="V1069" t="s">
        <v>2316</v>
      </c>
      <c r="W1069" t="s">
        <v>2317</v>
      </c>
      <c r="AD1069" t="s">
        <v>2516</v>
      </c>
    </row>
    <row r="1070" spans="1:30" x14ac:dyDescent="0.25">
      <c r="A1070" t="s">
        <v>33</v>
      </c>
      <c r="D1070" t="s">
        <v>2309</v>
      </c>
      <c r="E1070" t="s">
        <v>2310</v>
      </c>
      <c r="F1070" t="s">
        <v>87</v>
      </c>
      <c r="G1070" t="s">
        <v>2517</v>
      </c>
      <c r="H1070" t="s">
        <v>166</v>
      </c>
      <c r="I1070" t="s">
        <v>216</v>
      </c>
      <c r="J1070" t="s">
        <v>167</v>
      </c>
      <c r="K1070" t="s">
        <v>41</v>
      </c>
      <c r="L1070" t="s">
        <v>2518</v>
      </c>
      <c r="N1070" t="s">
        <v>2519</v>
      </c>
      <c r="O1070" t="s">
        <v>217</v>
      </c>
      <c r="Q1070" t="s">
        <v>1227</v>
      </c>
      <c r="R1070" t="s">
        <v>2520</v>
      </c>
      <c r="S1070" t="s">
        <v>2315</v>
      </c>
      <c r="V1070" t="s">
        <v>2316</v>
      </c>
      <c r="W1070" t="s">
        <v>2317</v>
      </c>
      <c r="AD1070" t="s">
        <v>2521</v>
      </c>
    </row>
    <row r="1071" spans="1:30" x14ac:dyDescent="0.25">
      <c r="A1071" t="s">
        <v>33</v>
      </c>
      <c r="D1071" t="s">
        <v>2309</v>
      </c>
      <c r="E1071" t="s">
        <v>2310</v>
      </c>
      <c r="F1071" t="s">
        <v>87</v>
      </c>
      <c r="G1071" t="s">
        <v>2522</v>
      </c>
      <c r="H1071" t="s">
        <v>153</v>
      </c>
      <c r="I1071" t="s">
        <v>180</v>
      </c>
      <c r="J1071" t="s">
        <v>154</v>
      </c>
      <c r="K1071" t="s">
        <v>155</v>
      </c>
      <c r="L1071" t="s">
        <v>2523</v>
      </c>
      <c r="N1071" t="s">
        <v>2524</v>
      </c>
      <c r="O1071" t="s">
        <v>213</v>
      </c>
      <c r="R1071" t="s">
        <v>2525</v>
      </c>
      <c r="S1071" t="s">
        <v>2315</v>
      </c>
      <c r="V1071" t="s">
        <v>2316</v>
      </c>
      <c r="W1071" t="s">
        <v>2317</v>
      </c>
      <c r="AD1071" t="s">
        <v>2526</v>
      </c>
    </row>
    <row r="1072" spans="1:30" x14ac:dyDescent="0.25">
      <c r="A1072" t="s">
        <v>33</v>
      </c>
      <c r="D1072" t="s">
        <v>2309</v>
      </c>
      <c r="E1072" t="s">
        <v>2310</v>
      </c>
      <c r="F1072" t="s">
        <v>87</v>
      </c>
      <c r="G1072" t="s">
        <v>2522</v>
      </c>
      <c r="H1072" t="s">
        <v>166</v>
      </c>
      <c r="I1072" t="s">
        <v>216</v>
      </c>
      <c r="J1072" t="s">
        <v>167</v>
      </c>
      <c r="K1072" t="s">
        <v>41</v>
      </c>
      <c r="L1072" t="s">
        <v>2523</v>
      </c>
      <c r="N1072" t="s">
        <v>2524</v>
      </c>
      <c r="O1072" t="s">
        <v>217</v>
      </c>
      <c r="Q1072" t="s">
        <v>1227</v>
      </c>
      <c r="R1072" t="s">
        <v>2527</v>
      </c>
      <c r="S1072" t="s">
        <v>2315</v>
      </c>
      <c r="V1072" t="s">
        <v>2316</v>
      </c>
      <c r="W1072" t="s">
        <v>2317</v>
      </c>
      <c r="AD1072" t="s">
        <v>2528</v>
      </c>
    </row>
    <row r="1073" spans="1:30" x14ac:dyDescent="0.25">
      <c r="A1073" t="s">
        <v>33</v>
      </c>
      <c r="D1073" t="s">
        <v>2309</v>
      </c>
      <c r="E1073" t="s">
        <v>2310</v>
      </c>
      <c r="F1073" t="s">
        <v>87</v>
      </c>
      <c r="G1073" t="s">
        <v>2529</v>
      </c>
      <c r="H1073" t="s">
        <v>166</v>
      </c>
      <c r="I1073" t="s">
        <v>216</v>
      </c>
      <c r="J1073" t="s">
        <v>167</v>
      </c>
      <c r="K1073" t="s">
        <v>41</v>
      </c>
      <c r="L1073" t="s">
        <v>2530</v>
      </c>
      <c r="N1073" t="s">
        <v>2531</v>
      </c>
      <c r="O1073" t="s">
        <v>217</v>
      </c>
      <c r="Q1073" t="s">
        <v>1227</v>
      </c>
      <c r="R1073" t="s">
        <v>2532</v>
      </c>
      <c r="S1073" t="s">
        <v>2315</v>
      </c>
      <c r="V1073" t="s">
        <v>2316</v>
      </c>
      <c r="W1073" t="s">
        <v>2317</v>
      </c>
      <c r="AD1073" t="s">
        <v>2533</v>
      </c>
    </row>
    <row r="1074" spans="1:30" x14ac:dyDescent="0.25">
      <c r="A1074" t="s">
        <v>33</v>
      </c>
      <c r="B1074" t="s">
        <v>2319</v>
      </c>
      <c r="D1074" t="s">
        <v>2309</v>
      </c>
      <c r="E1074" t="s">
        <v>2310</v>
      </c>
      <c r="F1074" t="s">
        <v>866</v>
      </c>
      <c r="G1074" t="s">
        <v>2534</v>
      </c>
      <c r="H1074" t="s">
        <v>166</v>
      </c>
      <c r="I1074" t="s">
        <v>281</v>
      </c>
      <c r="J1074" t="s">
        <v>167</v>
      </c>
      <c r="K1074" t="s">
        <v>41</v>
      </c>
      <c r="L1074" t="s">
        <v>2535</v>
      </c>
      <c r="N1074" t="s">
        <v>971</v>
      </c>
      <c r="O1074" t="s">
        <v>858</v>
      </c>
      <c r="Q1074" t="s">
        <v>2536</v>
      </c>
      <c r="R1074" t="s">
        <v>2537</v>
      </c>
      <c r="S1074" t="s">
        <v>2315</v>
      </c>
      <c r="V1074" t="s">
        <v>2316</v>
      </c>
      <c r="W1074" t="s">
        <v>2317</v>
      </c>
      <c r="AD1074" t="s">
        <v>1260</v>
      </c>
    </row>
    <row r="1075" spans="1:30" x14ac:dyDescent="0.25">
      <c r="A1075" t="s">
        <v>33</v>
      </c>
      <c r="D1075" t="s">
        <v>2309</v>
      </c>
      <c r="E1075" t="s">
        <v>2310</v>
      </c>
      <c r="F1075" t="s">
        <v>866</v>
      </c>
      <c r="G1075" t="s">
        <v>2534</v>
      </c>
      <c r="H1075" t="s">
        <v>166</v>
      </c>
      <c r="I1075" t="s">
        <v>80</v>
      </c>
      <c r="J1075" t="s">
        <v>167</v>
      </c>
      <c r="K1075" t="s">
        <v>41</v>
      </c>
      <c r="L1075" t="s">
        <v>2535</v>
      </c>
      <c r="N1075" t="s">
        <v>971</v>
      </c>
      <c r="O1075" t="s">
        <v>862</v>
      </c>
      <c r="Q1075" t="s">
        <v>863</v>
      </c>
      <c r="R1075" t="s">
        <v>2538</v>
      </c>
      <c r="S1075" t="s">
        <v>2315</v>
      </c>
      <c r="V1075" t="s">
        <v>2316</v>
      </c>
      <c r="W1075" t="s">
        <v>2317</v>
      </c>
      <c r="AD1075" t="s">
        <v>1269</v>
      </c>
    </row>
    <row r="1076" spans="1:30" x14ac:dyDescent="0.25">
      <c r="A1076" t="s">
        <v>33</v>
      </c>
      <c r="D1076" t="s">
        <v>2309</v>
      </c>
      <c r="E1076" t="s">
        <v>2310</v>
      </c>
      <c r="F1076" t="s">
        <v>866</v>
      </c>
      <c r="G1076" t="s">
        <v>2534</v>
      </c>
      <c r="H1076" t="s">
        <v>153</v>
      </c>
      <c r="I1076" t="s">
        <v>598</v>
      </c>
      <c r="J1076" t="s">
        <v>154</v>
      </c>
      <c r="K1076" t="s">
        <v>155</v>
      </c>
      <c r="L1076" t="s">
        <v>2535</v>
      </c>
      <c r="N1076" t="s">
        <v>971</v>
      </c>
      <c r="O1076" t="s">
        <v>599</v>
      </c>
      <c r="R1076" t="s">
        <v>2539</v>
      </c>
      <c r="S1076" t="s">
        <v>2315</v>
      </c>
      <c r="V1076" t="s">
        <v>2316</v>
      </c>
      <c r="W1076" t="s">
        <v>2317</v>
      </c>
      <c r="AD1076" t="s">
        <v>973</v>
      </c>
    </row>
    <row r="1077" spans="1:30" x14ac:dyDescent="0.25">
      <c r="A1077" t="s">
        <v>33</v>
      </c>
      <c r="D1077" t="s">
        <v>2309</v>
      </c>
      <c r="E1077" t="s">
        <v>2310</v>
      </c>
      <c r="F1077" t="s">
        <v>866</v>
      </c>
      <c r="G1077" t="s">
        <v>2534</v>
      </c>
      <c r="H1077" t="s">
        <v>166</v>
      </c>
      <c r="I1077" t="s">
        <v>216</v>
      </c>
      <c r="J1077" t="s">
        <v>167</v>
      </c>
      <c r="K1077" t="s">
        <v>41</v>
      </c>
      <c r="L1077" t="s">
        <v>2535</v>
      </c>
      <c r="N1077" t="s">
        <v>971</v>
      </c>
      <c r="O1077" t="s">
        <v>872</v>
      </c>
      <c r="Q1077" t="s">
        <v>1275</v>
      </c>
      <c r="R1077" t="s">
        <v>2540</v>
      </c>
      <c r="S1077" t="s">
        <v>2315</v>
      </c>
      <c r="V1077" t="s">
        <v>2316</v>
      </c>
      <c r="W1077" t="s">
        <v>2317</v>
      </c>
      <c r="AD1077" t="s">
        <v>1277</v>
      </c>
    </row>
    <row r="1078" spans="1:30" x14ac:dyDescent="0.25">
      <c r="A1078" t="s">
        <v>33</v>
      </c>
      <c r="D1078" t="s">
        <v>2309</v>
      </c>
      <c r="E1078" t="s">
        <v>2310</v>
      </c>
      <c r="F1078" t="s">
        <v>866</v>
      </c>
      <c r="G1078" t="s">
        <v>2534</v>
      </c>
      <c r="H1078" t="s">
        <v>166</v>
      </c>
      <c r="I1078" t="s">
        <v>1263</v>
      </c>
      <c r="J1078" t="s">
        <v>167</v>
      </c>
      <c r="K1078" t="s">
        <v>41</v>
      </c>
      <c r="L1078" t="s">
        <v>2535</v>
      </c>
      <c r="N1078" t="s">
        <v>971</v>
      </c>
      <c r="O1078" t="s">
        <v>1264</v>
      </c>
      <c r="Q1078" t="s">
        <v>2541</v>
      </c>
      <c r="R1078" t="s">
        <v>1959</v>
      </c>
      <c r="V1078" t="s">
        <v>2316</v>
      </c>
      <c r="W1078" t="s">
        <v>2317</v>
      </c>
      <c r="AD1078" t="s">
        <v>1267</v>
      </c>
    </row>
    <row r="1079" spans="1:30" x14ac:dyDescent="0.25">
      <c r="A1079" t="s">
        <v>33</v>
      </c>
      <c r="D1079" t="s">
        <v>2309</v>
      </c>
      <c r="E1079" t="s">
        <v>2310</v>
      </c>
      <c r="F1079" t="s">
        <v>866</v>
      </c>
      <c r="G1079" t="s">
        <v>2542</v>
      </c>
      <c r="H1079" t="s">
        <v>166</v>
      </c>
      <c r="I1079" t="s">
        <v>2227</v>
      </c>
      <c r="J1079" t="s">
        <v>167</v>
      </c>
      <c r="K1079" t="s">
        <v>41</v>
      </c>
      <c r="L1079" t="s">
        <v>2543</v>
      </c>
      <c r="N1079" t="s">
        <v>1281</v>
      </c>
      <c r="O1079" t="s">
        <v>2229</v>
      </c>
      <c r="Q1079" t="s">
        <v>1133</v>
      </c>
      <c r="R1079" t="s">
        <v>2544</v>
      </c>
      <c r="S1079" t="s">
        <v>2315</v>
      </c>
      <c r="U1079" t="s">
        <v>48</v>
      </c>
      <c r="V1079" t="s">
        <v>2316</v>
      </c>
      <c r="W1079" t="s">
        <v>2317</v>
      </c>
      <c r="AD1079" t="s">
        <v>2231</v>
      </c>
    </row>
    <row r="1080" spans="1:30" x14ac:dyDescent="0.25">
      <c r="A1080" t="s">
        <v>33</v>
      </c>
      <c r="D1080" t="s">
        <v>2309</v>
      </c>
      <c r="E1080" t="s">
        <v>2310</v>
      </c>
      <c r="F1080" t="s">
        <v>866</v>
      </c>
      <c r="G1080" t="s">
        <v>2542</v>
      </c>
      <c r="H1080" t="s">
        <v>143</v>
      </c>
      <c r="I1080" t="s">
        <v>2232</v>
      </c>
      <c r="J1080" t="s">
        <v>145</v>
      </c>
      <c r="K1080" t="s">
        <v>146</v>
      </c>
      <c r="L1080" t="s">
        <v>2543</v>
      </c>
      <c r="M1080" t="s">
        <v>176</v>
      </c>
      <c r="N1080" t="s">
        <v>1281</v>
      </c>
      <c r="O1080" t="s">
        <v>2233</v>
      </c>
      <c r="R1080" t="s">
        <v>2545</v>
      </c>
      <c r="S1080" t="s">
        <v>2315</v>
      </c>
      <c r="U1080" t="s">
        <v>48</v>
      </c>
      <c r="V1080" t="s">
        <v>2316</v>
      </c>
      <c r="W1080" t="s">
        <v>2317</v>
      </c>
      <c r="AD1080" t="s">
        <v>2235</v>
      </c>
    </row>
    <row r="1081" spans="1:30" x14ac:dyDescent="0.25">
      <c r="A1081" t="s">
        <v>33</v>
      </c>
      <c r="D1081" t="s">
        <v>2309</v>
      </c>
      <c r="E1081" t="s">
        <v>2310</v>
      </c>
      <c r="F1081" t="s">
        <v>866</v>
      </c>
      <c r="G1081" t="s">
        <v>2542</v>
      </c>
      <c r="H1081" t="s">
        <v>143</v>
      </c>
      <c r="I1081" t="s">
        <v>2546</v>
      </c>
      <c r="J1081" t="s">
        <v>145</v>
      </c>
      <c r="K1081" t="s">
        <v>146</v>
      </c>
      <c r="L1081" t="s">
        <v>2543</v>
      </c>
      <c r="M1081" t="s">
        <v>176</v>
      </c>
      <c r="N1081" t="s">
        <v>1281</v>
      </c>
      <c r="O1081" t="s">
        <v>2547</v>
      </c>
      <c r="R1081" t="s">
        <v>2548</v>
      </c>
      <c r="S1081" t="s">
        <v>2315</v>
      </c>
      <c r="U1081" t="s">
        <v>48</v>
      </c>
      <c r="V1081" t="s">
        <v>2316</v>
      </c>
      <c r="W1081" t="s">
        <v>2317</v>
      </c>
      <c r="AD1081" t="s">
        <v>2549</v>
      </c>
    </row>
    <row r="1082" spans="1:30" x14ac:dyDescent="0.25">
      <c r="A1082" t="s">
        <v>33</v>
      </c>
      <c r="D1082" t="s">
        <v>2309</v>
      </c>
      <c r="E1082" t="s">
        <v>2310</v>
      </c>
      <c r="F1082" t="s">
        <v>866</v>
      </c>
      <c r="G1082" t="s">
        <v>2542</v>
      </c>
      <c r="H1082" t="s">
        <v>166</v>
      </c>
      <c r="I1082" t="s">
        <v>1279</v>
      </c>
      <c r="J1082" t="s">
        <v>167</v>
      </c>
      <c r="K1082" t="s">
        <v>41</v>
      </c>
      <c r="L1082" t="s">
        <v>2543</v>
      </c>
      <c r="N1082" t="s">
        <v>1281</v>
      </c>
      <c r="O1082" t="s">
        <v>1282</v>
      </c>
      <c r="Q1082" t="s">
        <v>1133</v>
      </c>
      <c r="R1082" t="s">
        <v>2550</v>
      </c>
      <c r="S1082" t="s">
        <v>2315</v>
      </c>
      <c r="U1082" t="s">
        <v>48</v>
      </c>
      <c r="V1082" t="s">
        <v>2316</v>
      </c>
      <c r="W1082" t="s">
        <v>2317</v>
      </c>
      <c r="AD1082" t="s">
        <v>1284</v>
      </c>
    </row>
    <row r="1083" spans="1:30" x14ac:dyDescent="0.25">
      <c r="A1083" t="s">
        <v>33</v>
      </c>
      <c r="D1083" t="s">
        <v>2309</v>
      </c>
      <c r="E1083" t="s">
        <v>2310</v>
      </c>
      <c r="F1083" t="s">
        <v>866</v>
      </c>
      <c r="G1083" t="s">
        <v>2542</v>
      </c>
      <c r="H1083" t="s">
        <v>143</v>
      </c>
      <c r="I1083" t="s">
        <v>1285</v>
      </c>
      <c r="J1083" t="s">
        <v>145</v>
      </c>
      <c r="K1083" t="s">
        <v>146</v>
      </c>
      <c r="L1083" t="s">
        <v>2543</v>
      </c>
      <c r="M1083" t="s">
        <v>176</v>
      </c>
      <c r="N1083" t="s">
        <v>1281</v>
      </c>
      <c r="O1083" t="s">
        <v>1286</v>
      </c>
      <c r="R1083" t="s">
        <v>2551</v>
      </c>
      <c r="S1083" t="s">
        <v>2315</v>
      </c>
      <c r="U1083" t="s">
        <v>48</v>
      </c>
      <c r="V1083" t="s">
        <v>2316</v>
      </c>
      <c r="W1083" t="s">
        <v>2317</v>
      </c>
      <c r="AD1083" t="s">
        <v>1288</v>
      </c>
    </row>
    <row r="1084" spans="1:30" x14ac:dyDescent="0.25">
      <c r="A1084" t="s">
        <v>33</v>
      </c>
      <c r="D1084" t="s">
        <v>2309</v>
      </c>
      <c r="E1084" t="s">
        <v>2310</v>
      </c>
      <c r="F1084" t="s">
        <v>866</v>
      </c>
      <c r="G1084" t="s">
        <v>2542</v>
      </c>
      <c r="H1084" t="s">
        <v>143</v>
      </c>
      <c r="I1084" t="s">
        <v>1289</v>
      </c>
      <c r="J1084" t="s">
        <v>145</v>
      </c>
      <c r="K1084" t="s">
        <v>146</v>
      </c>
      <c r="L1084" t="s">
        <v>2543</v>
      </c>
      <c r="M1084" t="s">
        <v>176</v>
      </c>
      <c r="N1084" t="s">
        <v>1281</v>
      </c>
      <c r="O1084" t="s">
        <v>1290</v>
      </c>
      <c r="R1084" t="s">
        <v>2552</v>
      </c>
      <c r="S1084" t="s">
        <v>2315</v>
      </c>
      <c r="U1084" t="s">
        <v>48</v>
      </c>
      <c r="V1084" t="s">
        <v>2316</v>
      </c>
      <c r="W1084" t="s">
        <v>2317</v>
      </c>
      <c r="AD1084" t="s">
        <v>1292</v>
      </c>
    </row>
    <row r="1085" spans="1:30" x14ac:dyDescent="0.25">
      <c r="A1085" t="s">
        <v>33</v>
      </c>
      <c r="D1085" t="s">
        <v>2309</v>
      </c>
      <c r="E1085" t="s">
        <v>2310</v>
      </c>
      <c r="F1085" t="s">
        <v>866</v>
      </c>
      <c r="G1085" t="s">
        <v>2542</v>
      </c>
      <c r="H1085" t="s">
        <v>280</v>
      </c>
      <c r="I1085" t="s">
        <v>1263</v>
      </c>
      <c r="J1085" t="s">
        <v>282</v>
      </c>
      <c r="K1085" t="s">
        <v>283</v>
      </c>
      <c r="L1085" t="s">
        <v>2543</v>
      </c>
      <c r="N1085" t="s">
        <v>1281</v>
      </c>
      <c r="O1085" t="s">
        <v>1264</v>
      </c>
      <c r="Q1085" t="s">
        <v>2553</v>
      </c>
      <c r="R1085" t="s">
        <v>2554</v>
      </c>
      <c r="S1085" t="s">
        <v>2315</v>
      </c>
      <c r="U1085" t="s">
        <v>48</v>
      </c>
      <c r="V1085" t="s">
        <v>2316</v>
      </c>
      <c r="W1085" t="s">
        <v>2317</v>
      </c>
      <c r="AD1085" t="s">
        <v>2555</v>
      </c>
    </row>
    <row r="1086" spans="1:30" x14ac:dyDescent="0.25">
      <c r="A1086" t="s">
        <v>33</v>
      </c>
      <c r="D1086" t="s">
        <v>2309</v>
      </c>
      <c r="E1086" t="s">
        <v>2310</v>
      </c>
      <c r="F1086" t="s">
        <v>866</v>
      </c>
      <c r="G1086" t="s">
        <v>2556</v>
      </c>
      <c r="H1086" t="s">
        <v>166</v>
      </c>
      <c r="I1086" t="s">
        <v>281</v>
      </c>
      <c r="J1086" t="s">
        <v>167</v>
      </c>
      <c r="K1086" t="s">
        <v>41</v>
      </c>
      <c r="L1086" t="s">
        <v>2557</v>
      </c>
      <c r="N1086" t="s">
        <v>971</v>
      </c>
      <c r="O1086" t="s">
        <v>858</v>
      </c>
      <c r="Q1086" t="s">
        <v>2536</v>
      </c>
      <c r="R1086" t="s">
        <v>2558</v>
      </c>
      <c r="S1086" t="s">
        <v>2315</v>
      </c>
      <c r="V1086" t="s">
        <v>2316</v>
      </c>
      <c r="W1086" t="s">
        <v>2317</v>
      </c>
      <c r="AD1086" t="s">
        <v>1260</v>
      </c>
    </row>
    <row r="1087" spans="1:30" x14ac:dyDescent="0.25">
      <c r="A1087" t="s">
        <v>33</v>
      </c>
      <c r="D1087" t="s">
        <v>2309</v>
      </c>
      <c r="E1087" t="s">
        <v>2310</v>
      </c>
      <c r="F1087" t="s">
        <v>866</v>
      </c>
      <c r="G1087" t="s">
        <v>2556</v>
      </c>
      <c r="H1087" t="s">
        <v>166</v>
      </c>
      <c r="I1087" t="s">
        <v>80</v>
      </c>
      <c r="J1087" t="s">
        <v>167</v>
      </c>
      <c r="K1087" t="s">
        <v>41</v>
      </c>
      <c r="L1087" t="s">
        <v>2557</v>
      </c>
      <c r="N1087" t="s">
        <v>971</v>
      </c>
      <c r="O1087" t="s">
        <v>862</v>
      </c>
      <c r="Q1087" t="s">
        <v>863</v>
      </c>
      <c r="R1087" t="s">
        <v>2559</v>
      </c>
      <c r="S1087" t="s">
        <v>2315</v>
      </c>
      <c r="V1087" t="s">
        <v>2316</v>
      </c>
      <c r="W1087" t="s">
        <v>2317</v>
      </c>
      <c r="AD1087" t="s">
        <v>1269</v>
      </c>
    </row>
    <row r="1088" spans="1:30" x14ac:dyDescent="0.25">
      <c r="A1088" t="s">
        <v>33</v>
      </c>
      <c r="D1088" t="s">
        <v>2309</v>
      </c>
      <c r="E1088" t="s">
        <v>2310</v>
      </c>
      <c r="F1088" t="s">
        <v>866</v>
      </c>
      <c r="G1088" t="s">
        <v>2556</v>
      </c>
      <c r="H1088" t="s">
        <v>153</v>
      </c>
      <c r="I1088" t="s">
        <v>598</v>
      </c>
      <c r="J1088" t="s">
        <v>154</v>
      </c>
      <c r="K1088" t="s">
        <v>155</v>
      </c>
      <c r="L1088" t="s">
        <v>2557</v>
      </c>
      <c r="N1088" t="s">
        <v>971</v>
      </c>
      <c r="O1088" t="s">
        <v>599</v>
      </c>
      <c r="R1088" t="s">
        <v>2560</v>
      </c>
      <c r="S1088" t="s">
        <v>2315</v>
      </c>
      <c r="V1088" t="s">
        <v>2316</v>
      </c>
      <c r="W1088" t="s">
        <v>2317</v>
      </c>
      <c r="AD1088" t="s">
        <v>973</v>
      </c>
    </row>
    <row r="1089" spans="1:30" x14ac:dyDescent="0.25">
      <c r="A1089" t="s">
        <v>33</v>
      </c>
      <c r="D1089" t="s">
        <v>2309</v>
      </c>
      <c r="E1089" t="s">
        <v>2310</v>
      </c>
      <c r="F1089" t="s">
        <v>866</v>
      </c>
      <c r="G1089" t="s">
        <v>2556</v>
      </c>
      <c r="H1089" t="s">
        <v>166</v>
      </c>
      <c r="I1089" t="s">
        <v>216</v>
      </c>
      <c r="J1089" t="s">
        <v>167</v>
      </c>
      <c r="K1089" t="s">
        <v>41</v>
      </c>
      <c r="L1089" t="s">
        <v>2557</v>
      </c>
      <c r="N1089" t="s">
        <v>971</v>
      </c>
      <c r="O1089" t="s">
        <v>872</v>
      </c>
      <c r="Q1089" t="s">
        <v>1275</v>
      </c>
      <c r="R1089" t="s">
        <v>2561</v>
      </c>
      <c r="S1089" t="s">
        <v>2315</v>
      </c>
      <c r="V1089" t="s">
        <v>2316</v>
      </c>
      <c r="W1089" t="s">
        <v>2317</v>
      </c>
      <c r="AD1089" t="s">
        <v>1277</v>
      </c>
    </row>
    <row r="1090" spans="1:30" x14ac:dyDescent="0.25">
      <c r="A1090" t="s">
        <v>33</v>
      </c>
      <c r="D1090" t="s">
        <v>2309</v>
      </c>
      <c r="E1090" t="s">
        <v>2310</v>
      </c>
      <c r="F1090" t="s">
        <v>866</v>
      </c>
      <c r="G1090" t="s">
        <v>2556</v>
      </c>
      <c r="H1090" t="s">
        <v>166</v>
      </c>
      <c r="I1090" t="s">
        <v>1263</v>
      </c>
      <c r="J1090" t="s">
        <v>167</v>
      </c>
      <c r="K1090" t="s">
        <v>41</v>
      </c>
      <c r="L1090" t="s">
        <v>2557</v>
      </c>
      <c r="N1090" t="s">
        <v>971</v>
      </c>
      <c r="O1090" t="s">
        <v>1264</v>
      </c>
      <c r="Q1090" t="s">
        <v>2541</v>
      </c>
      <c r="R1090" t="s">
        <v>1959</v>
      </c>
      <c r="V1090" t="s">
        <v>2316</v>
      </c>
      <c r="W1090" t="s">
        <v>2317</v>
      </c>
      <c r="AD1090" t="s">
        <v>1267</v>
      </c>
    </row>
    <row r="1091" spans="1:30" x14ac:dyDescent="0.25">
      <c r="A1091" t="s">
        <v>33</v>
      </c>
      <c r="D1091" t="s">
        <v>2309</v>
      </c>
      <c r="E1091" t="s">
        <v>2310</v>
      </c>
      <c r="F1091" t="s">
        <v>78</v>
      </c>
      <c r="G1091" t="s">
        <v>2562</v>
      </c>
      <c r="H1091" t="s">
        <v>280</v>
      </c>
      <c r="I1091" t="s">
        <v>281</v>
      </c>
      <c r="J1091" t="s">
        <v>282</v>
      </c>
      <c r="K1091" t="s">
        <v>2563</v>
      </c>
      <c r="L1091" t="s">
        <v>2564</v>
      </c>
      <c r="N1091" t="s">
        <v>2565</v>
      </c>
      <c r="O1091" t="s">
        <v>284</v>
      </c>
      <c r="Q1091" t="s">
        <v>285</v>
      </c>
      <c r="R1091" t="s">
        <v>2566</v>
      </c>
      <c r="S1091" t="s">
        <v>2315</v>
      </c>
      <c r="V1091" t="s">
        <v>2316</v>
      </c>
      <c r="W1091" t="s">
        <v>2317</v>
      </c>
      <c r="AD1091" t="s">
        <v>2567</v>
      </c>
    </row>
    <row r="1092" spans="1:30" x14ac:dyDescent="0.25">
      <c r="A1092" t="s">
        <v>33</v>
      </c>
      <c r="D1092" t="s">
        <v>2309</v>
      </c>
      <c r="E1092" t="s">
        <v>2310</v>
      </c>
      <c r="F1092" t="s">
        <v>78</v>
      </c>
      <c r="G1092" t="s">
        <v>2562</v>
      </c>
      <c r="H1092" t="s">
        <v>38</v>
      </c>
      <c r="I1092" t="s">
        <v>257</v>
      </c>
      <c r="J1092" t="s">
        <v>40</v>
      </c>
      <c r="K1092" t="s">
        <v>41</v>
      </c>
      <c r="L1092" t="s">
        <v>2564</v>
      </c>
      <c r="M1092" t="s">
        <v>82</v>
      </c>
      <c r="N1092" t="s">
        <v>2565</v>
      </c>
      <c r="O1092" t="s">
        <v>258</v>
      </c>
      <c r="R1092" t="s">
        <v>2568</v>
      </c>
      <c r="S1092" t="s">
        <v>2315</v>
      </c>
      <c r="V1092" t="s">
        <v>2316</v>
      </c>
      <c r="W1092" t="s">
        <v>2317</v>
      </c>
      <c r="AD1092" t="s">
        <v>2569</v>
      </c>
    </row>
    <row r="1093" spans="1:30" x14ac:dyDescent="0.25">
      <c r="A1093" t="s">
        <v>33</v>
      </c>
      <c r="D1093" t="s">
        <v>2309</v>
      </c>
      <c r="E1093" t="s">
        <v>2310</v>
      </c>
      <c r="F1093" t="s">
        <v>78</v>
      </c>
      <c r="G1093" t="s">
        <v>2562</v>
      </c>
      <c r="H1093" t="s">
        <v>143</v>
      </c>
      <c r="I1093" t="s">
        <v>276</v>
      </c>
      <c r="J1093" t="s">
        <v>145</v>
      </c>
      <c r="K1093" t="s">
        <v>146</v>
      </c>
      <c r="L1093" t="s">
        <v>2564</v>
      </c>
      <c r="N1093" t="s">
        <v>2565</v>
      </c>
      <c r="O1093" t="s">
        <v>277</v>
      </c>
      <c r="R1093" t="s">
        <v>2570</v>
      </c>
      <c r="S1093" t="s">
        <v>2315</v>
      </c>
      <c r="V1093" t="s">
        <v>2316</v>
      </c>
      <c r="W1093" t="s">
        <v>2317</v>
      </c>
      <c r="X1093" t="s">
        <v>270</v>
      </c>
      <c r="AD1093" t="s">
        <v>2571</v>
      </c>
    </row>
    <row r="1094" spans="1:30" x14ac:dyDescent="0.25">
      <c r="A1094" t="s">
        <v>33</v>
      </c>
      <c r="D1094" t="s">
        <v>2309</v>
      </c>
      <c r="E1094" t="s">
        <v>2310</v>
      </c>
      <c r="F1094" t="s">
        <v>78</v>
      </c>
      <c r="G1094" t="s">
        <v>2562</v>
      </c>
      <c r="H1094" t="s">
        <v>143</v>
      </c>
      <c r="I1094" t="s">
        <v>272</v>
      </c>
      <c r="J1094" t="s">
        <v>145</v>
      </c>
      <c r="K1094" t="s">
        <v>146</v>
      </c>
      <c r="L1094" t="s">
        <v>2564</v>
      </c>
      <c r="N1094" t="s">
        <v>2565</v>
      </c>
      <c r="O1094" t="s">
        <v>273</v>
      </c>
      <c r="R1094" t="s">
        <v>2572</v>
      </c>
      <c r="S1094" t="s">
        <v>2315</v>
      </c>
      <c r="V1094" t="s">
        <v>2316</v>
      </c>
      <c r="W1094" t="s">
        <v>2317</v>
      </c>
      <c r="X1094" t="s">
        <v>270</v>
      </c>
      <c r="AD1094" t="s">
        <v>2573</v>
      </c>
    </row>
    <row r="1095" spans="1:30" x14ac:dyDescent="0.25">
      <c r="A1095" t="s">
        <v>33</v>
      </c>
      <c r="D1095" t="s">
        <v>2309</v>
      </c>
      <c r="E1095" t="s">
        <v>2310</v>
      </c>
      <c r="F1095" t="s">
        <v>78</v>
      </c>
      <c r="G1095" t="s">
        <v>2562</v>
      </c>
      <c r="H1095" t="s">
        <v>166</v>
      </c>
      <c r="I1095" t="s">
        <v>288</v>
      </c>
      <c r="J1095" t="s">
        <v>167</v>
      </c>
      <c r="K1095" t="s">
        <v>41</v>
      </c>
      <c r="L1095" t="s">
        <v>2564</v>
      </c>
      <c r="N1095" t="s">
        <v>2565</v>
      </c>
      <c r="O1095" t="s">
        <v>289</v>
      </c>
      <c r="Q1095" t="s">
        <v>285</v>
      </c>
      <c r="R1095" t="s">
        <v>2574</v>
      </c>
      <c r="S1095" t="s">
        <v>2315</v>
      </c>
      <c r="V1095" t="s">
        <v>2316</v>
      </c>
      <c r="W1095" t="s">
        <v>2317</v>
      </c>
      <c r="AD1095" t="s">
        <v>2575</v>
      </c>
    </row>
    <row r="1096" spans="1:30" x14ac:dyDescent="0.25">
      <c r="A1096" t="s">
        <v>33</v>
      </c>
      <c r="D1096" t="s">
        <v>2309</v>
      </c>
      <c r="E1096" t="s">
        <v>2310</v>
      </c>
      <c r="F1096" t="s">
        <v>78</v>
      </c>
      <c r="G1096" t="s">
        <v>2562</v>
      </c>
      <c r="H1096" t="s">
        <v>143</v>
      </c>
      <c r="I1096" t="s">
        <v>257</v>
      </c>
      <c r="J1096" t="s">
        <v>145</v>
      </c>
      <c r="K1096" t="s">
        <v>146</v>
      </c>
      <c r="L1096" t="s">
        <v>2564</v>
      </c>
      <c r="M1096" t="s">
        <v>82</v>
      </c>
      <c r="N1096" t="s">
        <v>2565</v>
      </c>
      <c r="O1096" t="s">
        <v>292</v>
      </c>
      <c r="R1096" t="s">
        <v>2576</v>
      </c>
      <c r="S1096" t="s">
        <v>2315</v>
      </c>
      <c r="V1096" t="s">
        <v>2316</v>
      </c>
      <c r="W1096" t="s">
        <v>2317</v>
      </c>
      <c r="AD1096" t="s">
        <v>2577</v>
      </c>
    </row>
    <row r="1097" spans="1:30" x14ac:dyDescent="0.25">
      <c r="A1097" t="s">
        <v>33</v>
      </c>
      <c r="D1097" t="s">
        <v>2309</v>
      </c>
      <c r="E1097" t="s">
        <v>2310</v>
      </c>
      <c r="F1097" t="s">
        <v>78</v>
      </c>
      <c r="G1097" t="s">
        <v>2562</v>
      </c>
      <c r="H1097" t="s">
        <v>143</v>
      </c>
      <c r="I1097" t="s">
        <v>295</v>
      </c>
      <c r="J1097" t="s">
        <v>145</v>
      </c>
      <c r="K1097" t="s">
        <v>146</v>
      </c>
      <c r="L1097" t="s">
        <v>2564</v>
      </c>
      <c r="M1097" t="s">
        <v>82</v>
      </c>
      <c r="N1097" t="s">
        <v>2565</v>
      </c>
      <c r="O1097" t="s">
        <v>296</v>
      </c>
      <c r="R1097" t="s">
        <v>2578</v>
      </c>
      <c r="S1097" t="s">
        <v>2315</v>
      </c>
      <c r="V1097" t="s">
        <v>2316</v>
      </c>
      <c r="W1097" t="s">
        <v>2317</v>
      </c>
      <c r="AD1097" t="s">
        <v>2579</v>
      </c>
    </row>
    <row r="1098" spans="1:30" x14ac:dyDescent="0.25">
      <c r="A1098" t="s">
        <v>33</v>
      </c>
      <c r="D1098" t="s">
        <v>2309</v>
      </c>
      <c r="E1098" t="s">
        <v>2310</v>
      </c>
      <c r="F1098" t="s">
        <v>78</v>
      </c>
      <c r="G1098" t="s">
        <v>2562</v>
      </c>
      <c r="H1098" t="s">
        <v>143</v>
      </c>
      <c r="I1098" t="s">
        <v>299</v>
      </c>
      <c r="J1098" t="s">
        <v>145</v>
      </c>
      <c r="K1098" t="s">
        <v>146</v>
      </c>
      <c r="L1098" t="s">
        <v>2564</v>
      </c>
      <c r="M1098" t="s">
        <v>82</v>
      </c>
      <c r="N1098" t="s">
        <v>2565</v>
      </c>
      <c r="O1098" t="s">
        <v>300</v>
      </c>
      <c r="R1098" t="s">
        <v>2580</v>
      </c>
      <c r="S1098" t="s">
        <v>2315</v>
      </c>
      <c r="V1098" t="s">
        <v>2316</v>
      </c>
      <c r="W1098" t="s">
        <v>2317</v>
      </c>
      <c r="AD1098" t="s">
        <v>2581</v>
      </c>
    </row>
    <row r="1099" spans="1:30" x14ac:dyDescent="0.25">
      <c r="A1099" t="s">
        <v>33</v>
      </c>
      <c r="D1099" t="s">
        <v>2309</v>
      </c>
      <c r="E1099" t="s">
        <v>2310</v>
      </c>
      <c r="F1099" t="s">
        <v>78</v>
      </c>
      <c r="G1099" t="s">
        <v>2562</v>
      </c>
      <c r="H1099" t="s">
        <v>38</v>
      </c>
      <c r="I1099" t="s">
        <v>250</v>
      </c>
      <c r="J1099" t="s">
        <v>40</v>
      </c>
      <c r="K1099" t="s">
        <v>41</v>
      </c>
      <c r="L1099" t="s">
        <v>2564</v>
      </c>
      <c r="M1099" t="s">
        <v>252</v>
      </c>
      <c r="N1099" t="s">
        <v>2565</v>
      </c>
      <c r="O1099" t="s">
        <v>254</v>
      </c>
      <c r="R1099" t="s">
        <v>2582</v>
      </c>
      <c r="S1099" t="s">
        <v>2315</v>
      </c>
      <c r="V1099" t="s">
        <v>2316</v>
      </c>
      <c r="W1099" t="s">
        <v>2317</v>
      </c>
      <c r="AD1099" t="s">
        <v>2583</v>
      </c>
    </row>
    <row r="1100" spans="1:30" x14ac:dyDescent="0.25">
      <c r="A1100" t="s">
        <v>33</v>
      </c>
      <c r="D1100" t="s">
        <v>2309</v>
      </c>
      <c r="E1100" t="s">
        <v>2310</v>
      </c>
      <c r="F1100" t="s">
        <v>78</v>
      </c>
      <c r="G1100" t="s">
        <v>2562</v>
      </c>
      <c r="H1100" t="s">
        <v>143</v>
      </c>
      <c r="I1100" t="s">
        <v>267</v>
      </c>
      <c r="J1100" t="s">
        <v>145</v>
      </c>
      <c r="K1100" t="s">
        <v>146</v>
      </c>
      <c r="L1100" t="s">
        <v>2564</v>
      </c>
      <c r="N1100" t="s">
        <v>2565</v>
      </c>
      <c r="O1100" t="s">
        <v>268</v>
      </c>
      <c r="R1100" t="s">
        <v>2584</v>
      </c>
      <c r="S1100" t="s">
        <v>2315</v>
      </c>
      <c r="V1100" t="s">
        <v>2316</v>
      </c>
      <c r="W1100" t="s">
        <v>2317</v>
      </c>
      <c r="X1100" t="s">
        <v>270</v>
      </c>
      <c r="AD1100" t="s">
        <v>2585</v>
      </c>
    </row>
    <row r="1101" spans="1:30" x14ac:dyDescent="0.25">
      <c r="A1101" t="s">
        <v>33</v>
      </c>
      <c r="D1101" t="s">
        <v>2309</v>
      </c>
      <c r="E1101" t="s">
        <v>2310</v>
      </c>
      <c r="F1101" t="s">
        <v>78</v>
      </c>
      <c r="G1101" t="s">
        <v>2562</v>
      </c>
      <c r="H1101" t="s">
        <v>143</v>
      </c>
      <c r="I1101" t="s">
        <v>261</v>
      </c>
      <c r="J1101" t="s">
        <v>145</v>
      </c>
      <c r="K1101" t="s">
        <v>146</v>
      </c>
      <c r="L1101" t="s">
        <v>2564</v>
      </c>
      <c r="M1101" t="s">
        <v>252</v>
      </c>
      <c r="N1101" t="s">
        <v>2565</v>
      </c>
      <c r="O1101" t="s">
        <v>263</v>
      </c>
      <c r="R1101" t="s">
        <v>2586</v>
      </c>
      <c r="S1101" t="s">
        <v>2315</v>
      </c>
      <c r="V1101" t="s">
        <v>2316</v>
      </c>
      <c r="W1101" t="s">
        <v>2317</v>
      </c>
      <c r="AD1101" t="s">
        <v>2587</v>
      </c>
    </row>
    <row r="1102" spans="1:30" x14ac:dyDescent="0.25">
      <c r="A1102" t="s">
        <v>33</v>
      </c>
      <c r="D1102" t="s">
        <v>2309</v>
      </c>
      <c r="E1102" t="s">
        <v>2348</v>
      </c>
      <c r="F1102" t="s">
        <v>78</v>
      </c>
      <c r="G1102" t="s">
        <v>2588</v>
      </c>
      <c r="H1102" t="s">
        <v>280</v>
      </c>
      <c r="I1102" t="s">
        <v>281</v>
      </c>
      <c r="J1102" t="s">
        <v>282</v>
      </c>
      <c r="K1102" t="s">
        <v>283</v>
      </c>
      <c r="L1102" t="s">
        <v>2589</v>
      </c>
      <c r="N1102" t="s">
        <v>1303</v>
      </c>
      <c r="O1102" t="s">
        <v>284</v>
      </c>
      <c r="Q1102" t="s">
        <v>285</v>
      </c>
      <c r="R1102" t="s">
        <v>2590</v>
      </c>
      <c r="S1102" t="s">
        <v>2315</v>
      </c>
      <c r="V1102" t="s">
        <v>2316</v>
      </c>
      <c r="W1102" t="s">
        <v>2353</v>
      </c>
      <c r="AD1102" t="s">
        <v>1305</v>
      </c>
    </row>
    <row r="1103" spans="1:30" x14ac:dyDescent="0.25">
      <c r="A1103" t="s">
        <v>33</v>
      </c>
      <c r="D1103" t="s">
        <v>2309</v>
      </c>
      <c r="E1103" t="s">
        <v>2348</v>
      </c>
      <c r="F1103" t="s">
        <v>78</v>
      </c>
      <c r="G1103" t="s">
        <v>2588</v>
      </c>
      <c r="H1103" t="s">
        <v>38</v>
      </c>
      <c r="I1103" t="s">
        <v>257</v>
      </c>
      <c r="J1103" t="s">
        <v>40</v>
      </c>
      <c r="K1103" t="s">
        <v>41</v>
      </c>
      <c r="L1103" t="s">
        <v>2589</v>
      </c>
      <c r="M1103" t="s">
        <v>82</v>
      </c>
      <c r="N1103" t="s">
        <v>1303</v>
      </c>
      <c r="O1103" t="s">
        <v>258</v>
      </c>
      <c r="R1103" t="s">
        <v>2591</v>
      </c>
      <c r="S1103" t="s">
        <v>2315</v>
      </c>
      <c r="V1103" t="s">
        <v>2316</v>
      </c>
      <c r="W1103" t="s">
        <v>2353</v>
      </c>
      <c r="AD1103" t="s">
        <v>1307</v>
      </c>
    </row>
    <row r="1104" spans="1:30" x14ac:dyDescent="0.25">
      <c r="A1104" t="s">
        <v>33</v>
      </c>
      <c r="D1104" t="s">
        <v>2309</v>
      </c>
      <c r="E1104" t="s">
        <v>2348</v>
      </c>
      <c r="F1104" t="s">
        <v>78</v>
      </c>
      <c r="G1104" t="s">
        <v>2588</v>
      </c>
      <c r="H1104" t="s">
        <v>143</v>
      </c>
      <c r="I1104" t="s">
        <v>276</v>
      </c>
      <c r="J1104" t="s">
        <v>145</v>
      </c>
      <c r="K1104" t="s">
        <v>146</v>
      </c>
      <c r="L1104" t="s">
        <v>2589</v>
      </c>
      <c r="N1104" t="s">
        <v>1303</v>
      </c>
      <c r="O1104" t="s">
        <v>277</v>
      </c>
      <c r="R1104" t="s">
        <v>2592</v>
      </c>
      <c r="S1104" t="s">
        <v>2315</v>
      </c>
      <c r="V1104" t="s">
        <v>2316</v>
      </c>
      <c r="W1104" t="s">
        <v>2353</v>
      </c>
      <c r="X1104" t="s">
        <v>270</v>
      </c>
      <c r="AD1104" t="s">
        <v>1309</v>
      </c>
    </row>
    <row r="1105" spans="1:30" x14ac:dyDescent="0.25">
      <c r="A1105" t="s">
        <v>33</v>
      </c>
      <c r="D1105" t="s">
        <v>2309</v>
      </c>
      <c r="E1105" t="s">
        <v>2348</v>
      </c>
      <c r="F1105" t="s">
        <v>78</v>
      </c>
      <c r="G1105" t="s">
        <v>2588</v>
      </c>
      <c r="H1105" t="s">
        <v>143</v>
      </c>
      <c r="I1105" t="s">
        <v>272</v>
      </c>
      <c r="J1105" t="s">
        <v>145</v>
      </c>
      <c r="K1105" t="s">
        <v>146</v>
      </c>
      <c r="L1105" t="s">
        <v>2589</v>
      </c>
      <c r="N1105" t="s">
        <v>1303</v>
      </c>
      <c r="O1105" t="s">
        <v>273</v>
      </c>
      <c r="R1105" t="s">
        <v>2593</v>
      </c>
      <c r="S1105" t="s">
        <v>2315</v>
      </c>
      <c r="V1105" t="s">
        <v>2316</v>
      </c>
      <c r="W1105" t="s">
        <v>2353</v>
      </c>
      <c r="X1105" t="s">
        <v>270</v>
      </c>
      <c r="AD1105" t="s">
        <v>1311</v>
      </c>
    </row>
    <row r="1106" spans="1:30" x14ac:dyDescent="0.25">
      <c r="A1106" t="s">
        <v>33</v>
      </c>
      <c r="D1106" t="s">
        <v>2309</v>
      </c>
      <c r="E1106" t="s">
        <v>2348</v>
      </c>
      <c r="F1106" t="s">
        <v>78</v>
      </c>
      <c r="G1106" t="s">
        <v>2588</v>
      </c>
      <c r="H1106" t="s">
        <v>143</v>
      </c>
      <c r="I1106" t="s">
        <v>257</v>
      </c>
      <c r="J1106" t="s">
        <v>145</v>
      </c>
      <c r="K1106" t="s">
        <v>146</v>
      </c>
      <c r="L1106" t="s">
        <v>2589</v>
      </c>
      <c r="M1106" t="s">
        <v>82</v>
      </c>
      <c r="N1106" t="s">
        <v>1303</v>
      </c>
      <c r="O1106" t="s">
        <v>292</v>
      </c>
      <c r="R1106" t="s">
        <v>2594</v>
      </c>
      <c r="S1106" t="s">
        <v>2315</v>
      </c>
      <c r="V1106" t="s">
        <v>2316</v>
      </c>
      <c r="W1106" t="s">
        <v>2353</v>
      </c>
      <c r="AD1106" t="s">
        <v>1313</v>
      </c>
    </row>
    <row r="1107" spans="1:30" x14ac:dyDescent="0.25">
      <c r="A1107" t="s">
        <v>33</v>
      </c>
      <c r="D1107" t="s">
        <v>2309</v>
      </c>
      <c r="E1107" t="s">
        <v>2348</v>
      </c>
      <c r="F1107" t="s">
        <v>78</v>
      </c>
      <c r="G1107" t="s">
        <v>2588</v>
      </c>
      <c r="H1107" t="s">
        <v>143</v>
      </c>
      <c r="I1107" t="s">
        <v>295</v>
      </c>
      <c r="J1107" t="s">
        <v>145</v>
      </c>
      <c r="K1107" t="s">
        <v>146</v>
      </c>
      <c r="L1107" t="s">
        <v>2589</v>
      </c>
      <c r="M1107" t="s">
        <v>82</v>
      </c>
      <c r="N1107" t="s">
        <v>1303</v>
      </c>
      <c r="O1107" t="s">
        <v>296</v>
      </c>
      <c r="R1107" t="s">
        <v>2595</v>
      </c>
      <c r="S1107" t="s">
        <v>2315</v>
      </c>
      <c r="V1107" t="s">
        <v>2316</v>
      </c>
      <c r="W1107" t="s">
        <v>2353</v>
      </c>
      <c r="AD1107" t="s">
        <v>1315</v>
      </c>
    </row>
    <row r="1108" spans="1:30" x14ac:dyDescent="0.25">
      <c r="A1108" t="s">
        <v>33</v>
      </c>
      <c r="D1108" t="s">
        <v>2309</v>
      </c>
      <c r="E1108" t="s">
        <v>2348</v>
      </c>
      <c r="F1108" t="s">
        <v>78</v>
      </c>
      <c r="G1108" t="s">
        <v>2588</v>
      </c>
      <c r="H1108" t="s">
        <v>143</v>
      </c>
      <c r="I1108" t="s">
        <v>299</v>
      </c>
      <c r="J1108" t="s">
        <v>145</v>
      </c>
      <c r="K1108" t="s">
        <v>146</v>
      </c>
      <c r="L1108" t="s">
        <v>2589</v>
      </c>
      <c r="M1108" t="s">
        <v>82</v>
      </c>
      <c r="N1108" t="s">
        <v>1303</v>
      </c>
      <c r="O1108" t="s">
        <v>300</v>
      </c>
      <c r="R1108" t="s">
        <v>2596</v>
      </c>
      <c r="S1108" t="s">
        <v>2315</v>
      </c>
      <c r="V1108" t="s">
        <v>2316</v>
      </c>
      <c r="W1108" t="s">
        <v>2353</v>
      </c>
      <c r="AD1108" t="s">
        <v>1317</v>
      </c>
    </row>
    <row r="1109" spans="1:30" x14ac:dyDescent="0.25">
      <c r="A1109" t="s">
        <v>33</v>
      </c>
      <c r="D1109" t="s">
        <v>2309</v>
      </c>
      <c r="E1109" t="s">
        <v>2348</v>
      </c>
      <c r="F1109" t="s">
        <v>78</v>
      </c>
      <c r="G1109" t="s">
        <v>2588</v>
      </c>
      <c r="H1109" t="s">
        <v>38</v>
      </c>
      <c r="I1109" t="s">
        <v>250</v>
      </c>
      <c r="J1109" t="s">
        <v>40</v>
      </c>
      <c r="K1109" t="s">
        <v>41</v>
      </c>
      <c r="L1109" t="s">
        <v>2589</v>
      </c>
      <c r="M1109" t="s">
        <v>252</v>
      </c>
      <c r="N1109" t="s">
        <v>1303</v>
      </c>
      <c r="O1109" t="s">
        <v>254</v>
      </c>
      <c r="R1109" t="s">
        <v>2597</v>
      </c>
      <c r="S1109" t="s">
        <v>2315</v>
      </c>
      <c r="V1109" t="s">
        <v>2316</v>
      </c>
      <c r="W1109" t="s">
        <v>2353</v>
      </c>
      <c r="AD1109" t="s">
        <v>1319</v>
      </c>
    </row>
    <row r="1110" spans="1:30" x14ac:dyDescent="0.25">
      <c r="A1110" t="s">
        <v>33</v>
      </c>
      <c r="D1110" t="s">
        <v>2309</v>
      </c>
      <c r="E1110" t="s">
        <v>2348</v>
      </c>
      <c r="F1110" t="s">
        <v>78</v>
      </c>
      <c r="G1110" t="s">
        <v>2588</v>
      </c>
      <c r="H1110" t="s">
        <v>143</v>
      </c>
      <c r="I1110" t="s">
        <v>267</v>
      </c>
      <c r="J1110" t="s">
        <v>145</v>
      </c>
      <c r="K1110" t="s">
        <v>146</v>
      </c>
      <c r="L1110" t="s">
        <v>2589</v>
      </c>
      <c r="N1110" t="s">
        <v>1303</v>
      </c>
      <c r="O1110" t="s">
        <v>268</v>
      </c>
      <c r="R1110" t="s">
        <v>2598</v>
      </c>
      <c r="S1110" t="s">
        <v>2315</v>
      </c>
      <c r="V1110" t="s">
        <v>2316</v>
      </c>
      <c r="W1110" t="s">
        <v>2353</v>
      </c>
      <c r="X1110" t="s">
        <v>270</v>
      </c>
      <c r="AD1110" t="s">
        <v>1321</v>
      </c>
    </row>
    <row r="1111" spans="1:30" x14ac:dyDescent="0.25">
      <c r="A1111" t="s">
        <v>33</v>
      </c>
      <c r="D1111" t="s">
        <v>2309</v>
      </c>
      <c r="E1111" t="s">
        <v>2348</v>
      </c>
      <c r="F1111" t="s">
        <v>78</v>
      </c>
      <c r="G1111" t="s">
        <v>2588</v>
      </c>
      <c r="H1111" t="s">
        <v>143</v>
      </c>
      <c r="I1111" t="s">
        <v>261</v>
      </c>
      <c r="J1111" t="s">
        <v>145</v>
      </c>
      <c r="K1111" t="s">
        <v>146</v>
      </c>
      <c r="L1111" t="s">
        <v>2589</v>
      </c>
      <c r="M1111" t="s">
        <v>252</v>
      </c>
      <c r="N1111" t="s">
        <v>1303</v>
      </c>
      <c r="O1111" t="s">
        <v>263</v>
      </c>
      <c r="R1111" t="s">
        <v>2599</v>
      </c>
      <c r="S1111" t="s">
        <v>2315</v>
      </c>
      <c r="V1111" t="s">
        <v>2316</v>
      </c>
      <c r="W1111" t="s">
        <v>2353</v>
      </c>
      <c r="AD1111" t="s">
        <v>1323</v>
      </c>
    </row>
    <row r="1112" spans="1:30" x14ac:dyDescent="0.25">
      <c r="A1112" t="s">
        <v>33</v>
      </c>
      <c r="D1112" t="s">
        <v>2309</v>
      </c>
      <c r="E1112" t="s">
        <v>2365</v>
      </c>
      <c r="F1112" t="s">
        <v>78</v>
      </c>
      <c r="G1112" t="s">
        <v>2600</v>
      </c>
      <c r="H1112" t="s">
        <v>280</v>
      </c>
      <c r="I1112" t="s">
        <v>281</v>
      </c>
      <c r="J1112" t="s">
        <v>282</v>
      </c>
      <c r="K1112" t="s">
        <v>283</v>
      </c>
      <c r="L1112" t="s">
        <v>2601</v>
      </c>
      <c r="N1112" t="s">
        <v>1303</v>
      </c>
      <c r="O1112" t="s">
        <v>284</v>
      </c>
      <c r="Q1112" t="s">
        <v>285</v>
      </c>
      <c r="R1112" t="s">
        <v>2602</v>
      </c>
      <c r="S1112" t="s">
        <v>2315</v>
      </c>
      <c r="V1112" t="s">
        <v>2316</v>
      </c>
      <c r="W1112" t="s">
        <v>2369</v>
      </c>
      <c r="AD1112" t="s">
        <v>1305</v>
      </c>
    </row>
    <row r="1113" spans="1:30" x14ac:dyDescent="0.25">
      <c r="A1113" t="s">
        <v>33</v>
      </c>
      <c r="D1113" t="s">
        <v>2309</v>
      </c>
      <c r="E1113" t="s">
        <v>2365</v>
      </c>
      <c r="F1113" t="s">
        <v>78</v>
      </c>
      <c r="G1113" t="s">
        <v>2600</v>
      </c>
      <c r="H1113" t="s">
        <v>38</v>
      </c>
      <c r="I1113" t="s">
        <v>257</v>
      </c>
      <c r="J1113" t="s">
        <v>40</v>
      </c>
      <c r="K1113" t="s">
        <v>41</v>
      </c>
      <c r="L1113" t="s">
        <v>2601</v>
      </c>
      <c r="M1113" t="s">
        <v>82</v>
      </c>
      <c r="N1113" t="s">
        <v>1303</v>
      </c>
      <c r="O1113" t="s">
        <v>258</v>
      </c>
      <c r="R1113" t="s">
        <v>2603</v>
      </c>
      <c r="S1113" t="s">
        <v>2315</v>
      </c>
      <c r="V1113" t="s">
        <v>2316</v>
      </c>
      <c r="W1113" t="s">
        <v>2369</v>
      </c>
      <c r="AD1113" t="s">
        <v>1307</v>
      </c>
    </row>
    <row r="1114" spans="1:30" x14ac:dyDescent="0.25">
      <c r="A1114" t="s">
        <v>33</v>
      </c>
      <c r="D1114" t="s">
        <v>2309</v>
      </c>
      <c r="E1114" t="s">
        <v>2365</v>
      </c>
      <c r="F1114" t="s">
        <v>78</v>
      </c>
      <c r="G1114" t="s">
        <v>2600</v>
      </c>
      <c r="H1114" t="s">
        <v>143</v>
      </c>
      <c r="I1114" t="s">
        <v>276</v>
      </c>
      <c r="J1114" t="s">
        <v>145</v>
      </c>
      <c r="K1114" t="s">
        <v>146</v>
      </c>
      <c r="L1114" t="s">
        <v>2601</v>
      </c>
      <c r="N1114" t="s">
        <v>1303</v>
      </c>
      <c r="O1114" t="s">
        <v>277</v>
      </c>
      <c r="R1114" t="s">
        <v>2604</v>
      </c>
      <c r="S1114" t="s">
        <v>2315</v>
      </c>
      <c r="V1114" t="s">
        <v>2316</v>
      </c>
      <c r="W1114" t="s">
        <v>2369</v>
      </c>
      <c r="X1114" t="s">
        <v>270</v>
      </c>
      <c r="AD1114" t="s">
        <v>1309</v>
      </c>
    </row>
    <row r="1115" spans="1:30" x14ac:dyDescent="0.25">
      <c r="A1115" t="s">
        <v>33</v>
      </c>
      <c r="D1115" t="s">
        <v>2309</v>
      </c>
      <c r="E1115" t="s">
        <v>2365</v>
      </c>
      <c r="F1115" t="s">
        <v>78</v>
      </c>
      <c r="G1115" t="s">
        <v>2600</v>
      </c>
      <c r="H1115" t="s">
        <v>143</v>
      </c>
      <c r="I1115" t="s">
        <v>272</v>
      </c>
      <c r="J1115" t="s">
        <v>145</v>
      </c>
      <c r="K1115" t="s">
        <v>146</v>
      </c>
      <c r="L1115" t="s">
        <v>2601</v>
      </c>
      <c r="N1115" t="s">
        <v>1303</v>
      </c>
      <c r="O1115" t="s">
        <v>273</v>
      </c>
      <c r="R1115" t="s">
        <v>2605</v>
      </c>
      <c r="S1115" t="s">
        <v>2315</v>
      </c>
      <c r="V1115" t="s">
        <v>2316</v>
      </c>
      <c r="W1115" t="s">
        <v>2369</v>
      </c>
      <c r="X1115" t="s">
        <v>270</v>
      </c>
      <c r="AD1115" t="s">
        <v>1311</v>
      </c>
    </row>
    <row r="1116" spans="1:30" x14ac:dyDescent="0.25">
      <c r="A1116" t="s">
        <v>33</v>
      </c>
      <c r="D1116" t="s">
        <v>2309</v>
      </c>
      <c r="E1116" t="s">
        <v>2365</v>
      </c>
      <c r="F1116" t="s">
        <v>78</v>
      </c>
      <c r="G1116" t="s">
        <v>2600</v>
      </c>
      <c r="H1116" t="s">
        <v>143</v>
      </c>
      <c r="I1116" t="s">
        <v>257</v>
      </c>
      <c r="J1116" t="s">
        <v>145</v>
      </c>
      <c r="K1116" t="s">
        <v>146</v>
      </c>
      <c r="L1116" t="s">
        <v>2601</v>
      </c>
      <c r="M1116" t="s">
        <v>82</v>
      </c>
      <c r="N1116" t="s">
        <v>1303</v>
      </c>
      <c r="O1116" t="s">
        <v>292</v>
      </c>
      <c r="R1116" t="s">
        <v>2606</v>
      </c>
      <c r="S1116" t="s">
        <v>2315</v>
      </c>
      <c r="V1116" t="s">
        <v>2316</v>
      </c>
      <c r="W1116" t="s">
        <v>2369</v>
      </c>
      <c r="AD1116" t="s">
        <v>1313</v>
      </c>
    </row>
    <row r="1117" spans="1:30" x14ac:dyDescent="0.25">
      <c r="A1117" t="s">
        <v>33</v>
      </c>
      <c r="D1117" t="s">
        <v>2309</v>
      </c>
      <c r="E1117" t="s">
        <v>2365</v>
      </c>
      <c r="F1117" t="s">
        <v>78</v>
      </c>
      <c r="G1117" t="s">
        <v>2600</v>
      </c>
      <c r="H1117" t="s">
        <v>143</v>
      </c>
      <c r="I1117" t="s">
        <v>295</v>
      </c>
      <c r="J1117" t="s">
        <v>145</v>
      </c>
      <c r="K1117" t="s">
        <v>146</v>
      </c>
      <c r="L1117" t="s">
        <v>2601</v>
      </c>
      <c r="M1117" t="s">
        <v>82</v>
      </c>
      <c r="N1117" t="s">
        <v>1303</v>
      </c>
      <c r="O1117" t="s">
        <v>296</v>
      </c>
      <c r="R1117" t="s">
        <v>2607</v>
      </c>
      <c r="S1117" t="s">
        <v>2315</v>
      </c>
      <c r="V1117" t="s">
        <v>2316</v>
      </c>
      <c r="W1117" t="s">
        <v>2369</v>
      </c>
      <c r="AD1117" t="s">
        <v>1315</v>
      </c>
    </row>
    <row r="1118" spans="1:30" x14ac:dyDescent="0.25">
      <c r="A1118" t="s">
        <v>33</v>
      </c>
      <c r="D1118" t="s">
        <v>2309</v>
      </c>
      <c r="E1118" t="s">
        <v>2365</v>
      </c>
      <c r="F1118" t="s">
        <v>78</v>
      </c>
      <c r="G1118" t="s">
        <v>2600</v>
      </c>
      <c r="H1118" t="s">
        <v>143</v>
      </c>
      <c r="I1118" t="s">
        <v>299</v>
      </c>
      <c r="J1118" t="s">
        <v>145</v>
      </c>
      <c r="K1118" t="s">
        <v>146</v>
      </c>
      <c r="L1118" t="s">
        <v>2601</v>
      </c>
      <c r="M1118" t="s">
        <v>82</v>
      </c>
      <c r="N1118" t="s">
        <v>1303</v>
      </c>
      <c r="O1118" t="s">
        <v>300</v>
      </c>
      <c r="R1118" t="s">
        <v>2608</v>
      </c>
      <c r="S1118" t="s">
        <v>2315</v>
      </c>
      <c r="V1118" t="s">
        <v>2316</v>
      </c>
      <c r="W1118" t="s">
        <v>2369</v>
      </c>
      <c r="AD1118" t="s">
        <v>1317</v>
      </c>
    </row>
    <row r="1119" spans="1:30" x14ac:dyDescent="0.25">
      <c r="A1119" t="s">
        <v>33</v>
      </c>
      <c r="D1119" t="s">
        <v>2309</v>
      </c>
      <c r="E1119" t="s">
        <v>2365</v>
      </c>
      <c r="F1119" t="s">
        <v>78</v>
      </c>
      <c r="G1119" t="s">
        <v>2600</v>
      </c>
      <c r="H1119" t="s">
        <v>38</v>
      </c>
      <c r="I1119" t="s">
        <v>250</v>
      </c>
      <c r="J1119" t="s">
        <v>40</v>
      </c>
      <c r="K1119" t="s">
        <v>41</v>
      </c>
      <c r="L1119" t="s">
        <v>2601</v>
      </c>
      <c r="M1119" t="s">
        <v>252</v>
      </c>
      <c r="N1119" t="s">
        <v>1303</v>
      </c>
      <c r="O1119" t="s">
        <v>254</v>
      </c>
      <c r="R1119" t="s">
        <v>2609</v>
      </c>
      <c r="S1119" t="s">
        <v>2315</v>
      </c>
      <c r="V1119" t="s">
        <v>2316</v>
      </c>
      <c r="W1119" t="s">
        <v>2369</v>
      </c>
      <c r="AD1119" t="s">
        <v>1319</v>
      </c>
    </row>
    <row r="1120" spans="1:30" x14ac:dyDescent="0.25">
      <c r="A1120" t="s">
        <v>33</v>
      </c>
      <c r="D1120" t="s">
        <v>2309</v>
      </c>
      <c r="E1120" t="s">
        <v>2365</v>
      </c>
      <c r="F1120" t="s">
        <v>78</v>
      </c>
      <c r="G1120" t="s">
        <v>2600</v>
      </c>
      <c r="H1120" t="s">
        <v>143</v>
      </c>
      <c r="I1120" t="s">
        <v>267</v>
      </c>
      <c r="J1120" t="s">
        <v>145</v>
      </c>
      <c r="K1120" t="s">
        <v>146</v>
      </c>
      <c r="L1120" t="s">
        <v>2601</v>
      </c>
      <c r="N1120" t="s">
        <v>1303</v>
      </c>
      <c r="O1120" t="s">
        <v>268</v>
      </c>
      <c r="R1120" t="s">
        <v>2610</v>
      </c>
      <c r="S1120" t="s">
        <v>2315</v>
      </c>
      <c r="V1120" t="s">
        <v>2316</v>
      </c>
      <c r="W1120" t="s">
        <v>2369</v>
      </c>
      <c r="X1120" t="s">
        <v>270</v>
      </c>
      <c r="AD1120" t="s">
        <v>1321</v>
      </c>
    </row>
    <row r="1121" spans="1:30" x14ac:dyDescent="0.25">
      <c r="A1121" t="s">
        <v>33</v>
      </c>
      <c r="D1121" t="s">
        <v>2309</v>
      </c>
      <c r="E1121" t="s">
        <v>2365</v>
      </c>
      <c r="F1121" t="s">
        <v>78</v>
      </c>
      <c r="G1121" t="s">
        <v>2600</v>
      </c>
      <c r="H1121" t="s">
        <v>143</v>
      </c>
      <c r="I1121" t="s">
        <v>261</v>
      </c>
      <c r="J1121" t="s">
        <v>145</v>
      </c>
      <c r="K1121" t="s">
        <v>146</v>
      </c>
      <c r="L1121" t="s">
        <v>2601</v>
      </c>
      <c r="M1121" t="s">
        <v>252</v>
      </c>
      <c r="N1121" t="s">
        <v>1303</v>
      </c>
      <c r="O1121" t="s">
        <v>263</v>
      </c>
      <c r="R1121" t="s">
        <v>2611</v>
      </c>
      <c r="S1121" t="s">
        <v>2315</v>
      </c>
      <c r="V1121" t="s">
        <v>2316</v>
      </c>
      <c r="W1121" t="s">
        <v>2369</v>
      </c>
      <c r="AD1121" t="s">
        <v>1323</v>
      </c>
    </row>
    <row r="1122" spans="1:30" x14ac:dyDescent="0.25">
      <c r="A1122" t="s">
        <v>33</v>
      </c>
      <c r="D1122" t="s">
        <v>2309</v>
      </c>
      <c r="E1122" t="s">
        <v>2310</v>
      </c>
      <c r="F1122" t="s">
        <v>87</v>
      </c>
      <c r="G1122" t="s">
        <v>2612</v>
      </c>
      <c r="H1122" t="s">
        <v>38</v>
      </c>
      <c r="I1122" t="s">
        <v>106</v>
      </c>
      <c r="J1122" t="s">
        <v>40</v>
      </c>
      <c r="K1122" t="s">
        <v>41</v>
      </c>
      <c r="L1122" t="s">
        <v>2613</v>
      </c>
      <c r="M1122" t="s">
        <v>252</v>
      </c>
      <c r="N1122" t="s">
        <v>2614</v>
      </c>
      <c r="O1122" t="s">
        <v>109</v>
      </c>
      <c r="R1122" t="s">
        <v>2615</v>
      </c>
      <c r="S1122" t="s">
        <v>2315</v>
      </c>
      <c r="V1122" t="s">
        <v>2316</v>
      </c>
      <c r="W1122" t="s">
        <v>2317</v>
      </c>
      <c r="AD1122" t="s">
        <v>2616</v>
      </c>
    </row>
    <row r="1123" spans="1:30" x14ac:dyDescent="0.25">
      <c r="A1123" t="s">
        <v>33</v>
      </c>
      <c r="D1123" t="s">
        <v>2309</v>
      </c>
      <c r="E1123" t="s">
        <v>2310</v>
      </c>
      <c r="F1123" t="s">
        <v>87</v>
      </c>
      <c r="G1123" t="s">
        <v>2612</v>
      </c>
      <c r="H1123" t="s">
        <v>38</v>
      </c>
      <c r="I1123" t="s">
        <v>25</v>
      </c>
      <c r="J1123" t="s">
        <v>69</v>
      </c>
      <c r="K1123" t="s">
        <v>41</v>
      </c>
      <c r="L1123" t="s">
        <v>2613</v>
      </c>
      <c r="M1123" t="s">
        <v>252</v>
      </c>
      <c r="N1123" t="s">
        <v>2614</v>
      </c>
      <c r="O1123" t="s">
        <v>512</v>
      </c>
      <c r="R1123" t="s">
        <v>2617</v>
      </c>
      <c r="S1123" t="s">
        <v>2315</v>
      </c>
      <c r="V1123" t="s">
        <v>2316</v>
      </c>
      <c r="W1123" t="s">
        <v>2317</v>
      </c>
      <c r="AD1123" t="s">
        <v>2618</v>
      </c>
    </row>
    <row r="1124" spans="1:30" x14ac:dyDescent="0.25">
      <c r="A1124" t="s">
        <v>33</v>
      </c>
      <c r="D1124" t="s">
        <v>2309</v>
      </c>
      <c r="E1124" t="s">
        <v>2310</v>
      </c>
      <c r="F1124" t="s">
        <v>87</v>
      </c>
      <c r="G1124" t="s">
        <v>2612</v>
      </c>
      <c r="H1124" t="s">
        <v>38</v>
      </c>
      <c r="I1124" t="s">
        <v>24</v>
      </c>
      <c r="J1124" t="s">
        <v>69</v>
      </c>
      <c r="K1124" t="s">
        <v>41</v>
      </c>
      <c r="L1124" t="s">
        <v>2613</v>
      </c>
      <c r="M1124" t="s">
        <v>252</v>
      </c>
      <c r="N1124" t="s">
        <v>2614</v>
      </c>
      <c r="O1124" t="s">
        <v>509</v>
      </c>
      <c r="R1124" t="s">
        <v>2619</v>
      </c>
      <c r="S1124" t="s">
        <v>2315</v>
      </c>
      <c r="V1124" t="s">
        <v>2316</v>
      </c>
      <c r="W1124" t="s">
        <v>2317</v>
      </c>
      <c r="AD1124" t="s">
        <v>2620</v>
      </c>
    </row>
    <row r="1125" spans="1:30" x14ac:dyDescent="0.25">
      <c r="A1125" t="s">
        <v>33</v>
      </c>
      <c r="D1125" t="s">
        <v>2309</v>
      </c>
      <c r="E1125" t="s">
        <v>2310</v>
      </c>
      <c r="F1125" t="s">
        <v>87</v>
      </c>
      <c r="G1125" t="s">
        <v>2621</v>
      </c>
      <c r="H1125" t="s">
        <v>38</v>
      </c>
      <c r="I1125" t="s">
        <v>106</v>
      </c>
      <c r="J1125" t="s">
        <v>40</v>
      </c>
      <c r="K1125" t="s">
        <v>41</v>
      </c>
      <c r="L1125" t="s">
        <v>2622</v>
      </c>
      <c r="M1125" t="s">
        <v>252</v>
      </c>
      <c r="N1125" t="s">
        <v>371</v>
      </c>
      <c r="O1125" t="s">
        <v>109</v>
      </c>
      <c r="R1125" t="s">
        <v>2623</v>
      </c>
      <c r="S1125" t="s">
        <v>2315</v>
      </c>
      <c r="V1125" t="s">
        <v>2316</v>
      </c>
      <c r="W1125" t="s">
        <v>2317</v>
      </c>
      <c r="AD1125" t="s">
        <v>373</v>
      </c>
    </row>
    <row r="1126" spans="1:30" x14ac:dyDescent="0.25">
      <c r="A1126" t="s">
        <v>33</v>
      </c>
      <c r="D1126" t="s">
        <v>2309</v>
      </c>
      <c r="E1126" t="s">
        <v>2310</v>
      </c>
      <c r="F1126" t="s">
        <v>87</v>
      </c>
      <c r="G1126" t="s">
        <v>2621</v>
      </c>
      <c r="H1126" t="s">
        <v>38</v>
      </c>
      <c r="I1126" t="s">
        <v>25</v>
      </c>
      <c r="J1126" t="s">
        <v>69</v>
      </c>
      <c r="K1126" t="s">
        <v>41</v>
      </c>
      <c r="L1126" t="s">
        <v>2622</v>
      </c>
      <c r="M1126" t="s">
        <v>252</v>
      </c>
      <c r="N1126" t="s">
        <v>371</v>
      </c>
      <c r="O1126" t="s">
        <v>512</v>
      </c>
      <c r="R1126" t="s">
        <v>2624</v>
      </c>
      <c r="S1126" t="s">
        <v>2315</v>
      </c>
      <c r="V1126" t="s">
        <v>2316</v>
      </c>
      <c r="W1126" t="s">
        <v>2317</v>
      </c>
      <c r="AD1126" t="s">
        <v>538</v>
      </c>
    </row>
    <row r="1127" spans="1:30" x14ac:dyDescent="0.25">
      <c r="A1127" t="s">
        <v>33</v>
      </c>
      <c r="D1127" t="s">
        <v>2309</v>
      </c>
      <c r="E1127" t="s">
        <v>2310</v>
      </c>
      <c r="F1127" t="s">
        <v>87</v>
      </c>
      <c r="G1127" t="s">
        <v>2621</v>
      </c>
      <c r="H1127" t="s">
        <v>38</v>
      </c>
      <c r="I1127" t="s">
        <v>24</v>
      </c>
      <c r="J1127" t="s">
        <v>69</v>
      </c>
      <c r="K1127" t="s">
        <v>41</v>
      </c>
      <c r="L1127" t="s">
        <v>2622</v>
      </c>
      <c r="M1127" t="s">
        <v>252</v>
      </c>
      <c r="N1127" t="s">
        <v>371</v>
      </c>
      <c r="O1127" t="s">
        <v>509</v>
      </c>
      <c r="R1127" t="s">
        <v>2625</v>
      </c>
      <c r="S1127" t="s">
        <v>2315</v>
      </c>
      <c r="V1127" t="s">
        <v>2316</v>
      </c>
      <c r="W1127" t="s">
        <v>2317</v>
      </c>
      <c r="AD1127" t="s">
        <v>536</v>
      </c>
    </row>
    <row r="1128" spans="1:30" x14ac:dyDescent="0.25">
      <c r="A1128" t="s">
        <v>33</v>
      </c>
      <c r="D1128" t="s">
        <v>2309</v>
      </c>
      <c r="E1128" t="s">
        <v>2310</v>
      </c>
      <c r="F1128" t="s">
        <v>87</v>
      </c>
      <c r="G1128" t="s">
        <v>2626</v>
      </c>
      <c r="H1128" t="s">
        <v>38</v>
      </c>
      <c r="I1128" t="s">
        <v>106</v>
      </c>
      <c r="J1128" t="s">
        <v>40</v>
      </c>
      <c r="K1128" t="s">
        <v>41</v>
      </c>
      <c r="L1128" t="s">
        <v>2627</v>
      </c>
      <c r="M1128" t="s">
        <v>252</v>
      </c>
      <c r="N1128" t="s">
        <v>1558</v>
      </c>
      <c r="O1128" t="s">
        <v>109</v>
      </c>
      <c r="R1128" t="s">
        <v>2628</v>
      </c>
      <c r="S1128" t="s">
        <v>2315</v>
      </c>
      <c r="V1128" t="s">
        <v>2316</v>
      </c>
      <c r="W1128" t="s">
        <v>2317</v>
      </c>
      <c r="AD1128" t="s">
        <v>1560</v>
      </c>
    </row>
    <row r="1129" spans="1:30" x14ac:dyDescent="0.25">
      <c r="A1129" t="s">
        <v>33</v>
      </c>
      <c r="D1129" t="s">
        <v>2309</v>
      </c>
      <c r="E1129" t="s">
        <v>2310</v>
      </c>
      <c r="F1129" t="s">
        <v>87</v>
      </c>
      <c r="G1129" t="s">
        <v>2626</v>
      </c>
      <c r="H1129" t="s">
        <v>38</v>
      </c>
      <c r="I1129" t="s">
        <v>25</v>
      </c>
      <c r="J1129" t="s">
        <v>69</v>
      </c>
      <c r="K1129" t="s">
        <v>41</v>
      </c>
      <c r="L1129" t="s">
        <v>2627</v>
      </c>
      <c r="M1129" t="s">
        <v>252</v>
      </c>
      <c r="N1129" t="s">
        <v>1558</v>
      </c>
      <c r="O1129" t="s">
        <v>512</v>
      </c>
      <c r="R1129" t="s">
        <v>1024</v>
      </c>
      <c r="S1129" t="s">
        <v>2315</v>
      </c>
      <c r="V1129" t="s">
        <v>2316</v>
      </c>
      <c r="W1129" t="s">
        <v>2317</v>
      </c>
      <c r="AD1129" t="s">
        <v>1562</v>
      </c>
    </row>
    <row r="1130" spans="1:30" x14ac:dyDescent="0.25">
      <c r="A1130" t="s">
        <v>33</v>
      </c>
      <c r="D1130" t="s">
        <v>2309</v>
      </c>
      <c r="E1130" t="s">
        <v>2310</v>
      </c>
      <c r="F1130" t="s">
        <v>87</v>
      </c>
      <c r="G1130" t="s">
        <v>2626</v>
      </c>
      <c r="H1130" t="s">
        <v>38</v>
      </c>
      <c r="I1130" t="s">
        <v>24</v>
      </c>
      <c r="J1130" t="s">
        <v>69</v>
      </c>
      <c r="K1130" t="s">
        <v>41</v>
      </c>
      <c r="L1130" t="s">
        <v>2627</v>
      </c>
      <c r="M1130" t="s">
        <v>252</v>
      </c>
      <c r="N1130" t="s">
        <v>1558</v>
      </c>
      <c r="O1130" t="s">
        <v>509</v>
      </c>
      <c r="R1130" t="s">
        <v>1026</v>
      </c>
      <c r="S1130" t="s">
        <v>2315</v>
      </c>
      <c r="V1130" t="s">
        <v>2316</v>
      </c>
      <c r="W1130" t="s">
        <v>2317</v>
      </c>
      <c r="AD1130" t="s">
        <v>1564</v>
      </c>
    </row>
    <row r="1131" spans="1:30" x14ac:dyDescent="0.25">
      <c r="A1131" t="s">
        <v>33</v>
      </c>
      <c r="D1131" t="s">
        <v>2309</v>
      </c>
      <c r="E1131" t="s">
        <v>2310</v>
      </c>
      <c r="F1131" t="s">
        <v>87</v>
      </c>
      <c r="G1131" t="s">
        <v>2629</v>
      </c>
      <c r="H1131" t="s">
        <v>38</v>
      </c>
      <c r="I1131" t="s">
        <v>106</v>
      </c>
      <c r="J1131" t="s">
        <v>40</v>
      </c>
      <c r="K1131" t="s">
        <v>41</v>
      </c>
      <c r="L1131" t="s">
        <v>2630</v>
      </c>
      <c r="M1131" t="s">
        <v>252</v>
      </c>
      <c r="N1131" t="s">
        <v>2631</v>
      </c>
      <c r="O1131" t="s">
        <v>109</v>
      </c>
      <c r="R1131" t="s">
        <v>2632</v>
      </c>
      <c r="S1131" t="s">
        <v>2315</v>
      </c>
      <c r="V1131" t="s">
        <v>2316</v>
      </c>
      <c r="W1131" t="s">
        <v>2317</v>
      </c>
      <c r="AD1131" t="s">
        <v>2633</v>
      </c>
    </row>
    <row r="1132" spans="1:30" x14ac:dyDescent="0.25">
      <c r="A1132" t="s">
        <v>33</v>
      </c>
      <c r="D1132" t="s">
        <v>2309</v>
      </c>
      <c r="E1132" t="s">
        <v>2310</v>
      </c>
      <c r="F1132" t="s">
        <v>87</v>
      </c>
      <c r="G1132" t="s">
        <v>2629</v>
      </c>
      <c r="H1132" t="s">
        <v>38</v>
      </c>
      <c r="I1132" t="s">
        <v>25</v>
      </c>
      <c r="J1132" t="s">
        <v>69</v>
      </c>
      <c r="K1132" t="s">
        <v>41</v>
      </c>
      <c r="L1132" t="s">
        <v>2630</v>
      </c>
      <c r="M1132" t="s">
        <v>252</v>
      </c>
      <c r="N1132" t="s">
        <v>2631</v>
      </c>
      <c r="O1132" t="s">
        <v>512</v>
      </c>
      <c r="R1132" t="s">
        <v>2634</v>
      </c>
      <c r="S1132" t="s">
        <v>2315</v>
      </c>
      <c r="V1132" t="s">
        <v>2316</v>
      </c>
      <c r="W1132" t="s">
        <v>2317</v>
      </c>
      <c r="AD1132" t="s">
        <v>2635</v>
      </c>
    </row>
    <row r="1133" spans="1:30" x14ac:dyDescent="0.25">
      <c r="A1133" t="s">
        <v>33</v>
      </c>
      <c r="D1133" t="s">
        <v>2309</v>
      </c>
      <c r="E1133" t="s">
        <v>2310</v>
      </c>
      <c r="F1133" t="s">
        <v>87</v>
      </c>
      <c r="G1133" t="s">
        <v>2629</v>
      </c>
      <c r="H1133" t="s">
        <v>38</v>
      </c>
      <c r="I1133" t="s">
        <v>24</v>
      </c>
      <c r="J1133" t="s">
        <v>69</v>
      </c>
      <c r="K1133" t="s">
        <v>41</v>
      </c>
      <c r="L1133" t="s">
        <v>2630</v>
      </c>
      <c r="M1133" t="s">
        <v>252</v>
      </c>
      <c r="N1133" t="s">
        <v>2631</v>
      </c>
      <c r="O1133" t="s">
        <v>509</v>
      </c>
      <c r="R1133" t="s">
        <v>2636</v>
      </c>
      <c r="S1133" t="s">
        <v>2315</v>
      </c>
      <c r="V1133" t="s">
        <v>2316</v>
      </c>
      <c r="W1133" t="s">
        <v>2317</v>
      </c>
      <c r="AD1133" t="s">
        <v>2637</v>
      </c>
    </row>
    <row r="1134" spans="1:30" x14ac:dyDescent="0.25">
      <c r="A1134" t="s">
        <v>33</v>
      </c>
      <c r="D1134" t="s">
        <v>2309</v>
      </c>
      <c r="E1134" t="s">
        <v>2348</v>
      </c>
      <c r="F1134" t="s">
        <v>87</v>
      </c>
      <c r="G1134" t="s">
        <v>2638</v>
      </c>
      <c r="H1134" t="s">
        <v>153</v>
      </c>
      <c r="I1134" t="s">
        <v>144</v>
      </c>
      <c r="J1134" t="s">
        <v>154</v>
      </c>
      <c r="K1134" t="s">
        <v>155</v>
      </c>
      <c r="L1134" t="s">
        <v>2639</v>
      </c>
      <c r="N1134" t="s">
        <v>694</v>
      </c>
      <c r="O1134" t="s">
        <v>156</v>
      </c>
      <c r="R1134" t="s">
        <v>2640</v>
      </c>
      <c r="S1134" t="s">
        <v>2315</v>
      </c>
      <c r="V1134" t="s">
        <v>2316</v>
      </c>
      <c r="W1134" t="s">
        <v>2353</v>
      </c>
      <c r="AD1134" t="s">
        <v>1224</v>
      </c>
    </row>
    <row r="1135" spans="1:30" x14ac:dyDescent="0.25">
      <c r="A1135" t="s">
        <v>33</v>
      </c>
      <c r="D1135" t="s">
        <v>2309</v>
      </c>
      <c r="E1135" t="s">
        <v>2348</v>
      </c>
      <c r="F1135" t="s">
        <v>87</v>
      </c>
      <c r="G1135" t="s">
        <v>2638</v>
      </c>
      <c r="H1135" t="s">
        <v>89</v>
      </c>
      <c r="I1135" t="s">
        <v>144</v>
      </c>
      <c r="J1135" t="s">
        <v>91</v>
      </c>
      <c r="K1135" t="s">
        <v>92</v>
      </c>
      <c r="L1135" t="s">
        <v>2639</v>
      </c>
      <c r="M1135" t="s">
        <v>94</v>
      </c>
      <c r="N1135" t="s">
        <v>694</v>
      </c>
      <c r="O1135" t="s">
        <v>150</v>
      </c>
      <c r="P1135" t="s">
        <v>2386</v>
      </c>
      <c r="R1135" t="s">
        <v>2641</v>
      </c>
      <c r="S1135" t="s">
        <v>2315</v>
      </c>
      <c r="V1135" t="s">
        <v>2316</v>
      </c>
      <c r="W1135" t="s">
        <v>2353</v>
      </c>
      <c r="AD1135" t="s">
        <v>1445</v>
      </c>
    </row>
    <row r="1136" spans="1:30" x14ac:dyDescent="0.25">
      <c r="A1136" t="s">
        <v>33</v>
      </c>
      <c r="D1136" t="s">
        <v>2309</v>
      </c>
      <c r="E1136" t="s">
        <v>2348</v>
      </c>
      <c r="F1136" t="s">
        <v>87</v>
      </c>
      <c r="G1136" t="s">
        <v>2638</v>
      </c>
      <c r="H1136" t="s">
        <v>143</v>
      </c>
      <c r="I1136" t="s">
        <v>144</v>
      </c>
      <c r="J1136" t="s">
        <v>145</v>
      </c>
      <c r="K1136" t="s">
        <v>146</v>
      </c>
      <c r="L1136" t="s">
        <v>2639</v>
      </c>
      <c r="M1136" t="s">
        <v>252</v>
      </c>
      <c r="N1136" t="s">
        <v>694</v>
      </c>
      <c r="O1136" t="s">
        <v>147</v>
      </c>
      <c r="R1136" t="s">
        <v>2642</v>
      </c>
      <c r="S1136" t="s">
        <v>2315</v>
      </c>
      <c r="V1136" t="s">
        <v>2316</v>
      </c>
      <c r="W1136" t="s">
        <v>2353</v>
      </c>
      <c r="AD1136" t="s">
        <v>1447</v>
      </c>
    </row>
    <row r="1137" spans="1:30" x14ac:dyDescent="0.25">
      <c r="A1137" t="s">
        <v>33</v>
      </c>
      <c r="D1137" t="s">
        <v>2309</v>
      </c>
      <c r="E1137" t="s">
        <v>2348</v>
      </c>
      <c r="F1137" t="s">
        <v>87</v>
      </c>
      <c r="G1137" t="s">
        <v>2638</v>
      </c>
      <c r="H1137" t="s">
        <v>153</v>
      </c>
      <c r="I1137" t="s">
        <v>180</v>
      </c>
      <c r="J1137" t="s">
        <v>154</v>
      </c>
      <c r="K1137" t="s">
        <v>155</v>
      </c>
      <c r="L1137" t="s">
        <v>2639</v>
      </c>
      <c r="N1137" t="s">
        <v>694</v>
      </c>
      <c r="O1137" t="s">
        <v>187</v>
      </c>
      <c r="R1137" t="s">
        <v>2643</v>
      </c>
      <c r="S1137" t="s">
        <v>2315</v>
      </c>
      <c r="V1137" t="s">
        <v>2316</v>
      </c>
      <c r="W1137" t="s">
        <v>2353</v>
      </c>
      <c r="AD1137" t="s">
        <v>1654</v>
      </c>
    </row>
    <row r="1138" spans="1:30" x14ac:dyDescent="0.25">
      <c r="A1138" t="s">
        <v>33</v>
      </c>
      <c r="D1138" t="s">
        <v>2309</v>
      </c>
      <c r="E1138" t="s">
        <v>2348</v>
      </c>
      <c r="F1138" t="s">
        <v>87</v>
      </c>
      <c r="G1138" t="s">
        <v>2638</v>
      </c>
      <c r="H1138" t="s">
        <v>89</v>
      </c>
      <c r="I1138" t="s">
        <v>180</v>
      </c>
      <c r="J1138" t="s">
        <v>91</v>
      </c>
      <c r="K1138" t="s">
        <v>92</v>
      </c>
      <c r="L1138" t="s">
        <v>2639</v>
      </c>
      <c r="M1138" t="s">
        <v>94</v>
      </c>
      <c r="N1138" t="s">
        <v>694</v>
      </c>
      <c r="O1138" t="s">
        <v>184</v>
      </c>
      <c r="P1138" t="s">
        <v>2386</v>
      </c>
      <c r="R1138" t="s">
        <v>2644</v>
      </c>
      <c r="S1138" t="s">
        <v>2315</v>
      </c>
      <c r="V1138" t="s">
        <v>2316</v>
      </c>
      <c r="W1138" t="s">
        <v>2353</v>
      </c>
      <c r="AD1138" t="s">
        <v>1455</v>
      </c>
    </row>
    <row r="1139" spans="1:30" x14ac:dyDescent="0.25">
      <c r="A1139" t="s">
        <v>33</v>
      </c>
      <c r="D1139" t="s">
        <v>2309</v>
      </c>
      <c r="E1139" t="s">
        <v>2348</v>
      </c>
      <c r="F1139" t="s">
        <v>87</v>
      </c>
      <c r="G1139" t="s">
        <v>2638</v>
      </c>
      <c r="H1139" t="s">
        <v>143</v>
      </c>
      <c r="I1139" t="s">
        <v>180</v>
      </c>
      <c r="J1139" t="s">
        <v>145</v>
      </c>
      <c r="K1139" t="s">
        <v>146</v>
      </c>
      <c r="L1139" t="s">
        <v>2639</v>
      </c>
      <c r="M1139" t="s">
        <v>252</v>
      </c>
      <c r="N1139" t="s">
        <v>694</v>
      </c>
      <c r="O1139" t="s">
        <v>181</v>
      </c>
      <c r="R1139" t="s">
        <v>2645</v>
      </c>
      <c r="S1139" t="s">
        <v>2315</v>
      </c>
      <c r="V1139" t="s">
        <v>2316</v>
      </c>
      <c r="W1139" t="s">
        <v>2353</v>
      </c>
      <c r="AD1139" t="s">
        <v>1457</v>
      </c>
    </row>
    <row r="1140" spans="1:30" x14ac:dyDescent="0.25">
      <c r="A1140" t="s">
        <v>33</v>
      </c>
      <c r="D1140" t="s">
        <v>2309</v>
      </c>
      <c r="E1140" t="s">
        <v>2348</v>
      </c>
      <c r="F1140" t="s">
        <v>87</v>
      </c>
      <c r="G1140" t="s">
        <v>2638</v>
      </c>
      <c r="H1140" t="s">
        <v>38</v>
      </c>
      <c r="I1140" t="s">
        <v>106</v>
      </c>
      <c r="J1140" t="s">
        <v>40</v>
      </c>
      <c r="K1140" t="s">
        <v>41</v>
      </c>
      <c r="L1140" t="s">
        <v>2639</v>
      </c>
      <c r="M1140" t="s">
        <v>252</v>
      </c>
      <c r="N1140" t="s">
        <v>694</v>
      </c>
      <c r="O1140" t="s">
        <v>109</v>
      </c>
      <c r="R1140" t="s">
        <v>2646</v>
      </c>
      <c r="S1140" t="s">
        <v>2315</v>
      </c>
      <c r="V1140" t="s">
        <v>2316</v>
      </c>
      <c r="W1140" t="s">
        <v>2353</v>
      </c>
      <c r="AD1140" t="s">
        <v>1469</v>
      </c>
    </row>
    <row r="1141" spans="1:30" x14ac:dyDescent="0.25">
      <c r="A1141" t="s">
        <v>33</v>
      </c>
      <c r="D1141" t="s">
        <v>2309</v>
      </c>
      <c r="E1141" t="s">
        <v>2348</v>
      </c>
      <c r="F1141" t="s">
        <v>87</v>
      </c>
      <c r="G1141" t="s">
        <v>2638</v>
      </c>
      <c r="H1141" t="s">
        <v>38</v>
      </c>
      <c r="I1141" t="s">
        <v>25</v>
      </c>
      <c r="J1141" t="s">
        <v>69</v>
      </c>
      <c r="K1141" t="s">
        <v>41</v>
      </c>
      <c r="L1141" t="s">
        <v>2639</v>
      </c>
      <c r="M1141" t="s">
        <v>252</v>
      </c>
      <c r="N1141" t="s">
        <v>694</v>
      </c>
      <c r="O1141" t="s">
        <v>512</v>
      </c>
      <c r="R1141" t="s">
        <v>2647</v>
      </c>
      <c r="S1141" t="s">
        <v>2315</v>
      </c>
      <c r="V1141" t="s">
        <v>2316</v>
      </c>
      <c r="W1141" t="s">
        <v>2353</v>
      </c>
      <c r="AD1141" t="s">
        <v>1470</v>
      </c>
    </row>
    <row r="1142" spans="1:30" x14ac:dyDescent="0.25">
      <c r="A1142" t="s">
        <v>33</v>
      </c>
      <c r="D1142" t="s">
        <v>2309</v>
      </c>
      <c r="E1142" t="s">
        <v>2348</v>
      </c>
      <c r="F1142" t="s">
        <v>87</v>
      </c>
      <c r="G1142" t="s">
        <v>2638</v>
      </c>
      <c r="H1142" t="s">
        <v>38</v>
      </c>
      <c r="I1142" t="s">
        <v>24</v>
      </c>
      <c r="J1142" t="s">
        <v>69</v>
      </c>
      <c r="K1142" t="s">
        <v>41</v>
      </c>
      <c r="L1142" t="s">
        <v>2639</v>
      </c>
      <c r="M1142" t="s">
        <v>252</v>
      </c>
      <c r="N1142" t="s">
        <v>694</v>
      </c>
      <c r="O1142" t="s">
        <v>509</v>
      </c>
      <c r="R1142" t="s">
        <v>2648</v>
      </c>
      <c r="S1142" t="s">
        <v>2315</v>
      </c>
      <c r="V1142" t="s">
        <v>2316</v>
      </c>
      <c r="W1142" t="s">
        <v>2353</v>
      </c>
      <c r="AD1142" t="s">
        <v>1471</v>
      </c>
    </row>
    <row r="1143" spans="1:30" x14ac:dyDescent="0.25">
      <c r="A1143" t="s">
        <v>33</v>
      </c>
      <c r="D1143" t="s">
        <v>2309</v>
      </c>
      <c r="E1143" t="s">
        <v>2365</v>
      </c>
      <c r="F1143" t="s">
        <v>87</v>
      </c>
      <c r="G1143" t="s">
        <v>2649</v>
      </c>
      <c r="H1143" t="s">
        <v>153</v>
      </c>
      <c r="I1143" t="s">
        <v>144</v>
      </c>
      <c r="J1143" t="s">
        <v>154</v>
      </c>
      <c r="K1143" t="s">
        <v>155</v>
      </c>
      <c r="L1143" t="s">
        <v>2650</v>
      </c>
      <c r="N1143" t="s">
        <v>694</v>
      </c>
      <c r="O1143" t="s">
        <v>156</v>
      </c>
      <c r="R1143" t="s">
        <v>2651</v>
      </c>
      <c r="S1143" t="s">
        <v>2315</v>
      </c>
      <c r="V1143" t="s">
        <v>2316</v>
      </c>
      <c r="W1143" t="s">
        <v>2369</v>
      </c>
      <c r="AD1143" t="s">
        <v>1224</v>
      </c>
    </row>
    <row r="1144" spans="1:30" x14ac:dyDescent="0.25">
      <c r="A1144" t="s">
        <v>33</v>
      </c>
      <c r="D1144" t="s">
        <v>2309</v>
      </c>
      <c r="E1144" t="s">
        <v>2365</v>
      </c>
      <c r="F1144" t="s">
        <v>87</v>
      </c>
      <c r="G1144" t="s">
        <v>2649</v>
      </c>
      <c r="H1144" t="s">
        <v>89</v>
      </c>
      <c r="I1144" t="s">
        <v>144</v>
      </c>
      <c r="J1144" t="s">
        <v>91</v>
      </c>
      <c r="K1144" t="s">
        <v>92</v>
      </c>
      <c r="L1144" t="s">
        <v>2650</v>
      </c>
      <c r="M1144" t="s">
        <v>94</v>
      </c>
      <c r="N1144" t="s">
        <v>694</v>
      </c>
      <c r="O1144" t="s">
        <v>150</v>
      </c>
      <c r="P1144" t="s">
        <v>2386</v>
      </c>
      <c r="R1144" t="s">
        <v>2652</v>
      </c>
      <c r="S1144" t="s">
        <v>2315</v>
      </c>
      <c r="V1144" t="s">
        <v>2316</v>
      </c>
      <c r="W1144" t="s">
        <v>2369</v>
      </c>
      <c r="AD1144" t="s">
        <v>1445</v>
      </c>
    </row>
    <row r="1145" spans="1:30" x14ac:dyDescent="0.25">
      <c r="A1145" t="s">
        <v>33</v>
      </c>
      <c r="D1145" t="s">
        <v>2309</v>
      </c>
      <c r="E1145" t="s">
        <v>2365</v>
      </c>
      <c r="F1145" t="s">
        <v>87</v>
      </c>
      <c r="G1145" t="s">
        <v>2649</v>
      </c>
      <c r="H1145" t="s">
        <v>143</v>
      </c>
      <c r="I1145" t="s">
        <v>144</v>
      </c>
      <c r="J1145" t="s">
        <v>145</v>
      </c>
      <c r="K1145" t="s">
        <v>146</v>
      </c>
      <c r="L1145" t="s">
        <v>2650</v>
      </c>
      <c r="M1145" t="s">
        <v>252</v>
      </c>
      <c r="N1145" t="s">
        <v>694</v>
      </c>
      <c r="O1145" t="s">
        <v>147</v>
      </c>
      <c r="R1145" t="s">
        <v>2653</v>
      </c>
      <c r="S1145" t="s">
        <v>2315</v>
      </c>
      <c r="V1145" t="s">
        <v>2316</v>
      </c>
      <c r="W1145" t="s">
        <v>2369</v>
      </c>
      <c r="AD1145" t="s">
        <v>1447</v>
      </c>
    </row>
    <row r="1146" spans="1:30" x14ac:dyDescent="0.25">
      <c r="A1146" t="s">
        <v>33</v>
      </c>
      <c r="D1146" t="s">
        <v>2309</v>
      </c>
      <c r="E1146" t="s">
        <v>2365</v>
      </c>
      <c r="F1146" t="s">
        <v>87</v>
      </c>
      <c r="G1146" t="s">
        <v>2649</v>
      </c>
      <c r="H1146" t="s">
        <v>153</v>
      </c>
      <c r="I1146" t="s">
        <v>180</v>
      </c>
      <c r="J1146" t="s">
        <v>154</v>
      </c>
      <c r="K1146" t="s">
        <v>155</v>
      </c>
      <c r="L1146" t="s">
        <v>2650</v>
      </c>
      <c r="N1146" t="s">
        <v>694</v>
      </c>
      <c r="O1146" t="s">
        <v>187</v>
      </c>
      <c r="R1146" t="s">
        <v>2654</v>
      </c>
      <c r="S1146" t="s">
        <v>2315</v>
      </c>
      <c r="V1146" t="s">
        <v>2316</v>
      </c>
      <c r="W1146" t="s">
        <v>2369</v>
      </c>
      <c r="AD1146" t="s">
        <v>1654</v>
      </c>
    </row>
    <row r="1147" spans="1:30" x14ac:dyDescent="0.25">
      <c r="A1147" t="s">
        <v>33</v>
      </c>
      <c r="D1147" t="s">
        <v>2309</v>
      </c>
      <c r="E1147" t="s">
        <v>2365</v>
      </c>
      <c r="F1147" t="s">
        <v>87</v>
      </c>
      <c r="G1147" t="s">
        <v>2649</v>
      </c>
      <c r="H1147" t="s">
        <v>89</v>
      </c>
      <c r="I1147" t="s">
        <v>180</v>
      </c>
      <c r="J1147" t="s">
        <v>91</v>
      </c>
      <c r="K1147" t="s">
        <v>92</v>
      </c>
      <c r="L1147" t="s">
        <v>2650</v>
      </c>
      <c r="M1147" t="s">
        <v>94</v>
      </c>
      <c r="N1147" t="s">
        <v>694</v>
      </c>
      <c r="O1147" t="s">
        <v>184</v>
      </c>
      <c r="P1147" t="s">
        <v>2386</v>
      </c>
      <c r="R1147" t="s">
        <v>2655</v>
      </c>
      <c r="S1147" t="s">
        <v>2315</v>
      </c>
      <c r="V1147" t="s">
        <v>2316</v>
      </c>
      <c r="W1147" t="s">
        <v>2369</v>
      </c>
      <c r="AD1147" t="s">
        <v>1455</v>
      </c>
    </row>
    <row r="1148" spans="1:30" x14ac:dyDescent="0.25">
      <c r="A1148" t="s">
        <v>33</v>
      </c>
      <c r="D1148" t="s">
        <v>2309</v>
      </c>
      <c r="E1148" t="s">
        <v>2365</v>
      </c>
      <c r="F1148" t="s">
        <v>87</v>
      </c>
      <c r="G1148" t="s">
        <v>2649</v>
      </c>
      <c r="H1148" t="s">
        <v>143</v>
      </c>
      <c r="I1148" t="s">
        <v>180</v>
      </c>
      <c r="J1148" t="s">
        <v>145</v>
      </c>
      <c r="K1148" t="s">
        <v>146</v>
      </c>
      <c r="L1148" t="s">
        <v>2650</v>
      </c>
      <c r="M1148" t="s">
        <v>252</v>
      </c>
      <c r="N1148" t="s">
        <v>694</v>
      </c>
      <c r="O1148" t="s">
        <v>181</v>
      </c>
      <c r="R1148" t="s">
        <v>2656</v>
      </c>
      <c r="S1148" t="s">
        <v>2315</v>
      </c>
      <c r="V1148" t="s">
        <v>2316</v>
      </c>
      <c r="W1148" t="s">
        <v>2369</v>
      </c>
      <c r="AD1148" t="s">
        <v>1457</v>
      </c>
    </row>
    <row r="1149" spans="1:30" x14ac:dyDescent="0.25">
      <c r="A1149" t="s">
        <v>33</v>
      </c>
      <c r="D1149" t="s">
        <v>2309</v>
      </c>
      <c r="E1149" t="s">
        <v>2365</v>
      </c>
      <c r="F1149" t="s">
        <v>87</v>
      </c>
      <c r="G1149" t="s">
        <v>2649</v>
      </c>
      <c r="H1149" t="s">
        <v>38</v>
      </c>
      <c r="I1149" t="s">
        <v>106</v>
      </c>
      <c r="J1149" t="s">
        <v>40</v>
      </c>
      <c r="K1149" t="s">
        <v>41</v>
      </c>
      <c r="L1149" t="s">
        <v>2650</v>
      </c>
      <c r="M1149" t="s">
        <v>252</v>
      </c>
      <c r="N1149" t="s">
        <v>694</v>
      </c>
      <c r="O1149" t="s">
        <v>109</v>
      </c>
      <c r="R1149" t="s">
        <v>2657</v>
      </c>
      <c r="S1149" t="s">
        <v>2315</v>
      </c>
      <c r="V1149" t="s">
        <v>2316</v>
      </c>
      <c r="W1149" t="s">
        <v>2369</v>
      </c>
      <c r="AD1149" t="s">
        <v>1469</v>
      </c>
    </row>
    <row r="1150" spans="1:30" x14ac:dyDescent="0.25">
      <c r="A1150" t="s">
        <v>33</v>
      </c>
      <c r="D1150" t="s">
        <v>2309</v>
      </c>
      <c r="E1150" t="s">
        <v>2365</v>
      </c>
      <c r="F1150" t="s">
        <v>87</v>
      </c>
      <c r="G1150" t="s">
        <v>2649</v>
      </c>
      <c r="H1150" t="s">
        <v>38</v>
      </c>
      <c r="I1150" t="s">
        <v>25</v>
      </c>
      <c r="J1150" t="s">
        <v>69</v>
      </c>
      <c r="K1150" t="s">
        <v>41</v>
      </c>
      <c r="L1150" t="s">
        <v>2650</v>
      </c>
      <c r="M1150" t="s">
        <v>252</v>
      </c>
      <c r="N1150" t="s">
        <v>694</v>
      </c>
      <c r="O1150" t="s">
        <v>512</v>
      </c>
      <c r="R1150" t="s">
        <v>2658</v>
      </c>
      <c r="S1150" t="s">
        <v>2315</v>
      </c>
      <c r="V1150" t="s">
        <v>2316</v>
      </c>
      <c r="W1150" t="s">
        <v>2369</v>
      </c>
      <c r="AD1150" t="s">
        <v>1470</v>
      </c>
    </row>
    <row r="1151" spans="1:30" x14ac:dyDescent="0.25">
      <c r="A1151" t="s">
        <v>33</v>
      </c>
      <c r="D1151" t="s">
        <v>2309</v>
      </c>
      <c r="E1151" t="s">
        <v>2365</v>
      </c>
      <c r="F1151" t="s">
        <v>87</v>
      </c>
      <c r="G1151" t="s">
        <v>2649</v>
      </c>
      <c r="H1151" t="s">
        <v>38</v>
      </c>
      <c r="I1151" t="s">
        <v>24</v>
      </c>
      <c r="J1151" t="s">
        <v>69</v>
      </c>
      <c r="K1151" t="s">
        <v>41</v>
      </c>
      <c r="L1151" t="s">
        <v>2650</v>
      </c>
      <c r="M1151" t="s">
        <v>252</v>
      </c>
      <c r="N1151" t="s">
        <v>694</v>
      </c>
      <c r="O1151" t="s">
        <v>509</v>
      </c>
      <c r="R1151" t="s">
        <v>2659</v>
      </c>
      <c r="S1151" t="s">
        <v>2315</v>
      </c>
      <c r="V1151" t="s">
        <v>2316</v>
      </c>
      <c r="W1151" t="s">
        <v>2369</v>
      </c>
      <c r="AD1151" t="s">
        <v>1471</v>
      </c>
    </row>
    <row r="1152" spans="1:30" x14ac:dyDescent="0.25">
      <c r="A1152" t="s">
        <v>33</v>
      </c>
      <c r="D1152" t="s">
        <v>2309</v>
      </c>
      <c r="E1152" t="s">
        <v>2310</v>
      </c>
      <c r="H1152" t="s">
        <v>153</v>
      </c>
      <c r="I1152" t="s">
        <v>475</v>
      </c>
      <c r="J1152" t="s">
        <v>154</v>
      </c>
      <c r="K1152" t="s">
        <v>155</v>
      </c>
      <c r="L1152" t="s">
        <v>2660</v>
      </c>
      <c r="N1152" t="s">
        <v>2661</v>
      </c>
      <c r="O1152" t="s">
        <v>476</v>
      </c>
      <c r="R1152" t="s">
        <v>2662</v>
      </c>
      <c r="S1152" t="s">
        <v>2315</v>
      </c>
      <c r="V1152" t="s">
        <v>2316</v>
      </c>
      <c r="W1152" t="s">
        <v>2317</v>
      </c>
      <c r="AD1152" t="s">
        <v>2663</v>
      </c>
    </row>
    <row r="1153" spans="1:30" x14ac:dyDescent="0.25">
      <c r="A1153" t="s">
        <v>947</v>
      </c>
      <c r="B1153" t="s">
        <v>1948</v>
      </c>
      <c r="C1153" t="s">
        <v>949</v>
      </c>
      <c r="D1153" t="s">
        <v>2309</v>
      </c>
      <c r="E1153" t="s">
        <v>2310</v>
      </c>
      <c r="H1153" t="s">
        <v>166</v>
      </c>
      <c r="I1153" t="s">
        <v>2664</v>
      </c>
      <c r="J1153" t="s">
        <v>167</v>
      </c>
      <c r="K1153" t="s">
        <v>41</v>
      </c>
      <c r="L1153" t="s">
        <v>2660</v>
      </c>
      <c r="N1153" t="s">
        <v>2661</v>
      </c>
      <c r="O1153" t="s">
        <v>2665</v>
      </c>
      <c r="P1153" t="s">
        <v>2429</v>
      </c>
      <c r="Q1153" t="s">
        <v>2666</v>
      </c>
      <c r="R1153" t="s">
        <v>2667</v>
      </c>
      <c r="S1153" t="s">
        <v>2315</v>
      </c>
      <c r="V1153" t="s">
        <v>2316</v>
      </c>
      <c r="W1153" t="s">
        <v>2317</v>
      </c>
      <c r="AD1153" t="s">
        <v>2668</v>
      </c>
    </row>
    <row r="1154" spans="1:30" x14ac:dyDescent="0.25">
      <c r="A1154" t="s">
        <v>33</v>
      </c>
      <c r="D1154" t="s">
        <v>2309</v>
      </c>
      <c r="E1154" t="s">
        <v>2310</v>
      </c>
      <c r="H1154" t="s">
        <v>153</v>
      </c>
      <c r="I1154" t="s">
        <v>2664</v>
      </c>
      <c r="J1154" t="s">
        <v>154</v>
      </c>
      <c r="K1154" t="s">
        <v>155</v>
      </c>
      <c r="L1154" t="s">
        <v>2660</v>
      </c>
      <c r="N1154" t="s">
        <v>2661</v>
      </c>
      <c r="O1154" t="s">
        <v>2669</v>
      </c>
      <c r="P1154" t="s">
        <v>2429</v>
      </c>
      <c r="R1154" t="s">
        <v>2670</v>
      </c>
      <c r="S1154" t="s">
        <v>2315</v>
      </c>
      <c r="V1154" t="s">
        <v>2316</v>
      </c>
      <c r="W1154" t="s">
        <v>2317</v>
      </c>
      <c r="AD1154" t="s">
        <v>2671</v>
      </c>
    </row>
    <row r="1155" spans="1:30" x14ac:dyDescent="0.25">
      <c r="A1155" t="s">
        <v>947</v>
      </c>
      <c r="B1155" t="s">
        <v>2672</v>
      </c>
      <c r="C1155" t="s">
        <v>949</v>
      </c>
      <c r="D1155" t="s">
        <v>2309</v>
      </c>
      <c r="E1155" t="s">
        <v>2310</v>
      </c>
      <c r="H1155" t="s">
        <v>280</v>
      </c>
      <c r="I1155" t="s">
        <v>1143</v>
      </c>
      <c r="J1155" t="s">
        <v>282</v>
      </c>
      <c r="K1155" t="s">
        <v>283</v>
      </c>
      <c r="L1155" t="s">
        <v>2660</v>
      </c>
      <c r="N1155" t="s">
        <v>2661</v>
      </c>
      <c r="O1155" t="s">
        <v>2673</v>
      </c>
      <c r="P1155" t="s">
        <v>2429</v>
      </c>
      <c r="Q1155" t="s">
        <v>2674</v>
      </c>
      <c r="R1155" t="s">
        <v>2675</v>
      </c>
      <c r="S1155" t="s">
        <v>2315</v>
      </c>
      <c r="U1155" t="s">
        <v>48</v>
      </c>
      <c r="V1155" t="s">
        <v>2316</v>
      </c>
      <c r="W1155" t="s">
        <v>2317</v>
      </c>
      <c r="AD1155" t="s">
        <v>2676</v>
      </c>
    </row>
    <row r="1156" spans="1:30" x14ac:dyDescent="0.25">
      <c r="A1156" t="s">
        <v>33</v>
      </c>
      <c r="D1156" t="s">
        <v>2309</v>
      </c>
      <c r="E1156" t="s">
        <v>2310</v>
      </c>
      <c r="H1156" t="s">
        <v>166</v>
      </c>
      <c r="I1156" t="s">
        <v>475</v>
      </c>
      <c r="J1156" t="s">
        <v>167</v>
      </c>
      <c r="K1156" t="s">
        <v>41</v>
      </c>
      <c r="L1156" t="s">
        <v>2660</v>
      </c>
      <c r="N1156" t="s">
        <v>2661</v>
      </c>
      <c r="O1156" t="s">
        <v>483</v>
      </c>
      <c r="Q1156" t="s">
        <v>2677</v>
      </c>
      <c r="R1156" t="s">
        <v>2678</v>
      </c>
      <c r="S1156" t="s">
        <v>2315</v>
      </c>
      <c r="V1156" t="s">
        <v>2316</v>
      </c>
      <c r="W1156" t="s">
        <v>2317</v>
      </c>
      <c r="AD1156" t="s">
        <v>2679</v>
      </c>
    </row>
    <row r="1157" spans="1:30" x14ac:dyDescent="0.25">
      <c r="D1157" t="s">
        <v>2309</v>
      </c>
      <c r="E1157" t="s">
        <v>2310</v>
      </c>
      <c r="H1157" t="s">
        <v>280</v>
      </c>
      <c r="I1157" t="s">
        <v>504</v>
      </c>
      <c r="J1157" t="s">
        <v>282</v>
      </c>
      <c r="K1157" t="s">
        <v>283</v>
      </c>
      <c r="L1157" t="s">
        <v>2660</v>
      </c>
      <c r="N1157" t="s">
        <v>2661</v>
      </c>
      <c r="O1157" t="s">
        <v>505</v>
      </c>
      <c r="Q1157" t="s">
        <v>506</v>
      </c>
      <c r="R1157" t="s">
        <v>2680</v>
      </c>
      <c r="S1157" t="s">
        <v>2315</v>
      </c>
      <c r="V1157" t="s">
        <v>2316</v>
      </c>
      <c r="W1157" t="s">
        <v>2317</v>
      </c>
      <c r="AD1157" t="s">
        <v>2681</v>
      </c>
    </row>
    <row r="1158" spans="1:30" x14ac:dyDescent="0.25">
      <c r="A1158" t="s">
        <v>33</v>
      </c>
      <c r="D1158" t="s">
        <v>2309</v>
      </c>
      <c r="E1158" t="s">
        <v>2310</v>
      </c>
      <c r="F1158" t="s">
        <v>87</v>
      </c>
      <c r="G1158" t="s">
        <v>2682</v>
      </c>
      <c r="H1158" t="s">
        <v>153</v>
      </c>
      <c r="I1158" t="s">
        <v>100</v>
      </c>
      <c r="J1158" t="s">
        <v>154</v>
      </c>
      <c r="K1158" t="s">
        <v>155</v>
      </c>
      <c r="L1158" t="s">
        <v>2683</v>
      </c>
      <c r="N1158" t="s">
        <v>2684</v>
      </c>
      <c r="O1158" t="s">
        <v>213</v>
      </c>
      <c r="R1158" t="s">
        <v>2685</v>
      </c>
      <c r="S1158" t="s">
        <v>2315</v>
      </c>
      <c r="V1158" t="s">
        <v>2316</v>
      </c>
      <c r="W1158" t="s">
        <v>2317</v>
      </c>
      <c r="AD1158" t="s">
        <v>2686</v>
      </c>
    </row>
    <row r="1159" spans="1:30" x14ac:dyDescent="0.25">
      <c r="A1159" t="s">
        <v>33</v>
      </c>
      <c r="D1159" t="s">
        <v>2309</v>
      </c>
      <c r="E1159" t="s">
        <v>2310</v>
      </c>
      <c r="F1159" t="s">
        <v>87</v>
      </c>
      <c r="G1159" t="s">
        <v>2682</v>
      </c>
      <c r="H1159" t="s">
        <v>166</v>
      </c>
      <c r="I1159" t="s">
        <v>216</v>
      </c>
      <c r="J1159" t="s">
        <v>167</v>
      </c>
      <c r="K1159" t="s">
        <v>41</v>
      </c>
      <c r="L1159" t="s">
        <v>2683</v>
      </c>
      <c r="N1159" t="s">
        <v>2684</v>
      </c>
      <c r="O1159" t="s">
        <v>217</v>
      </c>
      <c r="Q1159" t="s">
        <v>1584</v>
      </c>
      <c r="R1159" t="s">
        <v>2687</v>
      </c>
      <c r="S1159" t="s">
        <v>2315</v>
      </c>
      <c r="V1159" t="s">
        <v>2316</v>
      </c>
      <c r="W1159" t="s">
        <v>2317</v>
      </c>
      <c r="AD1159" t="s">
        <v>2688</v>
      </c>
    </row>
    <row r="1160" spans="1:30" x14ac:dyDescent="0.25">
      <c r="A1160" t="s">
        <v>33</v>
      </c>
      <c r="D1160" t="s">
        <v>2309</v>
      </c>
      <c r="E1160" t="s">
        <v>2348</v>
      </c>
      <c r="F1160" t="s">
        <v>87</v>
      </c>
      <c r="G1160" t="s">
        <v>2689</v>
      </c>
      <c r="H1160" t="s">
        <v>38</v>
      </c>
      <c r="I1160" t="s">
        <v>106</v>
      </c>
      <c r="J1160" t="s">
        <v>40</v>
      </c>
      <c r="K1160" t="s">
        <v>41</v>
      </c>
      <c r="L1160" t="s">
        <v>2690</v>
      </c>
      <c r="M1160" t="s">
        <v>59</v>
      </c>
      <c r="N1160" t="s">
        <v>2691</v>
      </c>
      <c r="O1160" t="s">
        <v>109</v>
      </c>
      <c r="R1160" t="s">
        <v>2692</v>
      </c>
      <c r="S1160" t="s">
        <v>2315</v>
      </c>
      <c r="V1160" t="s">
        <v>2316</v>
      </c>
      <c r="W1160" t="s">
        <v>2353</v>
      </c>
      <c r="Y1160">
        <v>0</v>
      </c>
      <c r="Z1160">
        <v>1350</v>
      </c>
      <c r="AA1160">
        <v>950</v>
      </c>
      <c r="AB1160">
        <v>1200</v>
      </c>
      <c r="AD1160" t="s">
        <v>2693</v>
      </c>
    </row>
    <row r="1161" spans="1:30" x14ac:dyDescent="0.25">
      <c r="A1161" t="s">
        <v>33</v>
      </c>
      <c r="D1161" t="s">
        <v>2309</v>
      </c>
      <c r="E1161" t="s">
        <v>2365</v>
      </c>
      <c r="F1161" t="s">
        <v>87</v>
      </c>
      <c r="G1161" t="s">
        <v>2689</v>
      </c>
      <c r="H1161" t="s">
        <v>38</v>
      </c>
      <c r="I1161" t="s">
        <v>106</v>
      </c>
      <c r="J1161" t="s">
        <v>40</v>
      </c>
      <c r="K1161" t="s">
        <v>41</v>
      </c>
      <c r="L1161" t="s">
        <v>2690</v>
      </c>
      <c r="M1161" t="s">
        <v>59</v>
      </c>
      <c r="N1161" t="s">
        <v>2691</v>
      </c>
      <c r="O1161" t="s">
        <v>109</v>
      </c>
      <c r="R1161" t="s">
        <v>2694</v>
      </c>
      <c r="S1161" t="s">
        <v>2315</v>
      </c>
      <c r="V1161" t="s">
        <v>2316</v>
      </c>
      <c r="W1161" t="s">
        <v>2369</v>
      </c>
      <c r="Y1161">
        <v>0</v>
      </c>
      <c r="Z1161">
        <v>1350</v>
      </c>
      <c r="AA1161">
        <v>950</v>
      </c>
      <c r="AB1161">
        <v>1200</v>
      </c>
      <c r="AD1161" t="s">
        <v>2693</v>
      </c>
    </row>
    <row r="1162" spans="1:30" x14ac:dyDescent="0.25">
      <c r="A1162" t="s">
        <v>33</v>
      </c>
      <c r="D1162" t="s">
        <v>2309</v>
      </c>
      <c r="E1162" t="s">
        <v>2348</v>
      </c>
      <c r="F1162" t="s">
        <v>87</v>
      </c>
      <c r="G1162" t="s">
        <v>2695</v>
      </c>
      <c r="H1162" t="s">
        <v>38</v>
      </c>
      <c r="I1162" t="s">
        <v>106</v>
      </c>
      <c r="J1162" t="s">
        <v>40</v>
      </c>
      <c r="K1162" t="s">
        <v>41</v>
      </c>
      <c r="L1162" t="s">
        <v>2696</v>
      </c>
      <c r="M1162" t="s">
        <v>59</v>
      </c>
      <c r="N1162" t="s">
        <v>2697</v>
      </c>
      <c r="O1162" t="s">
        <v>109</v>
      </c>
      <c r="R1162" t="s">
        <v>2698</v>
      </c>
      <c r="S1162" t="s">
        <v>2315</v>
      </c>
      <c r="V1162" t="s">
        <v>2316</v>
      </c>
      <c r="W1162" t="s">
        <v>2353</v>
      </c>
      <c r="Y1162">
        <v>0</v>
      </c>
      <c r="Z1162">
        <v>1350</v>
      </c>
      <c r="AA1162">
        <v>950</v>
      </c>
      <c r="AB1162">
        <v>1200</v>
      </c>
      <c r="AD1162" t="s">
        <v>2699</v>
      </c>
    </row>
    <row r="1163" spans="1:30" x14ac:dyDescent="0.25">
      <c r="A1163" t="s">
        <v>33</v>
      </c>
      <c r="D1163" t="s">
        <v>2309</v>
      </c>
      <c r="E1163" t="s">
        <v>2365</v>
      </c>
      <c r="F1163" t="s">
        <v>87</v>
      </c>
      <c r="G1163" t="s">
        <v>2695</v>
      </c>
      <c r="H1163" t="s">
        <v>38</v>
      </c>
      <c r="I1163" t="s">
        <v>106</v>
      </c>
      <c r="J1163" t="s">
        <v>40</v>
      </c>
      <c r="K1163" t="s">
        <v>41</v>
      </c>
      <c r="L1163" t="s">
        <v>2696</v>
      </c>
      <c r="M1163" t="s">
        <v>59</v>
      </c>
      <c r="N1163" t="s">
        <v>2697</v>
      </c>
      <c r="O1163" t="s">
        <v>109</v>
      </c>
      <c r="R1163" t="s">
        <v>2700</v>
      </c>
      <c r="S1163" t="s">
        <v>2315</v>
      </c>
      <c r="V1163" t="s">
        <v>2316</v>
      </c>
      <c r="W1163" t="s">
        <v>2369</v>
      </c>
      <c r="Y1163">
        <v>0</v>
      </c>
      <c r="Z1163">
        <v>1350</v>
      </c>
      <c r="AA1163">
        <v>950</v>
      </c>
      <c r="AB1163">
        <v>1200</v>
      </c>
      <c r="AD1163" t="s">
        <v>2699</v>
      </c>
    </row>
    <row r="1164" spans="1:30" x14ac:dyDescent="0.25">
      <c r="A1164" t="s">
        <v>33</v>
      </c>
      <c r="D1164" t="s">
        <v>2309</v>
      </c>
      <c r="E1164" t="s">
        <v>2348</v>
      </c>
      <c r="F1164" t="s">
        <v>87</v>
      </c>
      <c r="G1164" t="s">
        <v>2701</v>
      </c>
      <c r="H1164" t="s">
        <v>38</v>
      </c>
      <c r="I1164" t="s">
        <v>106</v>
      </c>
      <c r="J1164" t="s">
        <v>40</v>
      </c>
      <c r="K1164" t="s">
        <v>41</v>
      </c>
      <c r="L1164" t="s">
        <v>2702</v>
      </c>
      <c r="M1164" t="s">
        <v>59</v>
      </c>
      <c r="N1164" t="s">
        <v>2703</v>
      </c>
      <c r="O1164" t="s">
        <v>109</v>
      </c>
      <c r="R1164" t="s">
        <v>2704</v>
      </c>
      <c r="S1164" t="s">
        <v>2315</v>
      </c>
      <c r="V1164" t="s">
        <v>2316</v>
      </c>
      <c r="W1164" t="s">
        <v>2353</v>
      </c>
      <c r="Y1164">
        <v>0</v>
      </c>
      <c r="Z1164">
        <v>1350</v>
      </c>
      <c r="AA1164">
        <v>950</v>
      </c>
      <c r="AB1164">
        <v>1200</v>
      </c>
      <c r="AD1164" t="s">
        <v>2705</v>
      </c>
    </row>
    <row r="1165" spans="1:30" x14ac:dyDescent="0.25">
      <c r="A1165" t="s">
        <v>33</v>
      </c>
      <c r="D1165" t="s">
        <v>2309</v>
      </c>
      <c r="E1165" t="s">
        <v>2365</v>
      </c>
      <c r="F1165" t="s">
        <v>87</v>
      </c>
      <c r="G1165" t="s">
        <v>2701</v>
      </c>
      <c r="H1165" t="s">
        <v>38</v>
      </c>
      <c r="I1165" t="s">
        <v>106</v>
      </c>
      <c r="J1165" t="s">
        <v>40</v>
      </c>
      <c r="K1165" t="s">
        <v>41</v>
      </c>
      <c r="L1165" t="s">
        <v>2702</v>
      </c>
      <c r="M1165" t="s">
        <v>59</v>
      </c>
      <c r="N1165" t="s">
        <v>2703</v>
      </c>
      <c r="O1165" t="s">
        <v>109</v>
      </c>
      <c r="R1165" t="s">
        <v>2706</v>
      </c>
      <c r="S1165" t="s">
        <v>2315</v>
      </c>
      <c r="V1165" t="s">
        <v>2316</v>
      </c>
      <c r="W1165" t="s">
        <v>2369</v>
      </c>
      <c r="Y1165">
        <v>0</v>
      </c>
      <c r="Z1165">
        <v>1350</v>
      </c>
      <c r="AA1165">
        <v>950</v>
      </c>
      <c r="AB1165">
        <v>1200</v>
      </c>
      <c r="AD1165" t="s">
        <v>2705</v>
      </c>
    </row>
    <row r="1166" spans="1:30" x14ac:dyDescent="0.25">
      <c r="A1166" t="s">
        <v>33</v>
      </c>
      <c r="D1166" t="s">
        <v>2309</v>
      </c>
      <c r="E1166" t="s">
        <v>2348</v>
      </c>
      <c r="F1166" t="s">
        <v>87</v>
      </c>
      <c r="G1166" t="s">
        <v>2707</v>
      </c>
      <c r="H1166" t="s">
        <v>38</v>
      </c>
      <c r="I1166" t="s">
        <v>106</v>
      </c>
      <c r="J1166" t="s">
        <v>40</v>
      </c>
      <c r="K1166" t="s">
        <v>41</v>
      </c>
      <c r="L1166" t="s">
        <v>2708</v>
      </c>
      <c r="M1166" t="s">
        <v>59</v>
      </c>
      <c r="N1166" t="s">
        <v>2709</v>
      </c>
      <c r="O1166" t="s">
        <v>109</v>
      </c>
      <c r="R1166" t="s">
        <v>2710</v>
      </c>
      <c r="S1166" t="s">
        <v>2315</v>
      </c>
      <c r="V1166" t="s">
        <v>2316</v>
      </c>
      <c r="W1166" t="s">
        <v>2353</v>
      </c>
      <c r="Y1166">
        <v>0</v>
      </c>
      <c r="Z1166">
        <v>1350</v>
      </c>
      <c r="AA1166">
        <v>950</v>
      </c>
      <c r="AB1166">
        <v>1200</v>
      </c>
      <c r="AD1166" t="s">
        <v>2711</v>
      </c>
    </row>
    <row r="1167" spans="1:30" x14ac:dyDescent="0.25">
      <c r="A1167" t="s">
        <v>33</v>
      </c>
      <c r="D1167" t="s">
        <v>2309</v>
      </c>
      <c r="E1167" t="s">
        <v>2365</v>
      </c>
      <c r="F1167" t="s">
        <v>87</v>
      </c>
      <c r="G1167" t="s">
        <v>2707</v>
      </c>
      <c r="H1167" t="s">
        <v>38</v>
      </c>
      <c r="I1167" t="s">
        <v>106</v>
      </c>
      <c r="J1167" t="s">
        <v>40</v>
      </c>
      <c r="K1167" t="s">
        <v>41</v>
      </c>
      <c r="L1167" t="s">
        <v>2708</v>
      </c>
      <c r="M1167" t="s">
        <v>59</v>
      </c>
      <c r="N1167" t="s">
        <v>2709</v>
      </c>
      <c r="O1167" t="s">
        <v>109</v>
      </c>
      <c r="R1167" t="s">
        <v>2712</v>
      </c>
      <c r="S1167" t="s">
        <v>2315</v>
      </c>
      <c r="V1167" t="s">
        <v>2316</v>
      </c>
      <c r="W1167" t="s">
        <v>2369</v>
      </c>
      <c r="Y1167">
        <v>0</v>
      </c>
      <c r="Z1167">
        <v>1350</v>
      </c>
      <c r="AA1167">
        <v>950</v>
      </c>
      <c r="AB1167">
        <v>1200</v>
      </c>
      <c r="AD1167" t="s">
        <v>2711</v>
      </c>
    </row>
    <row r="1168" spans="1:30" x14ac:dyDescent="0.25">
      <c r="A1168" t="s">
        <v>33</v>
      </c>
      <c r="D1168" t="s">
        <v>2309</v>
      </c>
      <c r="E1168" t="s">
        <v>2348</v>
      </c>
      <c r="F1168" t="s">
        <v>87</v>
      </c>
      <c r="G1168" t="s">
        <v>2713</v>
      </c>
      <c r="H1168" t="s">
        <v>38</v>
      </c>
      <c r="I1168" t="s">
        <v>106</v>
      </c>
      <c r="J1168" t="s">
        <v>40</v>
      </c>
      <c r="K1168" t="s">
        <v>41</v>
      </c>
      <c r="L1168" t="s">
        <v>2714</v>
      </c>
      <c r="M1168" t="s">
        <v>59</v>
      </c>
      <c r="N1168" t="s">
        <v>2715</v>
      </c>
      <c r="O1168" t="s">
        <v>109</v>
      </c>
      <c r="R1168" t="s">
        <v>2716</v>
      </c>
      <c r="S1168" t="s">
        <v>2315</v>
      </c>
      <c r="V1168" t="s">
        <v>2316</v>
      </c>
      <c r="W1168" t="s">
        <v>2353</v>
      </c>
      <c r="Y1168">
        <v>0</v>
      </c>
      <c r="Z1168">
        <v>1350</v>
      </c>
      <c r="AA1168">
        <v>950</v>
      </c>
      <c r="AB1168">
        <v>1200</v>
      </c>
      <c r="AD1168" t="s">
        <v>2717</v>
      </c>
    </row>
    <row r="1169" spans="1:30" x14ac:dyDescent="0.25">
      <c r="A1169" t="s">
        <v>33</v>
      </c>
      <c r="D1169" t="s">
        <v>2309</v>
      </c>
      <c r="E1169" t="s">
        <v>2365</v>
      </c>
      <c r="F1169" t="s">
        <v>87</v>
      </c>
      <c r="G1169" t="s">
        <v>2713</v>
      </c>
      <c r="H1169" t="s">
        <v>38</v>
      </c>
      <c r="I1169" t="s">
        <v>106</v>
      </c>
      <c r="J1169" t="s">
        <v>40</v>
      </c>
      <c r="K1169" t="s">
        <v>41</v>
      </c>
      <c r="L1169" t="s">
        <v>2714</v>
      </c>
      <c r="M1169" t="s">
        <v>59</v>
      </c>
      <c r="N1169" t="s">
        <v>2715</v>
      </c>
      <c r="O1169" t="s">
        <v>109</v>
      </c>
      <c r="R1169" t="s">
        <v>2718</v>
      </c>
      <c r="S1169" t="s">
        <v>2315</v>
      </c>
      <c r="V1169" t="s">
        <v>2316</v>
      </c>
      <c r="W1169" t="s">
        <v>2369</v>
      </c>
      <c r="Y1169">
        <v>0</v>
      </c>
      <c r="Z1169">
        <v>1350</v>
      </c>
      <c r="AA1169">
        <v>950</v>
      </c>
      <c r="AB1169">
        <v>1200</v>
      </c>
      <c r="AD1169" t="s">
        <v>2717</v>
      </c>
    </row>
    <row r="1170" spans="1:30" x14ac:dyDescent="0.25">
      <c r="A1170" t="s">
        <v>33</v>
      </c>
      <c r="D1170" t="s">
        <v>2309</v>
      </c>
      <c r="E1170" t="s">
        <v>2348</v>
      </c>
      <c r="F1170" t="s">
        <v>87</v>
      </c>
      <c r="G1170" t="s">
        <v>2719</v>
      </c>
      <c r="H1170" t="s">
        <v>38</v>
      </c>
      <c r="I1170" t="s">
        <v>106</v>
      </c>
      <c r="J1170" t="s">
        <v>40</v>
      </c>
      <c r="K1170" t="s">
        <v>41</v>
      </c>
      <c r="L1170" t="s">
        <v>2720</v>
      </c>
      <c r="M1170" t="s">
        <v>59</v>
      </c>
      <c r="N1170" t="s">
        <v>2721</v>
      </c>
      <c r="O1170" t="s">
        <v>109</v>
      </c>
      <c r="R1170" t="s">
        <v>2722</v>
      </c>
      <c r="S1170" t="s">
        <v>2315</v>
      </c>
      <c r="V1170" t="s">
        <v>2316</v>
      </c>
      <c r="W1170" t="s">
        <v>2353</v>
      </c>
      <c r="Y1170">
        <v>0</v>
      </c>
      <c r="Z1170">
        <v>1350</v>
      </c>
      <c r="AA1170">
        <v>950</v>
      </c>
      <c r="AB1170">
        <v>1200</v>
      </c>
      <c r="AD1170" t="s">
        <v>2723</v>
      </c>
    </row>
    <row r="1171" spans="1:30" x14ac:dyDescent="0.25">
      <c r="A1171" t="s">
        <v>33</v>
      </c>
      <c r="D1171" t="s">
        <v>2309</v>
      </c>
      <c r="E1171" t="s">
        <v>2365</v>
      </c>
      <c r="F1171" t="s">
        <v>87</v>
      </c>
      <c r="G1171" t="s">
        <v>2719</v>
      </c>
      <c r="H1171" t="s">
        <v>38</v>
      </c>
      <c r="I1171" t="s">
        <v>106</v>
      </c>
      <c r="J1171" t="s">
        <v>40</v>
      </c>
      <c r="K1171" t="s">
        <v>41</v>
      </c>
      <c r="L1171" t="s">
        <v>2720</v>
      </c>
      <c r="M1171" t="s">
        <v>59</v>
      </c>
      <c r="N1171" t="s">
        <v>2721</v>
      </c>
      <c r="O1171" t="s">
        <v>109</v>
      </c>
      <c r="R1171" t="s">
        <v>2724</v>
      </c>
      <c r="S1171" t="s">
        <v>2315</v>
      </c>
      <c r="V1171" t="s">
        <v>2316</v>
      </c>
      <c r="W1171" t="s">
        <v>2369</v>
      </c>
      <c r="Y1171">
        <v>0</v>
      </c>
      <c r="Z1171">
        <v>1350</v>
      </c>
      <c r="AA1171">
        <v>950</v>
      </c>
      <c r="AB1171">
        <v>1200</v>
      </c>
      <c r="AD1171" t="s">
        <v>2723</v>
      </c>
    </row>
    <row r="1172" spans="1:30" x14ac:dyDescent="0.25">
      <c r="A1172" t="s">
        <v>33</v>
      </c>
      <c r="D1172" t="s">
        <v>2309</v>
      </c>
      <c r="E1172" t="s">
        <v>2348</v>
      </c>
      <c r="F1172" t="s">
        <v>87</v>
      </c>
      <c r="G1172" t="s">
        <v>2725</v>
      </c>
      <c r="H1172" t="s">
        <v>38</v>
      </c>
      <c r="I1172" t="s">
        <v>106</v>
      </c>
      <c r="J1172" t="s">
        <v>40</v>
      </c>
      <c r="K1172" t="s">
        <v>41</v>
      </c>
      <c r="L1172" t="s">
        <v>2726</v>
      </c>
      <c r="M1172" t="s">
        <v>59</v>
      </c>
      <c r="N1172" t="s">
        <v>2727</v>
      </c>
      <c r="O1172" t="s">
        <v>109</v>
      </c>
      <c r="R1172" t="s">
        <v>2728</v>
      </c>
      <c r="S1172" t="s">
        <v>2315</v>
      </c>
      <c r="V1172" t="s">
        <v>2316</v>
      </c>
      <c r="W1172" t="s">
        <v>2353</v>
      </c>
      <c r="Y1172">
        <v>0</v>
      </c>
      <c r="Z1172">
        <v>1350</v>
      </c>
      <c r="AA1172">
        <v>950</v>
      </c>
      <c r="AB1172">
        <v>1200</v>
      </c>
      <c r="AD1172" t="s">
        <v>2729</v>
      </c>
    </row>
    <row r="1173" spans="1:30" x14ac:dyDescent="0.25">
      <c r="A1173" t="s">
        <v>33</v>
      </c>
      <c r="D1173" t="s">
        <v>2309</v>
      </c>
      <c r="E1173" t="s">
        <v>2365</v>
      </c>
      <c r="F1173" t="s">
        <v>87</v>
      </c>
      <c r="G1173" t="s">
        <v>2725</v>
      </c>
      <c r="H1173" t="s">
        <v>38</v>
      </c>
      <c r="I1173" t="s">
        <v>106</v>
      </c>
      <c r="J1173" t="s">
        <v>40</v>
      </c>
      <c r="K1173" t="s">
        <v>41</v>
      </c>
      <c r="L1173" t="s">
        <v>2726</v>
      </c>
      <c r="M1173" t="s">
        <v>59</v>
      </c>
      <c r="N1173" t="s">
        <v>2727</v>
      </c>
      <c r="O1173" t="s">
        <v>109</v>
      </c>
      <c r="R1173" t="s">
        <v>2730</v>
      </c>
      <c r="S1173" t="s">
        <v>2315</v>
      </c>
      <c r="V1173" t="s">
        <v>2316</v>
      </c>
      <c r="W1173" t="s">
        <v>2369</v>
      </c>
      <c r="Y1173">
        <v>0</v>
      </c>
      <c r="Z1173">
        <v>1350</v>
      </c>
      <c r="AA1173">
        <v>950</v>
      </c>
      <c r="AB1173">
        <v>1200</v>
      </c>
      <c r="AD1173" t="s">
        <v>2729</v>
      </c>
    </row>
    <row r="1174" spans="1:30" x14ac:dyDescent="0.25">
      <c r="A1174" t="s">
        <v>33</v>
      </c>
      <c r="D1174" t="s">
        <v>2309</v>
      </c>
      <c r="E1174" t="s">
        <v>2348</v>
      </c>
      <c r="F1174" t="s">
        <v>87</v>
      </c>
      <c r="G1174" t="s">
        <v>2731</v>
      </c>
      <c r="H1174" t="s">
        <v>38</v>
      </c>
      <c r="I1174" t="s">
        <v>106</v>
      </c>
      <c r="J1174" t="s">
        <v>40</v>
      </c>
      <c r="K1174" t="s">
        <v>41</v>
      </c>
      <c r="L1174" t="s">
        <v>2732</v>
      </c>
      <c r="M1174" t="s">
        <v>59</v>
      </c>
      <c r="N1174" t="s">
        <v>2733</v>
      </c>
      <c r="O1174" t="s">
        <v>109</v>
      </c>
      <c r="R1174" t="s">
        <v>2734</v>
      </c>
      <c r="S1174" t="s">
        <v>2315</v>
      </c>
      <c r="V1174" t="s">
        <v>2316</v>
      </c>
      <c r="W1174" t="s">
        <v>2353</v>
      </c>
      <c r="Y1174">
        <v>0</v>
      </c>
      <c r="Z1174">
        <v>1350</v>
      </c>
      <c r="AA1174">
        <v>950</v>
      </c>
      <c r="AB1174">
        <v>1200</v>
      </c>
      <c r="AD1174" t="s">
        <v>2735</v>
      </c>
    </row>
    <row r="1175" spans="1:30" x14ac:dyDescent="0.25">
      <c r="A1175" t="s">
        <v>33</v>
      </c>
      <c r="D1175" t="s">
        <v>2309</v>
      </c>
      <c r="E1175" t="s">
        <v>2365</v>
      </c>
      <c r="F1175" t="s">
        <v>87</v>
      </c>
      <c r="G1175" t="s">
        <v>2731</v>
      </c>
      <c r="H1175" t="s">
        <v>38</v>
      </c>
      <c r="I1175" t="s">
        <v>106</v>
      </c>
      <c r="J1175" t="s">
        <v>40</v>
      </c>
      <c r="K1175" t="s">
        <v>41</v>
      </c>
      <c r="L1175" t="s">
        <v>2732</v>
      </c>
      <c r="M1175" t="s">
        <v>59</v>
      </c>
      <c r="N1175" t="s">
        <v>2733</v>
      </c>
      <c r="O1175" t="s">
        <v>109</v>
      </c>
      <c r="R1175" t="s">
        <v>2736</v>
      </c>
      <c r="S1175" t="s">
        <v>2315</v>
      </c>
      <c r="V1175" t="s">
        <v>2316</v>
      </c>
      <c r="W1175" t="s">
        <v>2369</v>
      </c>
      <c r="Y1175">
        <v>0</v>
      </c>
      <c r="Z1175">
        <v>1350</v>
      </c>
      <c r="AA1175">
        <v>950</v>
      </c>
      <c r="AB1175">
        <v>1200</v>
      </c>
      <c r="AD1175" t="s">
        <v>2735</v>
      </c>
    </row>
    <row r="1176" spans="1:30" x14ac:dyDescent="0.25">
      <c r="A1176" t="s">
        <v>33</v>
      </c>
      <c r="D1176" t="s">
        <v>2309</v>
      </c>
      <c r="E1176" t="s">
        <v>2348</v>
      </c>
      <c r="F1176" t="s">
        <v>87</v>
      </c>
      <c r="G1176" t="s">
        <v>2737</v>
      </c>
      <c r="H1176" t="s">
        <v>38</v>
      </c>
      <c r="I1176" t="s">
        <v>106</v>
      </c>
      <c r="J1176" t="s">
        <v>40</v>
      </c>
      <c r="K1176" t="s">
        <v>41</v>
      </c>
      <c r="L1176" t="s">
        <v>2738</v>
      </c>
      <c r="M1176" t="s">
        <v>59</v>
      </c>
      <c r="N1176" t="s">
        <v>2739</v>
      </c>
      <c r="O1176" t="s">
        <v>109</v>
      </c>
      <c r="R1176" t="s">
        <v>2740</v>
      </c>
      <c r="S1176" t="s">
        <v>2315</v>
      </c>
      <c r="V1176" t="s">
        <v>2316</v>
      </c>
      <c r="W1176" t="s">
        <v>2353</v>
      </c>
      <c r="Y1176">
        <v>0</v>
      </c>
      <c r="Z1176">
        <v>1350</v>
      </c>
      <c r="AA1176">
        <v>950</v>
      </c>
      <c r="AB1176">
        <v>1200</v>
      </c>
      <c r="AD1176" t="s">
        <v>2741</v>
      </c>
    </row>
    <row r="1177" spans="1:30" x14ac:dyDescent="0.25">
      <c r="A1177" t="s">
        <v>33</v>
      </c>
      <c r="D1177" t="s">
        <v>2309</v>
      </c>
      <c r="E1177" t="s">
        <v>2365</v>
      </c>
      <c r="F1177" t="s">
        <v>87</v>
      </c>
      <c r="G1177" t="s">
        <v>2737</v>
      </c>
      <c r="H1177" t="s">
        <v>38</v>
      </c>
      <c r="I1177" t="s">
        <v>106</v>
      </c>
      <c r="J1177" t="s">
        <v>40</v>
      </c>
      <c r="K1177" t="s">
        <v>41</v>
      </c>
      <c r="L1177" t="s">
        <v>2738</v>
      </c>
      <c r="M1177" t="s">
        <v>59</v>
      </c>
      <c r="N1177" t="s">
        <v>2739</v>
      </c>
      <c r="O1177" t="s">
        <v>109</v>
      </c>
      <c r="R1177" t="s">
        <v>2742</v>
      </c>
      <c r="S1177" t="s">
        <v>2315</v>
      </c>
      <c r="V1177" t="s">
        <v>2316</v>
      </c>
      <c r="W1177" t="s">
        <v>2369</v>
      </c>
      <c r="Y1177">
        <v>0</v>
      </c>
      <c r="Z1177">
        <v>1350</v>
      </c>
      <c r="AA1177">
        <v>950</v>
      </c>
      <c r="AB1177">
        <v>1200</v>
      </c>
      <c r="AD1177" t="s">
        <v>2741</v>
      </c>
    </row>
    <row r="1178" spans="1:30" x14ac:dyDescent="0.25">
      <c r="A1178" t="s">
        <v>33</v>
      </c>
      <c r="D1178" t="s">
        <v>2309</v>
      </c>
      <c r="E1178" t="s">
        <v>2348</v>
      </c>
      <c r="F1178" t="s">
        <v>87</v>
      </c>
      <c r="G1178" t="s">
        <v>2743</v>
      </c>
      <c r="H1178" t="s">
        <v>38</v>
      </c>
      <c r="I1178" t="s">
        <v>106</v>
      </c>
      <c r="J1178" t="s">
        <v>40</v>
      </c>
      <c r="K1178" t="s">
        <v>41</v>
      </c>
      <c r="L1178" t="s">
        <v>2744</v>
      </c>
      <c r="M1178" t="s">
        <v>59</v>
      </c>
      <c r="N1178" t="s">
        <v>2745</v>
      </c>
      <c r="O1178" t="s">
        <v>109</v>
      </c>
      <c r="R1178" t="s">
        <v>2746</v>
      </c>
      <c r="S1178" t="s">
        <v>2315</v>
      </c>
      <c r="V1178" t="s">
        <v>2316</v>
      </c>
      <c r="W1178" t="s">
        <v>2353</v>
      </c>
      <c r="Y1178">
        <v>0</v>
      </c>
      <c r="Z1178">
        <v>1350</v>
      </c>
      <c r="AA1178">
        <v>950</v>
      </c>
      <c r="AB1178">
        <v>1200</v>
      </c>
      <c r="AD1178" t="s">
        <v>2747</v>
      </c>
    </row>
    <row r="1179" spans="1:30" x14ac:dyDescent="0.25">
      <c r="A1179" t="s">
        <v>33</v>
      </c>
      <c r="D1179" t="s">
        <v>2309</v>
      </c>
      <c r="E1179" t="s">
        <v>2365</v>
      </c>
      <c r="F1179" t="s">
        <v>87</v>
      </c>
      <c r="G1179" t="s">
        <v>2743</v>
      </c>
      <c r="H1179" t="s">
        <v>38</v>
      </c>
      <c r="I1179" t="s">
        <v>106</v>
      </c>
      <c r="J1179" t="s">
        <v>40</v>
      </c>
      <c r="K1179" t="s">
        <v>41</v>
      </c>
      <c r="L1179" t="s">
        <v>2744</v>
      </c>
      <c r="M1179" t="s">
        <v>59</v>
      </c>
      <c r="N1179" t="s">
        <v>2745</v>
      </c>
      <c r="O1179" t="s">
        <v>109</v>
      </c>
      <c r="R1179" t="s">
        <v>2748</v>
      </c>
      <c r="S1179" t="s">
        <v>2315</v>
      </c>
      <c r="V1179" t="s">
        <v>2316</v>
      </c>
      <c r="W1179" t="s">
        <v>2369</v>
      </c>
      <c r="Y1179">
        <v>0</v>
      </c>
      <c r="Z1179">
        <v>1350</v>
      </c>
      <c r="AA1179">
        <v>950</v>
      </c>
      <c r="AB1179">
        <v>1200</v>
      </c>
      <c r="AD1179" t="s">
        <v>2747</v>
      </c>
    </row>
    <row r="1180" spans="1:30" x14ac:dyDescent="0.25">
      <c r="A1180" t="s">
        <v>33</v>
      </c>
      <c r="D1180" t="s">
        <v>2309</v>
      </c>
      <c r="E1180" t="s">
        <v>2348</v>
      </c>
      <c r="F1180" t="s">
        <v>87</v>
      </c>
      <c r="G1180" t="s">
        <v>2749</v>
      </c>
      <c r="H1180" t="s">
        <v>38</v>
      </c>
      <c r="I1180" t="s">
        <v>106</v>
      </c>
      <c r="J1180" t="s">
        <v>40</v>
      </c>
      <c r="K1180" t="s">
        <v>41</v>
      </c>
      <c r="L1180" t="s">
        <v>2750</v>
      </c>
      <c r="M1180" t="s">
        <v>59</v>
      </c>
      <c r="N1180" t="s">
        <v>2751</v>
      </c>
      <c r="O1180" t="s">
        <v>109</v>
      </c>
      <c r="R1180" t="s">
        <v>2752</v>
      </c>
      <c r="S1180" t="s">
        <v>2315</v>
      </c>
      <c r="V1180" t="s">
        <v>2316</v>
      </c>
      <c r="W1180" t="s">
        <v>2353</v>
      </c>
      <c r="Y1180">
        <v>0</v>
      </c>
      <c r="Z1180">
        <v>1350</v>
      </c>
      <c r="AA1180">
        <v>950</v>
      </c>
      <c r="AB1180">
        <v>1200</v>
      </c>
      <c r="AD1180" t="s">
        <v>2753</v>
      </c>
    </row>
    <row r="1181" spans="1:30" x14ac:dyDescent="0.25">
      <c r="A1181" t="s">
        <v>33</v>
      </c>
      <c r="D1181" t="s">
        <v>2309</v>
      </c>
      <c r="E1181" t="s">
        <v>2365</v>
      </c>
      <c r="F1181" t="s">
        <v>87</v>
      </c>
      <c r="G1181" t="s">
        <v>2749</v>
      </c>
      <c r="H1181" t="s">
        <v>38</v>
      </c>
      <c r="I1181" t="s">
        <v>106</v>
      </c>
      <c r="J1181" t="s">
        <v>40</v>
      </c>
      <c r="K1181" t="s">
        <v>41</v>
      </c>
      <c r="L1181" t="s">
        <v>2750</v>
      </c>
      <c r="M1181" t="s">
        <v>59</v>
      </c>
      <c r="N1181" t="s">
        <v>2751</v>
      </c>
      <c r="O1181" t="s">
        <v>109</v>
      </c>
      <c r="R1181" t="s">
        <v>2754</v>
      </c>
      <c r="S1181" t="s">
        <v>2315</v>
      </c>
      <c r="V1181" t="s">
        <v>2316</v>
      </c>
      <c r="W1181" t="s">
        <v>2369</v>
      </c>
      <c r="Y1181">
        <v>0</v>
      </c>
      <c r="Z1181">
        <v>1350</v>
      </c>
      <c r="AA1181">
        <v>950</v>
      </c>
      <c r="AB1181">
        <v>1200</v>
      </c>
      <c r="AD1181" t="s">
        <v>2753</v>
      </c>
    </row>
    <row r="1182" spans="1:30" x14ac:dyDescent="0.25">
      <c r="A1182" t="s">
        <v>33</v>
      </c>
      <c r="D1182" t="s">
        <v>2309</v>
      </c>
      <c r="E1182" t="s">
        <v>2348</v>
      </c>
      <c r="F1182" t="s">
        <v>87</v>
      </c>
      <c r="G1182" t="s">
        <v>2755</v>
      </c>
      <c r="H1182" t="s">
        <v>38</v>
      </c>
      <c r="I1182" t="s">
        <v>106</v>
      </c>
      <c r="J1182" t="s">
        <v>40</v>
      </c>
      <c r="K1182" t="s">
        <v>41</v>
      </c>
      <c r="L1182" t="s">
        <v>2756</v>
      </c>
      <c r="M1182" t="s">
        <v>59</v>
      </c>
      <c r="N1182" t="s">
        <v>2757</v>
      </c>
      <c r="O1182" t="s">
        <v>109</v>
      </c>
      <c r="R1182" t="s">
        <v>2758</v>
      </c>
      <c r="S1182" t="s">
        <v>2315</v>
      </c>
      <c r="V1182" t="s">
        <v>2316</v>
      </c>
      <c r="W1182" t="s">
        <v>2353</v>
      </c>
      <c r="Y1182">
        <v>0</v>
      </c>
      <c r="Z1182">
        <v>1350</v>
      </c>
      <c r="AA1182">
        <v>950</v>
      </c>
      <c r="AB1182">
        <v>1200</v>
      </c>
      <c r="AD1182" t="s">
        <v>2759</v>
      </c>
    </row>
    <row r="1183" spans="1:30" x14ac:dyDescent="0.25">
      <c r="A1183" t="s">
        <v>33</v>
      </c>
      <c r="D1183" t="s">
        <v>2309</v>
      </c>
      <c r="E1183" t="s">
        <v>2365</v>
      </c>
      <c r="F1183" t="s">
        <v>87</v>
      </c>
      <c r="G1183" t="s">
        <v>2755</v>
      </c>
      <c r="H1183" t="s">
        <v>38</v>
      </c>
      <c r="I1183" t="s">
        <v>106</v>
      </c>
      <c r="J1183" t="s">
        <v>40</v>
      </c>
      <c r="K1183" t="s">
        <v>41</v>
      </c>
      <c r="L1183" t="s">
        <v>2756</v>
      </c>
      <c r="M1183" t="s">
        <v>59</v>
      </c>
      <c r="N1183" t="s">
        <v>2757</v>
      </c>
      <c r="O1183" t="s">
        <v>109</v>
      </c>
      <c r="R1183" t="s">
        <v>2760</v>
      </c>
      <c r="S1183" t="s">
        <v>2315</v>
      </c>
      <c r="V1183" t="s">
        <v>2316</v>
      </c>
      <c r="W1183" t="s">
        <v>2369</v>
      </c>
      <c r="Y1183">
        <v>0</v>
      </c>
      <c r="Z1183">
        <v>1350</v>
      </c>
      <c r="AA1183">
        <v>950</v>
      </c>
      <c r="AB1183">
        <v>1200</v>
      </c>
      <c r="AD1183" t="s">
        <v>2759</v>
      </c>
    </row>
    <row r="1184" spans="1:30" x14ac:dyDescent="0.25">
      <c r="A1184" t="s">
        <v>33</v>
      </c>
      <c r="D1184" t="s">
        <v>2309</v>
      </c>
      <c r="E1184" t="s">
        <v>2310</v>
      </c>
      <c r="F1184" t="s">
        <v>78</v>
      </c>
      <c r="G1184" t="s">
        <v>2288</v>
      </c>
      <c r="H1184" t="s">
        <v>166</v>
      </c>
      <c r="I1184" t="s">
        <v>243</v>
      </c>
      <c r="J1184" t="s">
        <v>167</v>
      </c>
      <c r="K1184" t="s">
        <v>41</v>
      </c>
      <c r="L1184" t="s">
        <v>2761</v>
      </c>
      <c r="N1184" t="s">
        <v>2762</v>
      </c>
      <c r="O1184" t="s">
        <v>244</v>
      </c>
      <c r="Q1184" t="s">
        <v>245</v>
      </c>
      <c r="R1184" t="s">
        <v>2763</v>
      </c>
      <c r="S1184" t="s">
        <v>2315</v>
      </c>
      <c r="V1184" t="s">
        <v>2316</v>
      </c>
      <c r="W1184" t="s">
        <v>2317</v>
      </c>
      <c r="AD1184" t="s">
        <v>2764</v>
      </c>
    </row>
    <row r="1185" spans="1:30" x14ac:dyDescent="0.25">
      <c r="A1185" t="s">
        <v>33</v>
      </c>
      <c r="D1185" t="s">
        <v>2309</v>
      </c>
      <c r="E1185" t="s">
        <v>2310</v>
      </c>
      <c r="F1185" t="s">
        <v>78</v>
      </c>
      <c r="G1185" t="s">
        <v>2288</v>
      </c>
      <c r="H1185" t="s">
        <v>166</v>
      </c>
      <c r="I1185" t="s">
        <v>160</v>
      </c>
      <c r="J1185" t="s">
        <v>167</v>
      </c>
      <c r="K1185" t="s">
        <v>41</v>
      </c>
      <c r="L1185" t="s">
        <v>2761</v>
      </c>
      <c r="N1185" t="s">
        <v>2762</v>
      </c>
      <c r="O1185" t="s">
        <v>168</v>
      </c>
      <c r="Q1185" t="s">
        <v>1972</v>
      </c>
      <c r="R1185" t="s">
        <v>2765</v>
      </c>
      <c r="S1185" t="s">
        <v>2315</v>
      </c>
      <c r="V1185" t="s">
        <v>2316</v>
      </c>
      <c r="W1185" t="s">
        <v>2317</v>
      </c>
      <c r="AD1185" t="s">
        <v>2766</v>
      </c>
    </row>
    <row r="1186" spans="1:30" x14ac:dyDescent="0.25">
      <c r="A1186" t="s">
        <v>33</v>
      </c>
      <c r="D1186" t="s">
        <v>2309</v>
      </c>
      <c r="E1186" t="s">
        <v>2310</v>
      </c>
      <c r="F1186" t="s">
        <v>78</v>
      </c>
      <c r="G1186" t="s">
        <v>2288</v>
      </c>
      <c r="H1186" t="s">
        <v>166</v>
      </c>
      <c r="I1186" t="s">
        <v>80</v>
      </c>
      <c r="J1186" t="s">
        <v>167</v>
      </c>
      <c r="K1186" t="s">
        <v>41</v>
      </c>
      <c r="L1186" t="s">
        <v>2761</v>
      </c>
      <c r="N1186" t="s">
        <v>2762</v>
      </c>
      <c r="O1186" t="s">
        <v>84</v>
      </c>
      <c r="Q1186" t="s">
        <v>1161</v>
      </c>
      <c r="R1186" t="s">
        <v>2767</v>
      </c>
      <c r="S1186" t="s">
        <v>2315</v>
      </c>
      <c r="V1186" t="s">
        <v>2316</v>
      </c>
      <c r="W1186" t="s">
        <v>2317</v>
      </c>
      <c r="AD1186" t="s">
        <v>2768</v>
      </c>
    </row>
    <row r="1187" spans="1:30" x14ac:dyDescent="0.25">
      <c r="A1187" t="s">
        <v>33</v>
      </c>
      <c r="D1187" t="s">
        <v>2309</v>
      </c>
      <c r="E1187" t="s">
        <v>2310</v>
      </c>
      <c r="F1187" t="s">
        <v>78</v>
      </c>
      <c r="G1187" t="s">
        <v>2295</v>
      </c>
      <c r="H1187" t="s">
        <v>166</v>
      </c>
      <c r="I1187" t="s">
        <v>243</v>
      </c>
      <c r="J1187" t="s">
        <v>167</v>
      </c>
      <c r="K1187" t="s">
        <v>41</v>
      </c>
      <c r="L1187" t="s">
        <v>2769</v>
      </c>
      <c r="N1187" t="s">
        <v>2770</v>
      </c>
      <c r="O1187" t="s">
        <v>244</v>
      </c>
      <c r="Q1187" t="s">
        <v>245</v>
      </c>
      <c r="R1187" t="s">
        <v>2771</v>
      </c>
      <c r="S1187" t="s">
        <v>2315</v>
      </c>
      <c r="V1187" t="s">
        <v>2316</v>
      </c>
      <c r="W1187" t="s">
        <v>2317</v>
      </c>
      <c r="AD1187" t="s">
        <v>2772</v>
      </c>
    </row>
    <row r="1188" spans="1:30" x14ac:dyDescent="0.25">
      <c r="A1188" t="s">
        <v>33</v>
      </c>
      <c r="D1188" t="s">
        <v>2309</v>
      </c>
      <c r="E1188" t="s">
        <v>2310</v>
      </c>
      <c r="F1188" t="s">
        <v>78</v>
      </c>
      <c r="G1188" t="s">
        <v>2295</v>
      </c>
      <c r="H1188" t="s">
        <v>166</v>
      </c>
      <c r="I1188" t="s">
        <v>160</v>
      </c>
      <c r="J1188" t="s">
        <v>167</v>
      </c>
      <c r="K1188" t="s">
        <v>41</v>
      </c>
      <c r="L1188" t="s">
        <v>2769</v>
      </c>
      <c r="N1188" t="s">
        <v>2770</v>
      </c>
      <c r="O1188" t="s">
        <v>168</v>
      </c>
      <c r="Q1188" t="s">
        <v>1972</v>
      </c>
      <c r="R1188" t="s">
        <v>2773</v>
      </c>
      <c r="S1188" t="s">
        <v>2315</v>
      </c>
      <c r="V1188" t="s">
        <v>2316</v>
      </c>
      <c r="W1188" t="s">
        <v>2317</v>
      </c>
      <c r="AD1188" t="s">
        <v>2774</v>
      </c>
    </row>
    <row r="1189" spans="1:30" x14ac:dyDescent="0.25">
      <c r="A1189" t="s">
        <v>33</v>
      </c>
      <c r="D1189" t="s">
        <v>2309</v>
      </c>
      <c r="E1189" t="s">
        <v>2310</v>
      </c>
      <c r="F1189" t="s">
        <v>78</v>
      </c>
      <c r="G1189" t="s">
        <v>2295</v>
      </c>
      <c r="H1189" t="s">
        <v>166</v>
      </c>
      <c r="I1189" t="s">
        <v>80</v>
      </c>
      <c r="J1189" t="s">
        <v>167</v>
      </c>
      <c r="K1189" t="s">
        <v>41</v>
      </c>
      <c r="L1189" t="s">
        <v>2769</v>
      </c>
      <c r="N1189" t="s">
        <v>2770</v>
      </c>
      <c r="O1189" t="s">
        <v>84</v>
      </c>
      <c r="Q1189" t="s">
        <v>1161</v>
      </c>
      <c r="R1189" t="s">
        <v>2775</v>
      </c>
      <c r="S1189" t="s">
        <v>2315</v>
      </c>
      <c r="V1189" t="s">
        <v>2316</v>
      </c>
      <c r="W1189" t="s">
        <v>2317</v>
      </c>
      <c r="AD1189" t="s">
        <v>2776</v>
      </c>
    </row>
    <row r="1190" spans="1:30" x14ac:dyDescent="0.25">
      <c r="A1190" t="s">
        <v>33</v>
      </c>
      <c r="D1190" t="s">
        <v>2309</v>
      </c>
      <c r="E1190" t="s">
        <v>2310</v>
      </c>
      <c r="F1190" t="s">
        <v>78</v>
      </c>
      <c r="G1190" t="s">
        <v>2041</v>
      </c>
      <c r="H1190" t="s">
        <v>166</v>
      </c>
      <c r="I1190" t="s">
        <v>243</v>
      </c>
      <c r="J1190" t="s">
        <v>167</v>
      </c>
      <c r="K1190" t="s">
        <v>41</v>
      </c>
      <c r="L1190" t="s">
        <v>2777</v>
      </c>
      <c r="N1190" t="s">
        <v>1953</v>
      </c>
      <c r="O1190" t="s">
        <v>244</v>
      </c>
      <c r="Q1190" t="s">
        <v>245</v>
      </c>
      <c r="R1190" t="s">
        <v>2778</v>
      </c>
      <c r="S1190" t="s">
        <v>2315</v>
      </c>
      <c r="V1190" t="s">
        <v>2316</v>
      </c>
      <c r="W1190" t="s">
        <v>2317</v>
      </c>
      <c r="AD1190" t="s">
        <v>2779</v>
      </c>
    </row>
    <row r="1191" spans="1:30" x14ac:dyDescent="0.25">
      <c r="A1191" t="s">
        <v>33</v>
      </c>
      <c r="D1191" t="s">
        <v>2309</v>
      </c>
      <c r="E1191" t="s">
        <v>2310</v>
      </c>
      <c r="F1191" t="s">
        <v>78</v>
      </c>
      <c r="G1191" t="s">
        <v>2041</v>
      </c>
      <c r="H1191" t="s">
        <v>166</v>
      </c>
      <c r="I1191" t="s">
        <v>160</v>
      </c>
      <c r="J1191" t="s">
        <v>167</v>
      </c>
      <c r="K1191" t="s">
        <v>41</v>
      </c>
      <c r="L1191" t="s">
        <v>2777</v>
      </c>
      <c r="N1191" t="s">
        <v>1953</v>
      </c>
      <c r="O1191" t="s">
        <v>168</v>
      </c>
      <c r="Q1191" t="s">
        <v>1972</v>
      </c>
      <c r="R1191" t="s">
        <v>2780</v>
      </c>
      <c r="S1191" t="s">
        <v>2315</v>
      </c>
      <c r="V1191" t="s">
        <v>2316</v>
      </c>
      <c r="W1191" t="s">
        <v>2317</v>
      </c>
      <c r="AD1191" t="s">
        <v>2781</v>
      </c>
    </row>
    <row r="1192" spans="1:30" x14ac:dyDescent="0.25">
      <c r="A1192" t="s">
        <v>33</v>
      </c>
      <c r="D1192" t="s">
        <v>2309</v>
      </c>
      <c r="E1192" t="s">
        <v>2310</v>
      </c>
      <c r="F1192" t="s">
        <v>78</v>
      </c>
      <c r="G1192" t="s">
        <v>2041</v>
      </c>
      <c r="H1192" t="s">
        <v>166</v>
      </c>
      <c r="I1192" t="s">
        <v>80</v>
      </c>
      <c r="J1192" t="s">
        <v>167</v>
      </c>
      <c r="K1192" t="s">
        <v>41</v>
      </c>
      <c r="L1192" t="s">
        <v>2777</v>
      </c>
      <c r="N1192" t="s">
        <v>1953</v>
      </c>
      <c r="O1192" t="s">
        <v>84</v>
      </c>
      <c r="Q1192" t="s">
        <v>1161</v>
      </c>
      <c r="R1192" t="s">
        <v>2782</v>
      </c>
      <c r="S1192" t="s">
        <v>2315</v>
      </c>
      <c r="V1192" t="s">
        <v>2316</v>
      </c>
      <c r="W1192" t="s">
        <v>2317</v>
      </c>
      <c r="AD1192" t="s">
        <v>1957</v>
      </c>
    </row>
    <row r="1193" spans="1:30" x14ac:dyDescent="0.25">
      <c r="A1193" t="s">
        <v>33</v>
      </c>
      <c r="B1193" t="s">
        <v>2319</v>
      </c>
      <c r="D1193" t="s">
        <v>2309</v>
      </c>
      <c r="E1193" t="s">
        <v>2310</v>
      </c>
      <c r="F1193" t="s">
        <v>78</v>
      </c>
      <c r="G1193" t="s">
        <v>2783</v>
      </c>
      <c r="H1193" t="s">
        <v>166</v>
      </c>
      <c r="I1193" t="s">
        <v>80</v>
      </c>
      <c r="J1193" t="s">
        <v>167</v>
      </c>
      <c r="K1193" t="s">
        <v>41</v>
      </c>
      <c r="L1193" t="s">
        <v>2784</v>
      </c>
      <c r="N1193" t="s">
        <v>2785</v>
      </c>
      <c r="O1193" t="s">
        <v>84</v>
      </c>
      <c r="Q1193" t="s">
        <v>1161</v>
      </c>
      <c r="R1193" t="s">
        <v>1959</v>
      </c>
      <c r="S1193" t="s">
        <v>2315</v>
      </c>
      <c r="V1193" t="s">
        <v>2316</v>
      </c>
      <c r="W1193" t="s">
        <v>2317</v>
      </c>
      <c r="AD1193" t="s">
        <v>2786</v>
      </c>
    </row>
    <row r="1194" spans="1:30" x14ac:dyDescent="0.25">
      <c r="A1194" t="s">
        <v>33</v>
      </c>
      <c r="B1194" t="s">
        <v>2319</v>
      </c>
      <c r="D1194" t="s">
        <v>2309</v>
      </c>
      <c r="E1194" t="s">
        <v>2310</v>
      </c>
      <c r="F1194" t="s">
        <v>78</v>
      </c>
      <c r="G1194" t="s">
        <v>2787</v>
      </c>
      <c r="H1194" t="s">
        <v>166</v>
      </c>
      <c r="I1194" t="s">
        <v>80</v>
      </c>
      <c r="J1194" t="s">
        <v>167</v>
      </c>
      <c r="K1194" t="s">
        <v>41</v>
      </c>
      <c r="L1194" t="s">
        <v>2788</v>
      </c>
      <c r="N1194" t="s">
        <v>2789</v>
      </c>
      <c r="O1194" t="s">
        <v>84</v>
      </c>
      <c r="Q1194" t="s">
        <v>1161</v>
      </c>
      <c r="R1194" t="s">
        <v>1959</v>
      </c>
      <c r="S1194" t="s">
        <v>2315</v>
      </c>
      <c r="V1194" t="s">
        <v>2316</v>
      </c>
      <c r="W1194" t="s">
        <v>2317</v>
      </c>
      <c r="AD1194" t="s">
        <v>2790</v>
      </c>
    </row>
    <row r="1195" spans="1:30" x14ac:dyDescent="0.25">
      <c r="A1195" t="s">
        <v>33</v>
      </c>
      <c r="D1195" t="s">
        <v>2309</v>
      </c>
      <c r="E1195" t="s">
        <v>2310</v>
      </c>
      <c r="F1195" t="s">
        <v>78</v>
      </c>
      <c r="G1195" t="s">
        <v>2791</v>
      </c>
      <c r="H1195" t="s">
        <v>166</v>
      </c>
      <c r="I1195" t="s">
        <v>243</v>
      </c>
      <c r="J1195" t="s">
        <v>167</v>
      </c>
      <c r="K1195" t="s">
        <v>41</v>
      </c>
      <c r="L1195" t="s">
        <v>2792</v>
      </c>
      <c r="N1195" t="s">
        <v>2793</v>
      </c>
      <c r="O1195" t="s">
        <v>244</v>
      </c>
      <c r="Q1195" t="s">
        <v>245</v>
      </c>
      <c r="R1195" t="s">
        <v>2794</v>
      </c>
      <c r="S1195" t="s">
        <v>2315</v>
      </c>
      <c r="V1195" t="s">
        <v>2316</v>
      </c>
      <c r="W1195" t="s">
        <v>2317</v>
      </c>
      <c r="AD1195" t="s">
        <v>2795</v>
      </c>
    </row>
    <row r="1196" spans="1:30" x14ac:dyDescent="0.25">
      <c r="A1196" t="s">
        <v>33</v>
      </c>
      <c r="D1196" t="s">
        <v>2309</v>
      </c>
      <c r="E1196" t="s">
        <v>2310</v>
      </c>
      <c r="F1196" t="s">
        <v>78</v>
      </c>
      <c r="G1196" t="s">
        <v>2791</v>
      </c>
      <c r="H1196" t="s">
        <v>166</v>
      </c>
      <c r="I1196" t="s">
        <v>160</v>
      </c>
      <c r="J1196" t="s">
        <v>167</v>
      </c>
      <c r="K1196" t="s">
        <v>41</v>
      </c>
      <c r="L1196" t="s">
        <v>2792</v>
      </c>
      <c r="N1196" t="s">
        <v>2793</v>
      </c>
      <c r="O1196" t="s">
        <v>168</v>
      </c>
      <c r="Q1196" t="s">
        <v>1972</v>
      </c>
      <c r="R1196" t="s">
        <v>2796</v>
      </c>
      <c r="S1196" t="s">
        <v>2315</v>
      </c>
      <c r="V1196" t="s">
        <v>2316</v>
      </c>
      <c r="W1196" t="s">
        <v>2317</v>
      </c>
      <c r="AD1196" t="s">
        <v>2797</v>
      </c>
    </row>
    <row r="1197" spans="1:30" x14ac:dyDescent="0.25">
      <c r="A1197" t="s">
        <v>33</v>
      </c>
      <c r="D1197" t="s">
        <v>2309</v>
      </c>
      <c r="E1197" t="s">
        <v>2310</v>
      </c>
      <c r="F1197" t="s">
        <v>78</v>
      </c>
      <c r="G1197" t="s">
        <v>2791</v>
      </c>
      <c r="H1197" t="s">
        <v>166</v>
      </c>
      <c r="I1197" t="s">
        <v>80</v>
      </c>
      <c r="J1197" t="s">
        <v>167</v>
      </c>
      <c r="K1197" t="s">
        <v>41</v>
      </c>
      <c r="L1197" t="s">
        <v>2792</v>
      </c>
      <c r="N1197" t="s">
        <v>2793</v>
      </c>
      <c r="O1197" t="s">
        <v>84</v>
      </c>
      <c r="Q1197" t="s">
        <v>1161</v>
      </c>
      <c r="R1197" t="s">
        <v>2798</v>
      </c>
      <c r="S1197" t="s">
        <v>2315</v>
      </c>
      <c r="V1197" t="s">
        <v>2316</v>
      </c>
      <c r="W1197" t="s">
        <v>2317</v>
      </c>
      <c r="AD1197" t="s">
        <v>2799</v>
      </c>
    </row>
    <row r="1198" spans="1:30" x14ac:dyDescent="0.25">
      <c r="A1198" t="s">
        <v>33</v>
      </c>
      <c r="D1198" t="s">
        <v>2309</v>
      </c>
      <c r="E1198" t="s">
        <v>2310</v>
      </c>
      <c r="F1198" t="s">
        <v>78</v>
      </c>
      <c r="G1198" t="s">
        <v>2800</v>
      </c>
      <c r="H1198" t="s">
        <v>166</v>
      </c>
      <c r="I1198" t="s">
        <v>243</v>
      </c>
      <c r="J1198" t="s">
        <v>167</v>
      </c>
      <c r="K1198" t="s">
        <v>41</v>
      </c>
      <c r="L1198" t="s">
        <v>2801</v>
      </c>
      <c r="N1198" t="s">
        <v>2802</v>
      </c>
      <c r="O1198" t="s">
        <v>244</v>
      </c>
      <c r="Q1198" t="s">
        <v>2803</v>
      </c>
      <c r="R1198" t="s">
        <v>2804</v>
      </c>
      <c r="S1198" t="s">
        <v>2315</v>
      </c>
      <c r="V1198" t="s">
        <v>2316</v>
      </c>
      <c r="W1198" t="s">
        <v>2317</v>
      </c>
      <c r="AD1198" t="s">
        <v>2805</v>
      </c>
    </row>
    <row r="1199" spans="1:30" x14ac:dyDescent="0.25">
      <c r="A1199" t="s">
        <v>33</v>
      </c>
      <c r="D1199" t="s">
        <v>2309</v>
      </c>
      <c r="E1199" t="s">
        <v>2310</v>
      </c>
      <c r="F1199" t="s">
        <v>78</v>
      </c>
      <c r="G1199" t="s">
        <v>2800</v>
      </c>
      <c r="H1199" t="s">
        <v>166</v>
      </c>
      <c r="I1199" t="s">
        <v>160</v>
      </c>
      <c r="J1199" t="s">
        <v>167</v>
      </c>
      <c r="K1199" t="s">
        <v>41</v>
      </c>
      <c r="L1199" t="s">
        <v>2801</v>
      </c>
      <c r="N1199" t="s">
        <v>2802</v>
      </c>
      <c r="O1199" t="s">
        <v>168</v>
      </c>
      <c r="Q1199" t="s">
        <v>169</v>
      </c>
      <c r="R1199" t="s">
        <v>2806</v>
      </c>
      <c r="S1199" t="s">
        <v>2315</v>
      </c>
      <c r="V1199" t="s">
        <v>2316</v>
      </c>
      <c r="W1199" t="s">
        <v>2317</v>
      </c>
      <c r="AD1199" t="s">
        <v>2807</v>
      </c>
    </row>
    <row r="1200" spans="1:30" x14ac:dyDescent="0.25">
      <c r="A1200" t="s">
        <v>33</v>
      </c>
      <c r="B1200" t="s">
        <v>2319</v>
      </c>
      <c r="D1200" t="s">
        <v>2309</v>
      </c>
      <c r="E1200" t="s">
        <v>2310</v>
      </c>
      <c r="F1200" t="s">
        <v>78</v>
      </c>
      <c r="G1200" t="s">
        <v>2800</v>
      </c>
      <c r="H1200" t="s">
        <v>166</v>
      </c>
      <c r="I1200" t="s">
        <v>80</v>
      </c>
      <c r="J1200" t="s">
        <v>167</v>
      </c>
      <c r="K1200" t="s">
        <v>41</v>
      </c>
      <c r="L1200" t="s">
        <v>2801</v>
      </c>
      <c r="N1200" t="s">
        <v>2802</v>
      </c>
      <c r="O1200" t="s">
        <v>84</v>
      </c>
      <c r="Q1200" t="s">
        <v>1161</v>
      </c>
      <c r="R1200" t="s">
        <v>1959</v>
      </c>
      <c r="S1200" t="s">
        <v>2315</v>
      </c>
      <c r="V1200" t="s">
        <v>2316</v>
      </c>
      <c r="W1200" t="s">
        <v>2317</v>
      </c>
      <c r="AD1200" t="s">
        <v>2808</v>
      </c>
    </row>
    <row r="1201" spans="1:30" x14ac:dyDescent="0.25">
      <c r="A1201" t="s">
        <v>33</v>
      </c>
      <c r="D1201" t="s">
        <v>2309</v>
      </c>
      <c r="E1201" t="s">
        <v>2310</v>
      </c>
      <c r="F1201" t="s">
        <v>78</v>
      </c>
      <c r="G1201" t="s">
        <v>2809</v>
      </c>
      <c r="H1201" t="s">
        <v>166</v>
      </c>
      <c r="I1201" t="s">
        <v>243</v>
      </c>
      <c r="J1201" t="s">
        <v>167</v>
      </c>
      <c r="K1201" t="s">
        <v>41</v>
      </c>
      <c r="L1201" t="s">
        <v>2810</v>
      </c>
      <c r="N1201" t="s">
        <v>830</v>
      </c>
      <c r="O1201" t="s">
        <v>244</v>
      </c>
      <c r="Q1201" t="s">
        <v>2803</v>
      </c>
      <c r="R1201" t="s">
        <v>2811</v>
      </c>
      <c r="S1201" t="s">
        <v>2315</v>
      </c>
      <c r="V1201" t="s">
        <v>2316</v>
      </c>
      <c r="W1201" t="s">
        <v>2317</v>
      </c>
      <c r="AD1201" t="s">
        <v>1971</v>
      </c>
    </row>
    <row r="1202" spans="1:30" x14ac:dyDescent="0.25">
      <c r="A1202" t="s">
        <v>33</v>
      </c>
      <c r="D1202" t="s">
        <v>2309</v>
      </c>
      <c r="E1202" t="s">
        <v>2310</v>
      </c>
      <c r="F1202" t="s">
        <v>78</v>
      </c>
      <c r="G1202" t="s">
        <v>2809</v>
      </c>
      <c r="H1202" t="s">
        <v>166</v>
      </c>
      <c r="I1202" t="s">
        <v>160</v>
      </c>
      <c r="J1202" t="s">
        <v>167</v>
      </c>
      <c r="K1202" t="s">
        <v>41</v>
      </c>
      <c r="L1202" t="s">
        <v>2810</v>
      </c>
      <c r="N1202" t="s">
        <v>830</v>
      </c>
      <c r="O1202" t="s">
        <v>168</v>
      </c>
      <c r="Q1202" t="s">
        <v>169</v>
      </c>
      <c r="R1202" t="s">
        <v>2812</v>
      </c>
      <c r="S1202" t="s">
        <v>2315</v>
      </c>
      <c r="V1202" t="s">
        <v>2316</v>
      </c>
      <c r="W1202" t="s">
        <v>2317</v>
      </c>
      <c r="AD1202" t="s">
        <v>1974</v>
      </c>
    </row>
    <row r="1203" spans="1:30" x14ac:dyDescent="0.25">
      <c r="A1203" t="s">
        <v>33</v>
      </c>
      <c r="D1203" t="s">
        <v>2309</v>
      </c>
      <c r="E1203" t="s">
        <v>2310</v>
      </c>
      <c r="F1203" t="s">
        <v>78</v>
      </c>
      <c r="G1203" t="s">
        <v>2809</v>
      </c>
      <c r="H1203" t="s">
        <v>166</v>
      </c>
      <c r="I1203" t="s">
        <v>80</v>
      </c>
      <c r="J1203" t="s">
        <v>167</v>
      </c>
      <c r="K1203" t="s">
        <v>41</v>
      </c>
      <c r="L1203" t="s">
        <v>2810</v>
      </c>
      <c r="N1203" t="s">
        <v>830</v>
      </c>
      <c r="O1203" t="s">
        <v>84</v>
      </c>
      <c r="Q1203" t="s">
        <v>1958</v>
      </c>
      <c r="R1203" t="s">
        <v>2813</v>
      </c>
      <c r="S1203" t="s">
        <v>2315</v>
      </c>
      <c r="V1203" t="s">
        <v>2316</v>
      </c>
      <c r="W1203" t="s">
        <v>2317</v>
      </c>
      <c r="AD1203" t="s">
        <v>2814</v>
      </c>
    </row>
    <row r="1204" spans="1:30" x14ac:dyDescent="0.25">
      <c r="A1204" t="s">
        <v>33</v>
      </c>
      <c r="D1204" t="s">
        <v>2309</v>
      </c>
      <c r="E1204" t="s">
        <v>2310</v>
      </c>
      <c r="F1204" t="s">
        <v>78</v>
      </c>
      <c r="G1204" t="s">
        <v>2815</v>
      </c>
      <c r="H1204" t="s">
        <v>166</v>
      </c>
      <c r="I1204" t="s">
        <v>243</v>
      </c>
      <c r="J1204" t="s">
        <v>167</v>
      </c>
      <c r="K1204" t="s">
        <v>41</v>
      </c>
      <c r="L1204" t="s">
        <v>2816</v>
      </c>
      <c r="N1204" t="s">
        <v>1964</v>
      </c>
      <c r="O1204" t="s">
        <v>244</v>
      </c>
      <c r="Q1204" t="s">
        <v>245</v>
      </c>
      <c r="R1204" t="s">
        <v>2817</v>
      </c>
      <c r="S1204" t="s">
        <v>2315</v>
      </c>
      <c r="V1204" t="s">
        <v>2316</v>
      </c>
      <c r="W1204" t="s">
        <v>2317</v>
      </c>
      <c r="AD1204" t="s">
        <v>1984</v>
      </c>
    </row>
    <row r="1205" spans="1:30" x14ac:dyDescent="0.25">
      <c r="A1205" t="s">
        <v>33</v>
      </c>
      <c r="D1205" t="s">
        <v>2309</v>
      </c>
      <c r="E1205" t="s">
        <v>2310</v>
      </c>
      <c r="F1205" t="s">
        <v>78</v>
      </c>
      <c r="G1205" t="s">
        <v>2815</v>
      </c>
      <c r="H1205" t="s">
        <v>166</v>
      </c>
      <c r="I1205" t="s">
        <v>160</v>
      </c>
      <c r="J1205" t="s">
        <v>167</v>
      </c>
      <c r="K1205" t="s">
        <v>41</v>
      </c>
      <c r="L1205" t="s">
        <v>2816</v>
      </c>
      <c r="N1205" t="s">
        <v>1964</v>
      </c>
      <c r="O1205" t="s">
        <v>168</v>
      </c>
      <c r="Q1205" t="s">
        <v>1972</v>
      </c>
      <c r="R1205" t="s">
        <v>2818</v>
      </c>
      <c r="S1205" t="s">
        <v>2315</v>
      </c>
      <c r="V1205" t="s">
        <v>2316</v>
      </c>
      <c r="W1205" t="s">
        <v>2317</v>
      </c>
      <c r="AD1205" t="s">
        <v>1986</v>
      </c>
    </row>
    <row r="1206" spans="1:30" x14ac:dyDescent="0.25">
      <c r="A1206" t="s">
        <v>33</v>
      </c>
      <c r="D1206" t="s">
        <v>2309</v>
      </c>
      <c r="E1206" t="s">
        <v>2310</v>
      </c>
      <c r="F1206" t="s">
        <v>78</v>
      </c>
      <c r="G1206" t="s">
        <v>2815</v>
      </c>
      <c r="H1206" t="s">
        <v>166</v>
      </c>
      <c r="I1206" t="s">
        <v>80</v>
      </c>
      <c r="J1206" t="s">
        <v>167</v>
      </c>
      <c r="K1206" t="s">
        <v>41</v>
      </c>
      <c r="L1206" t="s">
        <v>2816</v>
      </c>
      <c r="N1206" t="s">
        <v>1964</v>
      </c>
      <c r="O1206" t="s">
        <v>84</v>
      </c>
      <c r="Q1206" t="s">
        <v>1161</v>
      </c>
      <c r="R1206" t="s">
        <v>2819</v>
      </c>
      <c r="S1206" t="s">
        <v>2315</v>
      </c>
      <c r="V1206" t="s">
        <v>2316</v>
      </c>
      <c r="W1206" t="s">
        <v>2317</v>
      </c>
      <c r="AD1206" t="s">
        <v>2820</v>
      </c>
    </row>
    <row r="1207" spans="1:30" x14ac:dyDescent="0.25">
      <c r="A1207" t="s">
        <v>33</v>
      </c>
      <c r="D1207" t="s">
        <v>2309</v>
      </c>
      <c r="E1207" t="s">
        <v>2310</v>
      </c>
      <c r="F1207" t="s">
        <v>78</v>
      </c>
      <c r="G1207" t="s">
        <v>2821</v>
      </c>
      <c r="H1207" t="s">
        <v>166</v>
      </c>
      <c r="I1207" t="s">
        <v>80</v>
      </c>
      <c r="J1207" t="s">
        <v>167</v>
      </c>
      <c r="K1207" t="s">
        <v>41</v>
      </c>
      <c r="L1207" t="s">
        <v>2822</v>
      </c>
      <c r="N1207" t="s">
        <v>2823</v>
      </c>
      <c r="O1207" t="s">
        <v>84</v>
      </c>
      <c r="Q1207" t="s">
        <v>1161</v>
      </c>
      <c r="R1207" t="s">
        <v>2824</v>
      </c>
      <c r="S1207" t="s">
        <v>2315</v>
      </c>
      <c r="V1207" t="s">
        <v>2316</v>
      </c>
      <c r="W1207" t="s">
        <v>2317</v>
      </c>
      <c r="AD1207" t="s">
        <v>2825</v>
      </c>
    </row>
    <row r="1208" spans="1:30" x14ac:dyDescent="0.25">
      <c r="A1208" t="s">
        <v>33</v>
      </c>
      <c r="D1208" t="s">
        <v>2309</v>
      </c>
      <c r="E1208" t="s">
        <v>2310</v>
      </c>
      <c r="F1208" t="s">
        <v>87</v>
      </c>
      <c r="G1208" t="s">
        <v>2826</v>
      </c>
      <c r="H1208" t="s">
        <v>153</v>
      </c>
      <c r="I1208" t="s">
        <v>90</v>
      </c>
      <c r="J1208" t="s">
        <v>154</v>
      </c>
      <c r="K1208" t="s">
        <v>155</v>
      </c>
      <c r="L1208" t="s">
        <v>2827</v>
      </c>
      <c r="N1208" t="s">
        <v>817</v>
      </c>
      <c r="O1208" t="s">
        <v>386</v>
      </c>
      <c r="R1208" t="s">
        <v>2828</v>
      </c>
      <c r="S1208" t="s">
        <v>2315</v>
      </c>
      <c r="V1208" t="s">
        <v>2316</v>
      </c>
      <c r="W1208" t="s">
        <v>2317</v>
      </c>
      <c r="AD1208" t="s">
        <v>820</v>
      </c>
    </row>
    <row r="1209" spans="1:30" x14ac:dyDescent="0.25">
      <c r="A1209" t="s">
        <v>33</v>
      </c>
      <c r="D1209" t="s">
        <v>2309</v>
      </c>
      <c r="E1209" t="s">
        <v>2310</v>
      </c>
      <c r="F1209" t="s">
        <v>87</v>
      </c>
      <c r="G1209" t="s">
        <v>2826</v>
      </c>
      <c r="H1209" t="s">
        <v>38</v>
      </c>
      <c r="I1209" t="s">
        <v>106</v>
      </c>
      <c r="J1209" t="s">
        <v>40</v>
      </c>
      <c r="K1209" t="s">
        <v>41</v>
      </c>
      <c r="L1209" t="s">
        <v>2827</v>
      </c>
      <c r="M1209" t="s">
        <v>1191</v>
      </c>
      <c r="N1209" t="s">
        <v>817</v>
      </c>
      <c r="O1209" t="s">
        <v>109</v>
      </c>
      <c r="R1209" t="s">
        <v>2829</v>
      </c>
      <c r="S1209" t="s">
        <v>2315</v>
      </c>
      <c r="V1209" t="s">
        <v>2316</v>
      </c>
      <c r="W1209" t="s">
        <v>2317</v>
      </c>
      <c r="X1209" t="s">
        <v>1193</v>
      </c>
      <c r="AD1209" t="s">
        <v>1936</v>
      </c>
    </row>
    <row r="1210" spans="1:30" x14ac:dyDescent="0.25">
      <c r="A1210" t="s">
        <v>33</v>
      </c>
      <c r="D1210" t="s">
        <v>2309</v>
      </c>
      <c r="E1210" t="s">
        <v>2310</v>
      </c>
      <c r="F1210" t="s">
        <v>87</v>
      </c>
      <c r="G1210" t="s">
        <v>2826</v>
      </c>
      <c r="H1210" t="s">
        <v>38</v>
      </c>
      <c r="I1210" t="s">
        <v>25</v>
      </c>
      <c r="J1210" t="s">
        <v>69</v>
      </c>
      <c r="K1210" t="s">
        <v>41</v>
      </c>
      <c r="L1210" t="s">
        <v>2827</v>
      </c>
      <c r="M1210" t="s">
        <v>1191</v>
      </c>
      <c r="N1210" t="s">
        <v>817</v>
      </c>
      <c r="O1210" t="s">
        <v>512</v>
      </c>
      <c r="R1210" t="s">
        <v>521</v>
      </c>
      <c r="S1210" t="s">
        <v>2315</v>
      </c>
      <c r="V1210" t="s">
        <v>2316</v>
      </c>
      <c r="W1210" t="s">
        <v>2317</v>
      </c>
      <c r="X1210" t="s">
        <v>1193</v>
      </c>
      <c r="AD1210" t="s">
        <v>1938</v>
      </c>
    </row>
    <row r="1211" spans="1:30" x14ac:dyDescent="0.25">
      <c r="A1211" t="s">
        <v>33</v>
      </c>
      <c r="D1211" t="s">
        <v>2309</v>
      </c>
      <c r="E1211" t="s">
        <v>2310</v>
      </c>
      <c r="F1211" t="s">
        <v>87</v>
      </c>
      <c r="G1211" t="s">
        <v>2826</v>
      </c>
      <c r="H1211" t="s">
        <v>38</v>
      </c>
      <c r="I1211" t="s">
        <v>24</v>
      </c>
      <c r="J1211" t="s">
        <v>69</v>
      </c>
      <c r="K1211" t="s">
        <v>41</v>
      </c>
      <c r="L1211" t="s">
        <v>2827</v>
      </c>
      <c r="M1211" t="s">
        <v>1191</v>
      </c>
      <c r="N1211" t="s">
        <v>817</v>
      </c>
      <c r="O1211" t="s">
        <v>509</v>
      </c>
      <c r="R1211" t="s">
        <v>519</v>
      </c>
      <c r="S1211" t="s">
        <v>2315</v>
      </c>
      <c r="V1211" t="s">
        <v>2316</v>
      </c>
      <c r="W1211" t="s">
        <v>2317</v>
      </c>
      <c r="X1211" t="s">
        <v>1193</v>
      </c>
      <c r="AD1211" t="s">
        <v>1940</v>
      </c>
    </row>
    <row r="1212" spans="1:30" x14ac:dyDescent="0.25">
      <c r="A1212" t="s">
        <v>33</v>
      </c>
      <c r="D1212" t="s">
        <v>2309</v>
      </c>
      <c r="E1212" t="s">
        <v>2348</v>
      </c>
      <c r="F1212" t="s">
        <v>87</v>
      </c>
      <c r="G1212" t="s">
        <v>2830</v>
      </c>
      <c r="H1212" t="s">
        <v>153</v>
      </c>
      <c r="I1212" t="s">
        <v>90</v>
      </c>
      <c r="J1212" t="s">
        <v>154</v>
      </c>
      <c r="K1212" t="s">
        <v>155</v>
      </c>
      <c r="L1212" t="s">
        <v>2831</v>
      </c>
      <c r="N1212" t="s">
        <v>817</v>
      </c>
      <c r="O1212" t="s">
        <v>386</v>
      </c>
      <c r="R1212" t="s">
        <v>2832</v>
      </c>
      <c r="S1212" t="s">
        <v>2315</v>
      </c>
      <c r="V1212" t="s">
        <v>2316</v>
      </c>
      <c r="W1212" t="s">
        <v>2353</v>
      </c>
      <c r="AD1212" t="s">
        <v>820</v>
      </c>
    </row>
    <row r="1213" spans="1:30" x14ac:dyDescent="0.25">
      <c r="A1213" t="s">
        <v>33</v>
      </c>
      <c r="D1213" t="s">
        <v>2309</v>
      </c>
      <c r="E1213" t="s">
        <v>2348</v>
      </c>
      <c r="F1213" t="s">
        <v>87</v>
      </c>
      <c r="G1213" t="s">
        <v>2830</v>
      </c>
      <c r="H1213" t="s">
        <v>38</v>
      </c>
      <c r="I1213" t="s">
        <v>106</v>
      </c>
      <c r="J1213" t="s">
        <v>40</v>
      </c>
      <c r="K1213" t="s">
        <v>41</v>
      </c>
      <c r="L1213" t="s">
        <v>2831</v>
      </c>
      <c r="M1213" t="s">
        <v>1191</v>
      </c>
      <c r="N1213" t="s">
        <v>817</v>
      </c>
      <c r="O1213" t="s">
        <v>109</v>
      </c>
      <c r="R1213" t="s">
        <v>2833</v>
      </c>
      <c r="S1213" t="s">
        <v>2315</v>
      </c>
      <c r="V1213" t="s">
        <v>2316</v>
      </c>
      <c r="W1213" t="s">
        <v>2353</v>
      </c>
      <c r="X1213" t="s">
        <v>1193</v>
      </c>
      <c r="AD1213" t="s">
        <v>1936</v>
      </c>
    </row>
    <row r="1214" spans="1:30" x14ac:dyDescent="0.25">
      <c r="A1214" t="s">
        <v>33</v>
      </c>
      <c r="D1214" t="s">
        <v>2309</v>
      </c>
      <c r="E1214" t="s">
        <v>2348</v>
      </c>
      <c r="F1214" t="s">
        <v>87</v>
      </c>
      <c r="G1214" t="s">
        <v>2830</v>
      </c>
      <c r="H1214" t="s">
        <v>38</v>
      </c>
      <c r="I1214" t="s">
        <v>25</v>
      </c>
      <c r="J1214" t="s">
        <v>69</v>
      </c>
      <c r="K1214" t="s">
        <v>41</v>
      </c>
      <c r="L1214" t="s">
        <v>2831</v>
      </c>
      <c r="M1214" t="s">
        <v>1191</v>
      </c>
      <c r="N1214" t="s">
        <v>817</v>
      </c>
      <c r="O1214" t="s">
        <v>512</v>
      </c>
      <c r="R1214" t="s">
        <v>513</v>
      </c>
      <c r="S1214" t="s">
        <v>2315</v>
      </c>
      <c r="V1214" t="s">
        <v>2316</v>
      </c>
      <c r="W1214" t="s">
        <v>2353</v>
      </c>
      <c r="X1214" t="s">
        <v>1193</v>
      </c>
      <c r="AD1214" t="s">
        <v>1938</v>
      </c>
    </row>
    <row r="1215" spans="1:30" x14ac:dyDescent="0.25">
      <c r="A1215" t="s">
        <v>33</v>
      </c>
      <c r="D1215" t="s">
        <v>2309</v>
      </c>
      <c r="E1215" t="s">
        <v>2348</v>
      </c>
      <c r="F1215" t="s">
        <v>87</v>
      </c>
      <c r="G1215" t="s">
        <v>2830</v>
      </c>
      <c r="H1215" t="s">
        <v>38</v>
      </c>
      <c r="I1215" t="s">
        <v>24</v>
      </c>
      <c r="J1215" t="s">
        <v>69</v>
      </c>
      <c r="K1215" t="s">
        <v>41</v>
      </c>
      <c r="L1215" t="s">
        <v>2831</v>
      </c>
      <c r="M1215" t="s">
        <v>1191</v>
      </c>
      <c r="N1215" t="s">
        <v>817</v>
      </c>
      <c r="O1215" t="s">
        <v>509</v>
      </c>
      <c r="R1215" t="s">
        <v>510</v>
      </c>
      <c r="S1215" t="s">
        <v>2315</v>
      </c>
      <c r="V1215" t="s">
        <v>2316</v>
      </c>
      <c r="W1215" t="s">
        <v>2353</v>
      </c>
      <c r="X1215" t="s">
        <v>1193</v>
      </c>
      <c r="AD1215" t="s">
        <v>1940</v>
      </c>
    </row>
    <row r="1216" spans="1:30" x14ac:dyDescent="0.25">
      <c r="A1216" t="s">
        <v>33</v>
      </c>
      <c r="D1216" t="s">
        <v>2309</v>
      </c>
      <c r="E1216" t="s">
        <v>2365</v>
      </c>
      <c r="F1216" t="s">
        <v>87</v>
      </c>
      <c r="G1216" t="s">
        <v>2834</v>
      </c>
      <c r="H1216" t="s">
        <v>153</v>
      </c>
      <c r="I1216" t="s">
        <v>90</v>
      </c>
      <c r="J1216" t="s">
        <v>154</v>
      </c>
      <c r="K1216" t="s">
        <v>155</v>
      </c>
      <c r="L1216" t="s">
        <v>2835</v>
      </c>
      <c r="N1216" t="s">
        <v>817</v>
      </c>
      <c r="O1216" t="s">
        <v>386</v>
      </c>
      <c r="R1216" t="s">
        <v>2836</v>
      </c>
      <c r="S1216" t="s">
        <v>2315</v>
      </c>
      <c r="V1216" t="s">
        <v>2316</v>
      </c>
      <c r="W1216" t="s">
        <v>2369</v>
      </c>
      <c r="AD1216" t="s">
        <v>820</v>
      </c>
    </row>
    <row r="1217" spans="1:32" x14ac:dyDescent="0.25">
      <c r="A1217" t="s">
        <v>33</v>
      </c>
      <c r="D1217" t="s">
        <v>2309</v>
      </c>
      <c r="E1217" t="s">
        <v>2365</v>
      </c>
      <c r="F1217" t="s">
        <v>87</v>
      </c>
      <c r="G1217" t="s">
        <v>2834</v>
      </c>
      <c r="H1217" t="s">
        <v>38</v>
      </c>
      <c r="I1217" t="s">
        <v>106</v>
      </c>
      <c r="J1217" t="s">
        <v>40</v>
      </c>
      <c r="K1217" t="s">
        <v>41</v>
      </c>
      <c r="L1217" t="s">
        <v>2835</v>
      </c>
      <c r="M1217" t="s">
        <v>1191</v>
      </c>
      <c r="N1217" t="s">
        <v>817</v>
      </c>
      <c r="O1217" t="s">
        <v>109</v>
      </c>
      <c r="R1217" t="s">
        <v>2837</v>
      </c>
      <c r="S1217" t="s">
        <v>2315</v>
      </c>
      <c r="V1217" t="s">
        <v>2316</v>
      </c>
      <c r="W1217" t="s">
        <v>2369</v>
      </c>
      <c r="X1217" t="s">
        <v>1193</v>
      </c>
      <c r="AD1217" t="s">
        <v>1936</v>
      </c>
    </row>
    <row r="1218" spans="1:32" x14ac:dyDescent="0.25">
      <c r="A1218" t="s">
        <v>33</v>
      </c>
      <c r="D1218" t="s">
        <v>2309</v>
      </c>
      <c r="E1218" t="s">
        <v>2365</v>
      </c>
      <c r="F1218" t="s">
        <v>87</v>
      </c>
      <c r="G1218" t="s">
        <v>2834</v>
      </c>
      <c r="H1218" t="s">
        <v>38</v>
      </c>
      <c r="I1218" t="s">
        <v>25</v>
      </c>
      <c r="J1218" t="s">
        <v>69</v>
      </c>
      <c r="K1218" t="s">
        <v>41</v>
      </c>
      <c r="L1218" t="s">
        <v>2835</v>
      </c>
      <c r="M1218" t="s">
        <v>1191</v>
      </c>
      <c r="N1218" t="s">
        <v>817</v>
      </c>
      <c r="O1218" t="s">
        <v>512</v>
      </c>
      <c r="R1218" t="s">
        <v>517</v>
      </c>
      <c r="S1218" t="s">
        <v>2315</v>
      </c>
      <c r="V1218" t="s">
        <v>2316</v>
      </c>
      <c r="W1218" t="s">
        <v>2369</v>
      </c>
      <c r="X1218" t="s">
        <v>1193</v>
      </c>
      <c r="AD1218" t="s">
        <v>1938</v>
      </c>
    </row>
    <row r="1219" spans="1:32" x14ac:dyDescent="0.25">
      <c r="A1219" t="s">
        <v>33</v>
      </c>
      <c r="D1219" t="s">
        <v>2309</v>
      </c>
      <c r="E1219" t="s">
        <v>2365</v>
      </c>
      <c r="F1219" t="s">
        <v>87</v>
      </c>
      <c r="G1219" t="s">
        <v>2834</v>
      </c>
      <c r="H1219" t="s">
        <v>38</v>
      </c>
      <c r="I1219" t="s">
        <v>24</v>
      </c>
      <c r="J1219" t="s">
        <v>69</v>
      </c>
      <c r="K1219" t="s">
        <v>41</v>
      </c>
      <c r="L1219" t="s">
        <v>2835</v>
      </c>
      <c r="M1219" t="s">
        <v>1191</v>
      </c>
      <c r="N1219" t="s">
        <v>817</v>
      </c>
      <c r="O1219" t="s">
        <v>509</v>
      </c>
      <c r="R1219" t="s">
        <v>515</v>
      </c>
      <c r="S1219" t="s">
        <v>2315</v>
      </c>
      <c r="V1219" t="s">
        <v>2316</v>
      </c>
      <c r="W1219" t="s">
        <v>2369</v>
      </c>
      <c r="X1219" t="s">
        <v>1193</v>
      </c>
      <c r="AD1219" t="s">
        <v>1940</v>
      </c>
    </row>
    <row r="1220" spans="1:32" x14ac:dyDescent="0.25">
      <c r="A1220" t="s">
        <v>33</v>
      </c>
      <c r="D1220" t="s">
        <v>2309</v>
      </c>
      <c r="E1220" t="s">
        <v>2310</v>
      </c>
      <c r="F1220" t="s">
        <v>87</v>
      </c>
      <c r="G1220" t="s">
        <v>2838</v>
      </c>
      <c r="H1220" t="s">
        <v>153</v>
      </c>
      <c r="I1220" t="s">
        <v>144</v>
      </c>
      <c r="J1220" t="s">
        <v>154</v>
      </c>
      <c r="K1220" t="s">
        <v>155</v>
      </c>
      <c r="L1220" t="s">
        <v>2839</v>
      </c>
      <c r="N1220" t="s">
        <v>2840</v>
      </c>
      <c r="O1220" t="s">
        <v>213</v>
      </c>
      <c r="R1220" t="s">
        <v>2841</v>
      </c>
      <c r="S1220" t="s">
        <v>2315</v>
      </c>
      <c r="V1220" t="s">
        <v>2316</v>
      </c>
      <c r="W1220" t="s">
        <v>2317</v>
      </c>
      <c r="AD1220" t="s">
        <v>2842</v>
      </c>
    </row>
    <row r="1221" spans="1:32" x14ac:dyDescent="0.25">
      <c r="A1221" t="s">
        <v>947</v>
      </c>
      <c r="B1221" t="s">
        <v>2843</v>
      </c>
      <c r="C1221" t="s">
        <v>949</v>
      </c>
      <c r="D1221" t="s">
        <v>2309</v>
      </c>
      <c r="E1221" t="s">
        <v>2310</v>
      </c>
      <c r="F1221" t="s">
        <v>87</v>
      </c>
      <c r="G1221" t="s">
        <v>2838</v>
      </c>
      <c r="H1221" t="s">
        <v>166</v>
      </c>
      <c r="I1221" t="s">
        <v>216</v>
      </c>
      <c r="J1221" t="s">
        <v>167</v>
      </c>
      <c r="K1221" t="s">
        <v>41</v>
      </c>
      <c r="L1221" t="s">
        <v>2839</v>
      </c>
      <c r="N1221" t="s">
        <v>2840</v>
      </c>
      <c r="O1221" t="s">
        <v>217</v>
      </c>
      <c r="Q1221" t="s">
        <v>2844</v>
      </c>
      <c r="R1221" t="s">
        <v>2845</v>
      </c>
      <c r="S1221" t="s">
        <v>2315</v>
      </c>
      <c r="V1221" t="s">
        <v>2316</v>
      </c>
      <c r="W1221" t="s">
        <v>2317</v>
      </c>
      <c r="AD1221" t="s">
        <v>2846</v>
      </c>
    </row>
    <row r="1222" spans="1:32" x14ac:dyDescent="0.25">
      <c r="A1222" t="s">
        <v>33</v>
      </c>
      <c r="B1222" t="s">
        <v>2319</v>
      </c>
      <c r="D1222" t="s">
        <v>2847</v>
      </c>
      <c r="E1222" t="s">
        <v>2848</v>
      </c>
      <c r="F1222" t="s">
        <v>2849</v>
      </c>
      <c r="G1222" t="s">
        <v>2850</v>
      </c>
      <c r="H1222" t="s">
        <v>166</v>
      </c>
      <c r="I1222" t="s">
        <v>281</v>
      </c>
      <c r="J1222" t="s">
        <v>167</v>
      </c>
      <c r="K1222" t="s">
        <v>41</v>
      </c>
      <c r="L1222" t="s">
        <v>2851</v>
      </c>
      <c r="N1222" t="s">
        <v>2852</v>
      </c>
      <c r="O1222" t="s">
        <v>858</v>
      </c>
      <c r="Q1222" t="s">
        <v>859</v>
      </c>
      <c r="R1222" t="s">
        <v>2853</v>
      </c>
      <c r="S1222" t="s">
        <v>2854</v>
      </c>
      <c r="V1222" t="s">
        <v>2855</v>
      </c>
      <c r="W1222" t="s">
        <v>2856</v>
      </c>
      <c r="AD1222" t="s">
        <v>2857</v>
      </c>
    </row>
    <row r="1223" spans="1:32" x14ac:dyDescent="0.25">
      <c r="A1223" t="s">
        <v>33</v>
      </c>
      <c r="D1223" t="s">
        <v>2847</v>
      </c>
      <c r="E1223" t="s">
        <v>2848</v>
      </c>
      <c r="F1223" t="s">
        <v>2849</v>
      </c>
      <c r="G1223" t="s">
        <v>2850</v>
      </c>
      <c r="H1223" t="s">
        <v>166</v>
      </c>
      <c r="I1223" t="s">
        <v>1263</v>
      </c>
      <c r="J1223" t="s">
        <v>167</v>
      </c>
      <c r="K1223" t="s">
        <v>41</v>
      </c>
      <c r="L1223" t="s">
        <v>2851</v>
      </c>
      <c r="N1223" t="s">
        <v>2852</v>
      </c>
      <c r="O1223" t="s">
        <v>1264</v>
      </c>
      <c r="Q1223" t="s">
        <v>2541</v>
      </c>
      <c r="R1223" t="s">
        <v>1959</v>
      </c>
      <c r="S1223" t="s">
        <v>2854</v>
      </c>
      <c r="V1223" t="s">
        <v>2855</v>
      </c>
      <c r="W1223" t="s">
        <v>2856</v>
      </c>
      <c r="AD1223" t="s">
        <v>2858</v>
      </c>
    </row>
    <row r="1224" spans="1:32" x14ac:dyDescent="0.25">
      <c r="A1224" t="s">
        <v>33</v>
      </c>
      <c r="D1224" t="s">
        <v>2847</v>
      </c>
      <c r="E1224" t="s">
        <v>2859</v>
      </c>
      <c r="F1224" t="s">
        <v>87</v>
      </c>
      <c r="G1224" t="s">
        <v>2860</v>
      </c>
      <c r="H1224" t="s">
        <v>153</v>
      </c>
      <c r="I1224" t="s">
        <v>90</v>
      </c>
      <c r="J1224" t="s">
        <v>154</v>
      </c>
      <c r="K1224" t="s">
        <v>155</v>
      </c>
      <c r="L1224" t="s">
        <v>2861</v>
      </c>
      <c r="N1224" t="s">
        <v>2862</v>
      </c>
      <c r="O1224" t="s">
        <v>386</v>
      </c>
      <c r="R1224" t="s">
        <v>2863</v>
      </c>
      <c r="S1224" t="s">
        <v>2864</v>
      </c>
      <c r="V1224" t="s">
        <v>2855</v>
      </c>
      <c r="W1224" t="s">
        <v>2865</v>
      </c>
      <c r="AD1224" t="s">
        <v>2866</v>
      </c>
    </row>
    <row r="1225" spans="1:32" x14ac:dyDescent="0.25">
      <c r="A1225" t="s">
        <v>33</v>
      </c>
      <c r="D1225" t="s">
        <v>2847</v>
      </c>
      <c r="E1225" t="s">
        <v>2859</v>
      </c>
      <c r="F1225" t="s">
        <v>87</v>
      </c>
      <c r="G1225" t="s">
        <v>2860</v>
      </c>
      <c r="H1225" t="s">
        <v>153</v>
      </c>
      <c r="I1225" t="s">
        <v>144</v>
      </c>
      <c r="J1225" t="s">
        <v>154</v>
      </c>
      <c r="K1225" t="s">
        <v>155</v>
      </c>
      <c r="L1225" t="s">
        <v>2861</v>
      </c>
      <c r="N1225" t="s">
        <v>2862</v>
      </c>
      <c r="O1225" t="s">
        <v>156</v>
      </c>
      <c r="R1225" t="s">
        <v>2867</v>
      </c>
      <c r="S1225" t="s">
        <v>2864</v>
      </c>
      <c r="V1225" t="s">
        <v>2855</v>
      </c>
      <c r="W1225" t="s">
        <v>2865</v>
      </c>
      <c r="AD1225" t="s">
        <v>2868</v>
      </c>
    </row>
    <row r="1226" spans="1:32" x14ac:dyDescent="0.25">
      <c r="A1226" t="s">
        <v>947</v>
      </c>
      <c r="B1226" t="s">
        <v>1948</v>
      </c>
      <c r="C1226" t="s">
        <v>949</v>
      </c>
      <c r="D1226" t="s">
        <v>2847</v>
      </c>
      <c r="E1226" t="s">
        <v>2869</v>
      </c>
      <c r="F1226" t="s">
        <v>2870</v>
      </c>
      <c r="G1226" t="s">
        <v>2871</v>
      </c>
      <c r="H1226" t="s">
        <v>153</v>
      </c>
      <c r="I1226" t="s">
        <v>2872</v>
      </c>
      <c r="J1226" t="s">
        <v>154</v>
      </c>
      <c r="K1226" t="s">
        <v>155</v>
      </c>
      <c r="L1226" t="s">
        <v>2873</v>
      </c>
      <c r="N1226" t="s">
        <v>2874</v>
      </c>
      <c r="O1226" t="s">
        <v>2875</v>
      </c>
      <c r="R1226" t="s">
        <v>2876</v>
      </c>
      <c r="S1226" t="s">
        <v>2864</v>
      </c>
      <c r="V1226" t="s">
        <v>2855</v>
      </c>
      <c r="W1226" t="s">
        <v>2865</v>
      </c>
      <c r="AD1226" t="s">
        <v>2877</v>
      </c>
    </row>
    <row r="1227" spans="1:32" x14ac:dyDescent="0.25">
      <c r="A1227" t="s">
        <v>33</v>
      </c>
      <c r="D1227" t="s">
        <v>2847</v>
      </c>
      <c r="E1227" t="s">
        <v>2848</v>
      </c>
      <c r="F1227" t="s">
        <v>866</v>
      </c>
      <c r="G1227" t="s">
        <v>2878</v>
      </c>
      <c r="H1227" t="s">
        <v>153</v>
      </c>
      <c r="I1227" t="s">
        <v>598</v>
      </c>
      <c r="J1227" t="s">
        <v>154</v>
      </c>
      <c r="K1227" t="s">
        <v>155</v>
      </c>
      <c r="L1227" t="s">
        <v>2879</v>
      </c>
      <c r="N1227" t="s">
        <v>2880</v>
      </c>
      <c r="O1227" t="s">
        <v>599</v>
      </c>
      <c r="R1227" t="s">
        <v>2881</v>
      </c>
      <c r="S1227" t="s">
        <v>2882</v>
      </c>
      <c r="V1227" t="s">
        <v>2855</v>
      </c>
      <c r="W1227" t="s">
        <v>2856</v>
      </c>
      <c r="AD1227" t="s">
        <v>2883</v>
      </c>
    </row>
    <row r="1228" spans="1:32" x14ac:dyDescent="0.25">
      <c r="A1228" t="s">
        <v>33</v>
      </c>
      <c r="D1228" t="s">
        <v>2847</v>
      </c>
      <c r="E1228" t="s">
        <v>2859</v>
      </c>
      <c r="F1228" t="s">
        <v>87</v>
      </c>
      <c r="G1228" t="s">
        <v>2884</v>
      </c>
      <c r="H1228" t="s">
        <v>153</v>
      </c>
      <c r="I1228" t="s">
        <v>90</v>
      </c>
      <c r="J1228" t="s">
        <v>154</v>
      </c>
      <c r="K1228" t="s">
        <v>155</v>
      </c>
      <c r="L1228" t="s">
        <v>2885</v>
      </c>
      <c r="N1228" t="s">
        <v>2886</v>
      </c>
      <c r="O1228" t="s">
        <v>386</v>
      </c>
      <c r="R1228" t="s">
        <v>2887</v>
      </c>
      <c r="S1228" t="s">
        <v>2864</v>
      </c>
      <c r="V1228" t="s">
        <v>2855</v>
      </c>
      <c r="W1228" t="s">
        <v>2865</v>
      </c>
      <c r="AC1228" t="s">
        <v>2888</v>
      </c>
      <c r="AD1228" t="s">
        <v>2889</v>
      </c>
      <c r="AE1228" t="s">
        <v>2890</v>
      </c>
      <c r="AF1228">
        <v>1</v>
      </c>
    </row>
    <row r="1229" spans="1:32" x14ac:dyDescent="0.25">
      <c r="A1229" t="s">
        <v>33</v>
      </c>
      <c r="D1229" t="s">
        <v>2847</v>
      </c>
      <c r="E1229" t="s">
        <v>2859</v>
      </c>
      <c r="F1229" t="s">
        <v>87</v>
      </c>
      <c r="G1229" t="s">
        <v>2884</v>
      </c>
      <c r="H1229" t="s">
        <v>153</v>
      </c>
      <c r="I1229" t="s">
        <v>144</v>
      </c>
      <c r="J1229" t="s">
        <v>154</v>
      </c>
      <c r="K1229" t="s">
        <v>155</v>
      </c>
      <c r="L1229" t="s">
        <v>2885</v>
      </c>
      <c r="N1229" t="s">
        <v>2886</v>
      </c>
      <c r="O1229" t="s">
        <v>156</v>
      </c>
      <c r="R1229" t="s">
        <v>2891</v>
      </c>
      <c r="S1229" t="s">
        <v>2864</v>
      </c>
      <c r="V1229" t="s">
        <v>2855</v>
      </c>
      <c r="W1229" t="s">
        <v>2865</v>
      </c>
      <c r="AD1229" t="s">
        <v>2892</v>
      </c>
    </row>
    <row r="1230" spans="1:32" x14ac:dyDescent="0.25">
      <c r="A1230" t="s">
        <v>33</v>
      </c>
      <c r="D1230" t="s">
        <v>2847</v>
      </c>
      <c r="E1230" t="s">
        <v>2893</v>
      </c>
      <c r="F1230" t="s">
        <v>78</v>
      </c>
      <c r="G1230" t="s">
        <v>2894</v>
      </c>
      <c r="H1230" t="s">
        <v>166</v>
      </c>
      <c r="I1230" t="s">
        <v>80</v>
      </c>
      <c r="J1230" t="s">
        <v>167</v>
      </c>
      <c r="K1230" t="s">
        <v>41</v>
      </c>
      <c r="L1230" t="s">
        <v>2895</v>
      </c>
      <c r="N1230" t="s">
        <v>2896</v>
      </c>
      <c r="O1230" t="s">
        <v>84</v>
      </c>
      <c r="Q1230" t="s">
        <v>1161</v>
      </c>
      <c r="R1230" t="s">
        <v>2897</v>
      </c>
      <c r="S1230" t="s">
        <v>2864</v>
      </c>
      <c r="V1230" t="s">
        <v>2855</v>
      </c>
      <c r="W1230" t="s">
        <v>2898</v>
      </c>
      <c r="AD1230" t="s">
        <v>2899</v>
      </c>
    </row>
    <row r="1231" spans="1:32" x14ac:dyDescent="0.25">
      <c r="A1231" t="s">
        <v>33</v>
      </c>
      <c r="D1231" t="s">
        <v>2847</v>
      </c>
      <c r="E1231" t="s">
        <v>2893</v>
      </c>
      <c r="F1231" t="s">
        <v>87</v>
      </c>
      <c r="G1231" t="s">
        <v>2900</v>
      </c>
      <c r="H1231" t="s">
        <v>153</v>
      </c>
      <c r="I1231" t="s">
        <v>90</v>
      </c>
      <c r="J1231" t="s">
        <v>154</v>
      </c>
      <c r="K1231" t="s">
        <v>155</v>
      </c>
      <c r="L1231" t="s">
        <v>2901</v>
      </c>
      <c r="N1231" t="s">
        <v>2902</v>
      </c>
      <c r="O1231" t="s">
        <v>213</v>
      </c>
      <c r="R1231" t="s">
        <v>2903</v>
      </c>
      <c r="S1231" t="s">
        <v>2864</v>
      </c>
      <c r="V1231" t="s">
        <v>2855</v>
      </c>
      <c r="W1231" t="s">
        <v>2898</v>
      </c>
      <c r="AC1231" t="s">
        <v>2904</v>
      </c>
      <c r="AD1231" t="s">
        <v>2905</v>
      </c>
      <c r="AE1231" t="s">
        <v>2890</v>
      </c>
      <c r="AF1231">
        <v>5</v>
      </c>
    </row>
    <row r="1232" spans="1:32" x14ac:dyDescent="0.25">
      <c r="A1232" t="s">
        <v>33</v>
      </c>
      <c r="D1232" t="s">
        <v>2847</v>
      </c>
      <c r="E1232" t="s">
        <v>2893</v>
      </c>
      <c r="F1232" t="s">
        <v>87</v>
      </c>
      <c r="G1232" t="s">
        <v>2906</v>
      </c>
      <c r="H1232" t="s">
        <v>153</v>
      </c>
      <c r="I1232" t="s">
        <v>144</v>
      </c>
      <c r="J1232" t="s">
        <v>154</v>
      </c>
      <c r="K1232" t="s">
        <v>155</v>
      </c>
      <c r="L1232" t="s">
        <v>2907</v>
      </c>
      <c r="N1232" t="s">
        <v>2195</v>
      </c>
      <c r="O1232" t="s">
        <v>156</v>
      </c>
      <c r="R1232" t="s">
        <v>2908</v>
      </c>
      <c r="S1232" t="s">
        <v>2864</v>
      </c>
      <c r="V1232" t="s">
        <v>2855</v>
      </c>
      <c r="W1232" t="s">
        <v>2898</v>
      </c>
      <c r="AD1232" t="s">
        <v>2243</v>
      </c>
    </row>
    <row r="1233" spans="1:32" x14ac:dyDescent="0.25">
      <c r="A1233" t="s">
        <v>33</v>
      </c>
      <c r="D1233" t="s">
        <v>2847</v>
      </c>
      <c r="E1233" t="s">
        <v>2859</v>
      </c>
      <c r="F1233" t="s">
        <v>87</v>
      </c>
      <c r="G1233" t="s">
        <v>2884</v>
      </c>
      <c r="H1233" t="s">
        <v>153</v>
      </c>
      <c r="I1233" t="s">
        <v>180</v>
      </c>
      <c r="J1233" t="s">
        <v>154</v>
      </c>
      <c r="K1233" t="s">
        <v>155</v>
      </c>
      <c r="L1233" t="s">
        <v>2885</v>
      </c>
      <c r="N1233" t="s">
        <v>2886</v>
      </c>
      <c r="O1233" t="s">
        <v>187</v>
      </c>
      <c r="R1233" t="s">
        <v>2909</v>
      </c>
      <c r="S1233" t="s">
        <v>2864</v>
      </c>
      <c r="V1233" t="s">
        <v>2855</v>
      </c>
      <c r="W1233" t="s">
        <v>2865</v>
      </c>
      <c r="AD1233" t="s">
        <v>2910</v>
      </c>
    </row>
    <row r="1234" spans="1:32" x14ac:dyDescent="0.25">
      <c r="A1234" t="s">
        <v>33</v>
      </c>
      <c r="D1234" t="s">
        <v>2847</v>
      </c>
      <c r="E1234" t="s">
        <v>2893</v>
      </c>
      <c r="F1234" t="s">
        <v>87</v>
      </c>
      <c r="G1234" t="s">
        <v>2911</v>
      </c>
      <c r="H1234" t="s">
        <v>153</v>
      </c>
      <c r="I1234" t="s">
        <v>100</v>
      </c>
      <c r="J1234" t="s">
        <v>154</v>
      </c>
      <c r="K1234" t="s">
        <v>155</v>
      </c>
      <c r="L1234" t="s">
        <v>2912</v>
      </c>
      <c r="N1234" t="s">
        <v>2913</v>
      </c>
      <c r="O1234" t="s">
        <v>213</v>
      </c>
      <c r="R1234" t="s">
        <v>2914</v>
      </c>
      <c r="S1234" t="s">
        <v>2864</v>
      </c>
      <c r="V1234" t="s">
        <v>2855</v>
      </c>
      <c r="W1234" t="s">
        <v>2898</v>
      </c>
      <c r="AD1234" t="s">
        <v>2915</v>
      </c>
    </row>
    <row r="1235" spans="1:32" x14ac:dyDescent="0.25">
      <c r="A1235" t="s">
        <v>33</v>
      </c>
      <c r="D1235" t="s">
        <v>2847</v>
      </c>
      <c r="E1235" t="s">
        <v>2893</v>
      </c>
      <c r="F1235" t="s">
        <v>87</v>
      </c>
      <c r="G1235" t="s">
        <v>2916</v>
      </c>
      <c r="H1235" t="s">
        <v>153</v>
      </c>
      <c r="I1235" t="s">
        <v>90</v>
      </c>
      <c r="J1235" t="s">
        <v>154</v>
      </c>
      <c r="K1235" t="s">
        <v>155</v>
      </c>
      <c r="L1235" t="s">
        <v>2917</v>
      </c>
      <c r="N1235" t="s">
        <v>2918</v>
      </c>
      <c r="O1235" t="s">
        <v>213</v>
      </c>
      <c r="R1235" t="s">
        <v>2919</v>
      </c>
      <c r="S1235" t="s">
        <v>2864</v>
      </c>
      <c r="V1235" t="s">
        <v>2855</v>
      </c>
      <c r="W1235" t="s">
        <v>2898</v>
      </c>
      <c r="AD1235" t="s">
        <v>2920</v>
      </c>
    </row>
    <row r="1236" spans="1:32" x14ac:dyDescent="0.25">
      <c r="A1236" t="s">
        <v>33</v>
      </c>
      <c r="D1236" t="s">
        <v>2847</v>
      </c>
      <c r="E1236" t="s">
        <v>2859</v>
      </c>
      <c r="F1236" t="s">
        <v>36</v>
      </c>
      <c r="G1236" t="s">
        <v>2921</v>
      </c>
      <c r="H1236" t="s">
        <v>153</v>
      </c>
      <c r="I1236" t="s">
        <v>180</v>
      </c>
      <c r="J1236" t="s">
        <v>154</v>
      </c>
      <c r="K1236" t="s">
        <v>155</v>
      </c>
      <c r="L1236" t="s">
        <v>2922</v>
      </c>
      <c r="N1236" t="s">
        <v>2923</v>
      </c>
      <c r="O1236" t="s">
        <v>187</v>
      </c>
      <c r="R1236" t="s">
        <v>2924</v>
      </c>
      <c r="S1236" t="s">
        <v>2864</v>
      </c>
      <c r="V1236" t="s">
        <v>2855</v>
      </c>
      <c r="W1236" t="s">
        <v>2865</v>
      </c>
      <c r="AD1236" t="s">
        <v>2925</v>
      </c>
    </row>
    <row r="1237" spans="1:32" x14ac:dyDescent="0.25">
      <c r="A1237" t="s">
        <v>33</v>
      </c>
      <c r="D1237" t="s">
        <v>2847</v>
      </c>
      <c r="E1237" t="s">
        <v>2859</v>
      </c>
      <c r="F1237" t="s">
        <v>87</v>
      </c>
      <c r="G1237" t="s">
        <v>2926</v>
      </c>
      <c r="H1237" t="s">
        <v>153</v>
      </c>
      <c r="I1237" t="s">
        <v>144</v>
      </c>
      <c r="J1237" t="s">
        <v>154</v>
      </c>
      <c r="K1237" t="s">
        <v>155</v>
      </c>
      <c r="L1237" t="s">
        <v>2927</v>
      </c>
      <c r="N1237" t="s">
        <v>2928</v>
      </c>
      <c r="O1237" t="s">
        <v>156</v>
      </c>
      <c r="R1237" t="s">
        <v>2929</v>
      </c>
      <c r="S1237" t="s">
        <v>2864</v>
      </c>
      <c r="V1237" t="s">
        <v>2855</v>
      </c>
      <c r="W1237" t="s">
        <v>2865</v>
      </c>
      <c r="AD1237" t="s">
        <v>2930</v>
      </c>
    </row>
    <row r="1238" spans="1:32" x14ac:dyDescent="0.25">
      <c r="A1238" t="s">
        <v>33</v>
      </c>
      <c r="D1238" t="s">
        <v>2847</v>
      </c>
      <c r="E1238" t="s">
        <v>2859</v>
      </c>
      <c r="F1238" t="s">
        <v>87</v>
      </c>
      <c r="G1238" t="s">
        <v>2926</v>
      </c>
      <c r="H1238" t="s">
        <v>153</v>
      </c>
      <c r="I1238" t="s">
        <v>180</v>
      </c>
      <c r="J1238" t="s">
        <v>154</v>
      </c>
      <c r="K1238" t="s">
        <v>155</v>
      </c>
      <c r="L1238" t="s">
        <v>2927</v>
      </c>
      <c r="N1238" t="s">
        <v>2928</v>
      </c>
      <c r="O1238" t="s">
        <v>187</v>
      </c>
      <c r="R1238" t="s">
        <v>2931</v>
      </c>
      <c r="S1238" t="s">
        <v>2864</v>
      </c>
      <c r="V1238" t="s">
        <v>2855</v>
      </c>
      <c r="W1238" t="s">
        <v>2865</v>
      </c>
      <c r="AD1238" t="s">
        <v>2932</v>
      </c>
    </row>
    <row r="1239" spans="1:32" x14ac:dyDescent="0.25">
      <c r="A1239" t="s">
        <v>33</v>
      </c>
      <c r="D1239" t="s">
        <v>2847</v>
      </c>
      <c r="E1239" t="s">
        <v>2859</v>
      </c>
      <c r="F1239" t="s">
        <v>87</v>
      </c>
      <c r="G1239" t="s">
        <v>2884</v>
      </c>
      <c r="H1239" t="s">
        <v>153</v>
      </c>
      <c r="I1239" t="s">
        <v>100</v>
      </c>
      <c r="J1239" t="s">
        <v>154</v>
      </c>
      <c r="K1239" t="s">
        <v>155</v>
      </c>
      <c r="L1239" t="s">
        <v>2885</v>
      </c>
      <c r="N1239" t="s">
        <v>2886</v>
      </c>
      <c r="O1239" t="s">
        <v>448</v>
      </c>
      <c r="R1239" t="s">
        <v>2933</v>
      </c>
      <c r="S1239" t="s">
        <v>2864</v>
      </c>
      <c r="V1239" t="s">
        <v>2855</v>
      </c>
      <c r="W1239" t="s">
        <v>2865</v>
      </c>
      <c r="AC1239" t="s">
        <v>2934</v>
      </c>
      <c r="AD1239" t="s">
        <v>2935</v>
      </c>
      <c r="AE1239" t="s">
        <v>2936</v>
      </c>
      <c r="AF1239">
        <v>1</v>
      </c>
    </row>
    <row r="1240" spans="1:32" x14ac:dyDescent="0.25">
      <c r="A1240" t="s">
        <v>33</v>
      </c>
      <c r="D1240" t="s">
        <v>2847</v>
      </c>
      <c r="E1240" t="s">
        <v>2869</v>
      </c>
      <c r="F1240" t="s">
        <v>87</v>
      </c>
      <c r="G1240" t="s">
        <v>2937</v>
      </c>
      <c r="H1240" t="s">
        <v>153</v>
      </c>
      <c r="I1240" t="s">
        <v>144</v>
      </c>
      <c r="J1240" t="s">
        <v>154</v>
      </c>
      <c r="K1240" t="s">
        <v>155</v>
      </c>
      <c r="L1240" t="s">
        <v>2938</v>
      </c>
      <c r="N1240" t="s">
        <v>2939</v>
      </c>
      <c r="O1240" t="s">
        <v>213</v>
      </c>
      <c r="R1240" t="s">
        <v>2940</v>
      </c>
      <c r="S1240" t="s">
        <v>2864</v>
      </c>
      <c r="V1240" t="s">
        <v>2855</v>
      </c>
      <c r="W1240" t="s">
        <v>2865</v>
      </c>
      <c r="AD1240" t="s">
        <v>2941</v>
      </c>
    </row>
    <row r="1241" spans="1:32" x14ac:dyDescent="0.25">
      <c r="A1241" t="s">
        <v>33</v>
      </c>
      <c r="D1241" t="s">
        <v>2847</v>
      </c>
      <c r="E1241" t="s">
        <v>2848</v>
      </c>
      <c r="F1241" t="s">
        <v>87</v>
      </c>
      <c r="G1241" t="s">
        <v>2942</v>
      </c>
      <c r="H1241" t="s">
        <v>153</v>
      </c>
      <c r="I1241" t="s">
        <v>90</v>
      </c>
      <c r="J1241" t="s">
        <v>154</v>
      </c>
      <c r="K1241" t="s">
        <v>155</v>
      </c>
      <c r="L1241" t="s">
        <v>2943</v>
      </c>
      <c r="N1241" t="s">
        <v>2944</v>
      </c>
      <c r="O1241" t="s">
        <v>213</v>
      </c>
      <c r="R1241" t="s">
        <v>2945</v>
      </c>
      <c r="S1241" t="s">
        <v>2882</v>
      </c>
      <c r="V1241" t="s">
        <v>2855</v>
      </c>
      <c r="W1241" t="s">
        <v>2856</v>
      </c>
      <c r="AD1241" t="s">
        <v>2946</v>
      </c>
    </row>
    <row r="1242" spans="1:32" x14ac:dyDescent="0.25">
      <c r="A1242" t="s">
        <v>33</v>
      </c>
      <c r="D1242" t="s">
        <v>2847</v>
      </c>
      <c r="E1242" t="s">
        <v>2848</v>
      </c>
      <c r="F1242" t="s">
        <v>2849</v>
      </c>
      <c r="G1242" t="s">
        <v>2850</v>
      </c>
      <c r="H1242" t="s">
        <v>166</v>
      </c>
      <c r="I1242" t="s">
        <v>1105</v>
      </c>
      <c r="J1242" t="s">
        <v>167</v>
      </c>
      <c r="K1242" t="s">
        <v>41</v>
      </c>
      <c r="L1242" t="s">
        <v>2851</v>
      </c>
      <c r="N1242" t="s">
        <v>2852</v>
      </c>
      <c r="O1242" t="s">
        <v>1106</v>
      </c>
      <c r="Q1242" t="s">
        <v>1107</v>
      </c>
      <c r="R1242" t="s">
        <v>2947</v>
      </c>
      <c r="S1242" t="s">
        <v>2854</v>
      </c>
      <c r="V1242" t="s">
        <v>2855</v>
      </c>
      <c r="W1242" t="s">
        <v>2856</v>
      </c>
      <c r="AD1242" t="s">
        <v>2948</v>
      </c>
    </row>
    <row r="1243" spans="1:32" x14ac:dyDescent="0.25">
      <c r="A1243" t="s">
        <v>33</v>
      </c>
      <c r="D1243" t="s">
        <v>2847</v>
      </c>
      <c r="E1243" t="s">
        <v>2848</v>
      </c>
      <c r="F1243" t="s">
        <v>87</v>
      </c>
      <c r="G1243" t="s">
        <v>2949</v>
      </c>
      <c r="H1243" t="s">
        <v>153</v>
      </c>
      <c r="I1243" t="s">
        <v>180</v>
      </c>
      <c r="J1243" t="s">
        <v>154</v>
      </c>
      <c r="K1243" t="s">
        <v>155</v>
      </c>
      <c r="L1243" t="s">
        <v>2950</v>
      </c>
      <c r="N1243" t="s">
        <v>2951</v>
      </c>
      <c r="O1243" t="s">
        <v>213</v>
      </c>
      <c r="R1243" t="s">
        <v>2952</v>
      </c>
      <c r="S1243" t="s">
        <v>2882</v>
      </c>
      <c r="V1243" t="s">
        <v>2855</v>
      </c>
      <c r="W1243" t="s">
        <v>2856</v>
      </c>
      <c r="AD1243" t="s">
        <v>2953</v>
      </c>
    </row>
    <row r="1244" spans="1:32" x14ac:dyDescent="0.25">
      <c r="A1244" t="s">
        <v>33</v>
      </c>
      <c r="D1244" t="s">
        <v>2847</v>
      </c>
      <c r="E1244" t="s">
        <v>2848</v>
      </c>
      <c r="F1244" t="s">
        <v>87</v>
      </c>
      <c r="G1244" t="s">
        <v>2954</v>
      </c>
      <c r="H1244" t="s">
        <v>153</v>
      </c>
      <c r="I1244" t="s">
        <v>90</v>
      </c>
      <c r="J1244" t="s">
        <v>154</v>
      </c>
      <c r="K1244" t="s">
        <v>155</v>
      </c>
      <c r="L1244" t="s">
        <v>2955</v>
      </c>
      <c r="N1244" t="s">
        <v>2956</v>
      </c>
      <c r="O1244" t="s">
        <v>213</v>
      </c>
      <c r="R1244" t="s">
        <v>2957</v>
      </c>
      <c r="S1244" t="s">
        <v>2882</v>
      </c>
      <c r="V1244" t="s">
        <v>2855</v>
      </c>
      <c r="W1244" t="s">
        <v>2856</v>
      </c>
      <c r="AD1244" t="s">
        <v>2958</v>
      </c>
    </row>
    <row r="1245" spans="1:32" x14ac:dyDescent="0.25">
      <c r="A1245" t="s">
        <v>33</v>
      </c>
      <c r="D1245" t="s">
        <v>2847</v>
      </c>
      <c r="E1245" t="s">
        <v>2848</v>
      </c>
      <c r="F1245" t="s">
        <v>2849</v>
      </c>
      <c r="G1245" t="s">
        <v>2850</v>
      </c>
      <c r="H1245" t="s">
        <v>166</v>
      </c>
      <c r="I1245" t="s">
        <v>80</v>
      </c>
      <c r="J1245" t="s">
        <v>167</v>
      </c>
      <c r="K1245" t="s">
        <v>41</v>
      </c>
      <c r="L1245" t="s">
        <v>2851</v>
      </c>
      <c r="N1245" t="s">
        <v>2852</v>
      </c>
      <c r="O1245" t="s">
        <v>862</v>
      </c>
      <c r="Q1245" t="s">
        <v>863</v>
      </c>
      <c r="R1245" t="s">
        <v>2959</v>
      </c>
      <c r="S1245" t="s">
        <v>2854</v>
      </c>
      <c r="V1245" t="s">
        <v>2855</v>
      </c>
      <c r="W1245" t="s">
        <v>2856</v>
      </c>
      <c r="AD1245" t="s">
        <v>2960</v>
      </c>
    </row>
    <row r="1246" spans="1:32" x14ac:dyDescent="0.25">
      <c r="A1246" t="s">
        <v>33</v>
      </c>
      <c r="D1246" t="s">
        <v>2847</v>
      </c>
      <c r="E1246" t="s">
        <v>2848</v>
      </c>
      <c r="F1246" t="s">
        <v>87</v>
      </c>
      <c r="G1246" t="s">
        <v>2961</v>
      </c>
      <c r="H1246" t="s">
        <v>153</v>
      </c>
      <c r="I1246" t="s">
        <v>180</v>
      </c>
      <c r="J1246" t="s">
        <v>154</v>
      </c>
      <c r="K1246" t="s">
        <v>155</v>
      </c>
      <c r="L1246" t="s">
        <v>2962</v>
      </c>
      <c r="N1246" t="s">
        <v>2963</v>
      </c>
      <c r="O1246" t="s">
        <v>213</v>
      </c>
      <c r="R1246" t="s">
        <v>2964</v>
      </c>
      <c r="S1246" t="s">
        <v>2882</v>
      </c>
      <c r="V1246" t="s">
        <v>2855</v>
      </c>
      <c r="W1246" t="s">
        <v>2856</v>
      </c>
      <c r="AD1246" t="s">
        <v>2965</v>
      </c>
    </row>
    <row r="1247" spans="1:32" x14ac:dyDescent="0.25">
      <c r="A1247" t="s">
        <v>33</v>
      </c>
      <c r="D1247" t="s">
        <v>2847</v>
      </c>
      <c r="E1247" t="s">
        <v>2848</v>
      </c>
      <c r="F1247" t="s">
        <v>87</v>
      </c>
      <c r="G1247" t="s">
        <v>2966</v>
      </c>
      <c r="H1247" t="s">
        <v>153</v>
      </c>
      <c r="I1247" t="s">
        <v>90</v>
      </c>
      <c r="J1247" t="s">
        <v>154</v>
      </c>
      <c r="K1247" t="s">
        <v>155</v>
      </c>
      <c r="L1247" t="s">
        <v>2967</v>
      </c>
      <c r="N1247" t="s">
        <v>2968</v>
      </c>
      <c r="O1247" t="s">
        <v>213</v>
      </c>
      <c r="R1247" t="s">
        <v>2969</v>
      </c>
      <c r="S1247" t="s">
        <v>2882</v>
      </c>
      <c r="V1247" t="s">
        <v>2855</v>
      </c>
      <c r="W1247" t="s">
        <v>2856</v>
      </c>
      <c r="AD1247" t="s">
        <v>2970</v>
      </c>
    </row>
    <row r="1248" spans="1:32" x14ac:dyDescent="0.25">
      <c r="A1248" t="s">
        <v>33</v>
      </c>
      <c r="D1248" t="s">
        <v>2847</v>
      </c>
      <c r="E1248" t="s">
        <v>2848</v>
      </c>
      <c r="F1248" t="s">
        <v>866</v>
      </c>
      <c r="G1248" t="s">
        <v>2878</v>
      </c>
      <c r="H1248" t="s">
        <v>166</v>
      </c>
      <c r="I1248" t="s">
        <v>216</v>
      </c>
      <c r="J1248" t="s">
        <v>167</v>
      </c>
      <c r="K1248" t="s">
        <v>41</v>
      </c>
      <c r="L1248" t="s">
        <v>2879</v>
      </c>
      <c r="N1248" t="s">
        <v>2880</v>
      </c>
      <c r="O1248" t="s">
        <v>872</v>
      </c>
      <c r="Q1248" t="s">
        <v>1275</v>
      </c>
      <c r="R1248" t="s">
        <v>2971</v>
      </c>
      <c r="S1248" t="s">
        <v>2882</v>
      </c>
      <c r="V1248" t="s">
        <v>2855</v>
      </c>
      <c r="W1248" t="s">
        <v>2856</v>
      </c>
      <c r="AD1248" t="s">
        <v>2972</v>
      </c>
    </row>
    <row r="1249" spans="1:32" x14ac:dyDescent="0.25">
      <c r="A1249" t="s">
        <v>33</v>
      </c>
      <c r="D1249" t="s">
        <v>2847</v>
      </c>
      <c r="E1249" t="s">
        <v>2848</v>
      </c>
      <c r="F1249" t="s">
        <v>87</v>
      </c>
      <c r="G1249" t="s">
        <v>2973</v>
      </c>
      <c r="H1249" t="s">
        <v>153</v>
      </c>
      <c r="I1249" t="s">
        <v>144</v>
      </c>
      <c r="J1249" t="s">
        <v>154</v>
      </c>
      <c r="K1249" t="s">
        <v>155</v>
      </c>
      <c r="L1249" t="s">
        <v>2974</v>
      </c>
      <c r="N1249" t="s">
        <v>2975</v>
      </c>
      <c r="O1249" t="s">
        <v>213</v>
      </c>
      <c r="R1249" t="s">
        <v>2976</v>
      </c>
      <c r="S1249" t="s">
        <v>2882</v>
      </c>
      <c r="V1249" t="s">
        <v>2855</v>
      </c>
      <c r="W1249" t="s">
        <v>2856</v>
      </c>
      <c r="AD1249" t="s">
        <v>2977</v>
      </c>
    </row>
    <row r="1250" spans="1:32" x14ac:dyDescent="0.25">
      <c r="A1250" t="s">
        <v>33</v>
      </c>
      <c r="D1250" t="s">
        <v>2847</v>
      </c>
      <c r="E1250" t="s">
        <v>2848</v>
      </c>
      <c r="F1250" t="s">
        <v>87</v>
      </c>
      <c r="G1250" t="s">
        <v>2978</v>
      </c>
      <c r="H1250" t="s">
        <v>153</v>
      </c>
      <c r="I1250" t="s">
        <v>144</v>
      </c>
      <c r="J1250" t="s">
        <v>154</v>
      </c>
      <c r="K1250" t="s">
        <v>155</v>
      </c>
      <c r="L1250" t="s">
        <v>2979</v>
      </c>
      <c r="N1250" t="s">
        <v>2980</v>
      </c>
      <c r="O1250" t="s">
        <v>213</v>
      </c>
      <c r="R1250" t="s">
        <v>2981</v>
      </c>
      <c r="S1250" t="s">
        <v>2882</v>
      </c>
      <c r="V1250" t="s">
        <v>2855</v>
      </c>
      <c r="W1250" t="s">
        <v>2856</v>
      </c>
      <c r="AD1250" t="s">
        <v>2982</v>
      </c>
    </row>
    <row r="1251" spans="1:32" x14ac:dyDescent="0.25">
      <c r="A1251" t="s">
        <v>33</v>
      </c>
      <c r="D1251" t="s">
        <v>2847</v>
      </c>
      <c r="E1251" t="s">
        <v>2869</v>
      </c>
      <c r="F1251" t="s">
        <v>87</v>
      </c>
      <c r="G1251" t="s">
        <v>2983</v>
      </c>
      <c r="H1251" t="s">
        <v>153</v>
      </c>
      <c r="I1251" t="s">
        <v>144</v>
      </c>
      <c r="J1251" t="s">
        <v>154</v>
      </c>
      <c r="K1251" t="s">
        <v>155</v>
      </c>
      <c r="L1251" t="s">
        <v>2984</v>
      </c>
      <c r="N1251" t="s">
        <v>2985</v>
      </c>
      <c r="O1251" t="s">
        <v>213</v>
      </c>
      <c r="R1251" t="s">
        <v>2986</v>
      </c>
      <c r="S1251" t="s">
        <v>2864</v>
      </c>
      <c r="V1251" t="s">
        <v>2855</v>
      </c>
      <c r="W1251" t="s">
        <v>2865</v>
      </c>
      <c r="AD1251" t="s">
        <v>2987</v>
      </c>
    </row>
    <row r="1252" spans="1:32" x14ac:dyDescent="0.25">
      <c r="A1252" t="s">
        <v>33</v>
      </c>
      <c r="D1252" t="s">
        <v>2847</v>
      </c>
      <c r="E1252" t="s">
        <v>2848</v>
      </c>
      <c r="F1252" t="s">
        <v>854</v>
      </c>
      <c r="G1252" t="s">
        <v>2988</v>
      </c>
      <c r="H1252" t="s">
        <v>153</v>
      </c>
      <c r="I1252" t="s">
        <v>598</v>
      </c>
      <c r="J1252" t="s">
        <v>154</v>
      </c>
      <c r="K1252" t="s">
        <v>155</v>
      </c>
      <c r="L1252" t="s">
        <v>2989</v>
      </c>
      <c r="N1252" t="s">
        <v>2990</v>
      </c>
      <c r="O1252" t="s">
        <v>599</v>
      </c>
      <c r="R1252" t="s">
        <v>2991</v>
      </c>
      <c r="S1252" t="s">
        <v>2882</v>
      </c>
      <c r="V1252" t="s">
        <v>2855</v>
      </c>
      <c r="W1252" t="s">
        <v>2856</v>
      </c>
      <c r="AD1252" t="s">
        <v>2992</v>
      </c>
    </row>
    <row r="1253" spans="1:32" x14ac:dyDescent="0.25">
      <c r="A1253" t="s">
        <v>33</v>
      </c>
      <c r="D1253" t="s">
        <v>2847</v>
      </c>
      <c r="E1253" t="s">
        <v>2848</v>
      </c>
      <c r="F1253" t="s">
        <v>2849</v>
      </c>
      <c r="G1253" t="s">
        <v>2850</v>
      </c>
      <c r="H1253" t="s">
        <v>153</v>
      </c>
      <c r="I1253" t="s">
        <v>598</v>
      </c>
      <c r="J1253" t="s">
        <v>154</v>
      </c>
      <c r="K1253" t="s">
        <v>155</v>
      </c>
      <c r="L1253" t="s">
        <v>2851</v>
      </c>
      <c r="N1253" t="s">
        <v>2852</v>
      </c>
      <c r="O1253" t="s">
        <v>599</v>
      </c>
      <c r="R1253" t="s">
        <v>2993</v>
      </c>
      <c r="S1253" t="s">
        <v>2854</v>
      </c>
      <c r="V1253" t="s">
        <v>2855</v>
      </c>
      <c r="W1253" t="s">
        <v>2856</v>
      </c>
      <c r="AC1253" t="s">
        <v>599</v>
      </c>
      <c r="AD1253" t="s">
        <v>2994</v>
      </c>
      <c r="AE1253" t="s">
        <v>2995</v>
      </c>
      <c r="AF1253">
        <v>1</v>
      </c>
    </row>
    <row r="1254" spans="1:32" x14ac:dyDescent="0.25">
      <c r="A1254" t="s">
        <v>33</v>
      </c>
      <c r="D1254" t="s">
        <v>2847</v>
      </c>
      <c r="E1254" t="s">
        <v>2848</v>
      </c>
      <c r="F1254" t="s">
        <v>2849</v>
      </c>
      <c r="G1254" t="s">
        <v>2850</v>
      </c>
      <c r="H1254" t="s">
        <v>166</v>
      </c>
      <c r="I1254" t="s">
        <v>216</v>
      </c>
      <c r="J1254" t="s">
        <v>167</v>
      </c>
      <c r="K1254" t="s">
        <v>41</v>
      </c>
      <c r="L1254" t="s">
        <v>2851</v>
      </c>
      <c r="N1254" t="s">
        <v>2852</v>
      </c>
      <c r="O1254" t="s">
        <v>872</v>
      </c>
      <c r="Q1254" t="s">
        <v>1275</v>
      </c>
      <c r="R1254" t="s">
        <v>2996</v>
      </c>
      <c r="S1254" t="s">
        <v>2854</v>
      </c>
      <c r="V1254" t="s">
        <v>2855</v>
      </c>
      <c r="W1254" t="s">
        <v>2856</v>
      </c>
      <c r="AD1254" t="s">
        <v>2997</v>
      </c>
    </row>
    <row r="1255" spans="1:32" x14ac:dyDescent="0.25">
      <c r="A1255" t="s">
        <v>33</v>
      </c>
      <c r="D1255" t="s">
        <v>2847</v>
      </c>
      <c r="E1255" t="s">
        <v>2848</v>
      </c>
      <c r="F1255" t="s">
        <v>2849</v>
      </c>
      <c r="G1255" t="s">
        <v>2850</v>
      </c>
      <c r="H1255" t="s">
        <v>38</v>
      </c>
      <c r="I1255" t="s">
        <v>1114</v>
      </c>
      <c r="J1255" t="s">
        <v>69</v>
      </c>
      <c r="K1255" t="s">
        <v>41</v>
      </c>
      <c r="L1255" t="s">
        <v>2851</v>
      </c>
      <c r="M1255" t="s">
        <v>1115</v>
      </c>
      <c r="N1255" t="s">
        <v>2852</v>
      </c>
      <c r="O1255" t="s">
        <v>1116</v>
      </c>
      <c r="R1255" t="s">
        <v>2998</v>
      </c>
      <c r="S1255" t="s">
        <v>2854</v>
      </c>
      <c r="V1255" t="s">
        <v>2855</v>
      </c>
      <c r="W1255" t="s">
        <v>2856</v>
      </c>
      <c r="AD1255" t="s">
        <v>2999</v>
      </c>
    </row>
    <row r="1256" spans="1:32" x14ac:dyDescent="0.25">
      <c r="A1256" t="s">
        <v>33</v>
      </c>
      <c r="D1256" t="s">
        <v>2847</v>
      </c>
      <c r="E1256" t="s">
        <v>2848</v>
      </c>
      <c r="F1256" t="s">
        <v>87</v>
      </c>
      <c r="G1256" t="s">
        <v>3000</v>
      </c>
      <c r="H1256" t="s">
        <v>153</v>
      </c>
      <c r="I1256" t="s">
        <v>144</v>
      </c>
      <c r="J1256" t="s">
        <v>154</v>
      </c>
      <c r="K1256" t="s">
        <v>155</v>
      </c>
      <c r="L1256" t="s">
        <v>3001</v>
      </c>
      <c r="N1256" t="s">
        <v>3002</v>
      </c>
      <c r="O1256" t="s">
        <v>213</v>
      </c>
      <c r="R1256" t="s">
        <v>3003</v>
      </c>
      <c r="S1256" t="s">
        <v>2882</v>
      </c>
      <c r="V1256" t="s">
        <v>2855</v>
      </c>
      <c r="W1256" t="s">
        <v>2856</v>
      </c>
      <c r="AD1256" t="s">
        <v>3004</v>
      </c>
    </row>
    <row r="1257" spans="1:32" x14ac:dyDescent="0.25">
      <c r="A1257" t="s">
        <v>947</v>
      </c>
      <c r="B1257" t="s">
        <v>1948</v>
      </c>
      <c r="C1257" t="s">
        <v>949</v>
      </c>
      <c r="D1257" t="s">
        <v>2847</v>
      </c>
      <c r="E1257" t="s">
        <v>2848</v>
      </c>
      <c r="F1257" t="s">
        <v>2849</v>
      </c>
      <c r="G1257" t="s">
        <v>3005</v>
      </c>
      <c r="H1257" t="s">
        <v>166</v>
      </c>
      <c r="I1257" t="s">
        <v>3006</v>
      </c>
      <c r="J1257" t="s">
        <v>167</v>
      </c>
      <c r="K1257" t="s">
        <v>41</v>
      </c>
      <c r="L1257" t="s">
        <v>3007</v>
      </c>
      <c r="N1257" t="s">
        <v>3008</v>
      </c>
      <c r="O1257" t="s">
        <v>3009</v>
      </c>
      <c r="Q1257" t="s">
        <v>3010</v>
      </c>
      <c r="R1257" t="s">
        <v>3011</v>
      </c>
      <c r="S1257" t="s">
        <v>2854</v>
      </c>
      <c r="V1257" t="s">
        <v>2855</v>
      </c>
      <c r="W1257" t="s">
        <v>2856</v>
      </c>
      <c r="AD1257" t="s">
        <v>3012</v>
      </c>
    </row>
    <row r="1258" spans="1:32" x14ac:dyDescent="0.25">
      <c r="A1258" t="s">
        <v>33</v>
      </c>
      <c r="D1258" t="s">
        <v>2847</v>
      </c>
      <c r="E1258" t="s">
        <v>2848</v>
      </c>
      <c r="F1258" t="s">
        <v>2849</v>
      </c>
      <c r="G1258" t="s">
        <v>3005</v>
      </c>
      <c r="H1258" t="s">
        <v>143</v>
      </c>
      <c r="I1258" t="s">
        <v>1285</v>
      </c>
      <c r="J1258" t="s">
        <v>145</v>
      </c>
      <c r="K1258" t="s">
        <v>146</v>
      </c>
      <c r="L1258" t="s">
        <v>3007</v>
      </c>
      <c r="M1258" t="s">
        <v>252</v>
      </c>
      <c r="N1258" t="s">
        <v>3008</v>
      </c>
      <c r="O1258" t="s">
        <v>1286</v>
      </c>
      <c r="R1258" t="s">
        <v>3013</v>
      </c>
      <c r="S1258" t="s">
        <v>2854</v>
      </c>
      <c r="V1258" t="s">
        <v>2855</v>
      </c>
      <c r="W1258" t="s">
        <v>2856</v>
      </c>
      <c r="AD1258" t="s">
        <v>3014</v>
      </c>
    </row>
    <row r="1259" spans="1:32" x14ac:dyDescent="0.25">
      <c r="A1259" t="s">
        <v>33</v>
      </c>
      <c r="D1259" t="s">
        <v>2847</v>
      </c>
      <c r="E1259" t="s">
        <v>2848</v>
      </c>
      <c r="F1259" t="s">
        <v>2849</v>
      </c>
      <c r="G1259" t="s">
        <v>3005</v>
      </c>
      <c r="H1259" t="s">
        <v>143</v>
      </c>
      <c r="I1259" t="s">
        <v>1289</v>
      </c>
      <c r="J1259" t="s">
        <v>145</v>
      </c>
      <c r="K1259" t="s">
        <v>146</v>
      </c>
      <c r="L1259" t="s">
        <v>3007</v>
      </c>
      <c r="M1259" t="s">
        <v>252</v>
      </c>
      <c r="N1259" t="s">
        <v>3008</v>
      </c>
      <c r="O1259" t="s">
        <v>1290</v>
      </c>
      <c r="R1259" t="s">
        <v>3015</v>
      </c>
      <c r="S1259" t="s">
        <v>2854</v>
      </c>
      <c r="V1259" t="s">
        <v>2855</v>
      </c>
      <c r="W1259" t="s">
        <v>2856</v>
      </c>
      <c r="AD1259" t="s">
        <v>3016</v>
      </c>
    </row>
    <row r="1260" spans="1:32" x14ac:dyDescent="0.25">
      <c r="A1260" t="s">
        <v>947</v>
      </c>
      <c r="B1260" t="s">
        <v>1948</v>
      </c>
      <c r="C1260" t="s">
        <v>949</v>
      </c>
      <c r="D1260" t="s">
        <v>2847</v>
      </c>
      <c r="E1260" t="s">
        <v>2848</v>
      </c>
      <c r="F1260" t="s">
        <v>2849</v>
      </c>
      <c r="G1260" t="s">
        <v>3005</v>
      </c>
      <c r="H1260" t="s">
        <v>280</v>
      </c>
      <c r="I1260" t="s">
        <v>3017</v>
      </c>
      <c r="J1260" t="s">
        <v>282</v>
      </c>
      <c r="K1260" t="s">
        <v>2563</v>
      </c>
      <c r="L1260" t="s">
        <v>3007</v>
      </c>
      <c r="N1260" t="s">
        <v>3008</v>
      </c>
      <c r="O1260" t="s">
        <v>3018</v>
      </c>
      <c r="Q1260" t="s">
        <v>3019</v>
      </c>
      <c r="S1260" t="s">
        <v>2854</v>
      </c>
      <c r="V1260" t="s">
        <v>2855</v>
      </c>
      <c r="W1260" t="s">
        <v>2856</v>
      </c>
      <c r="AD1260" t="s">
        <v>3020</v>
      </c>
    </row>
    <row r="1261" spans="1:32" x14ac:dyDescent="0.25">
      <c r="A1261" t="s">
        <v>33</v>
      </c>
      <c r="D1261" t="s">
        <v>2847</v>
      </c>
      <c r="E1261" t="s">
        <v>2848</v>
      </c>
      <c r="F1261" t="s">
        <v>2849</v>
      </c>
      <c r="G1261" t="s">
        <v>3005</v>
      </c>
      <c r="H1261" t="s">
        <v>280</v>
      </c>
      <c r="I1261" t="s">
        <v>1263</v>
      </c>
      <c r="J1261" t="s">
        <v>282</v>
      </c>
      <c r="K1261" t="s">
        <v>2563</v>
      </c>
      <c r="L1261" t="s">
        <v>3007</v>
      </c>
      <c r="N1261" t="s">
        <v>3008</v>
      </c>
      <c r="O1261" t="s">
        <v>1264</v>
      </c>
      <c r="Q1261" t="s">
        <v>3021</v>
      </c>
      <c r="R1261" t="s">
        <v>3022</v>
      </c>
      <c r="S1261" t="s">
        <v>2854</v>
      </c>
      <c r="V1261" t="s">
        <v>2855</v>
      </c>
      <c r="W1261" t="s">
        <v>2856</v>
      </c>
      <c r="AD1261" t="s">
        <v>3023</v>
      </c>
    </row>
    <row r="1262" spans="1:32" x14ac:dyDescent="0.25">
      <c r="A1262" t="s">
        <v>33</v>
      </c>
      <c r="D1262" t="s">
        <v>2847</v>
      </c>
      <c r="E1262" t="s">
        <v>2848</v>
      </c>
      <c r="F1262" t="s">
        <v>2849</v>
      </c>
      <c r="G1262" t="s">
        <v>3005</v>
      </c>
      <c r="H1262" t="s">
        <v>280</v>
      </c>
      <c r="I1262" t="s">
        <v>1263</v>
      </c>
      <c r="J1262" t="s">
        <v>282</v>
      </c>
      <c r="K1262" t="s">
        <v>283</v>
      </c>
      <c r="L1262" t="s">
        <v>3007</v>
      </c>
      <c r="N1262" t="s">
        <v>3008</v>
      </c>
      <c r="O1262" t="s">
        <v>1264</v>
      </c>
      <c r="Q1262" t="s">
        <v>3021</v>
      </c>
      <c r="R1262" t="s">
        <v>3024</v>
      </c>
      <c r="S1262" t="s">
        <v>2854</v>
      </c>
      <c r="V1262" t="s">
        <v>2855</v>
      </c>
      <c r="W1262" t="s">
        <v>2856</v>
      </c>
      <c r="AD1262" t="s">
        <v>3023</v>
      </c>
    </row>
    <row r="1263" spans="1:32" x14ac:dyDescent="0.25">
      <c r="A1263" t="s">
        <v>947</v>
      </c>
      <c r="B1263" t="s">
        <v>948</v>
      </c>
      <c r="C1263" t="s">
        <v>949</v>
      </c>
      <c r="D1263" t="s">
        <v>2847</v>
      </c>
      <c r="E1263" t="s">
        <v>2848</v>
      </c>
      <c r="F1263" t="s">
        <v>2849</v>
      </c>
      <c r="G1263" t="s">
        <v>3005</v>
      </c>
      <c r="H1263" t="s">
        <v>166</v>
      </c>
      <c r="I1263" t="s">
        <v>1143</v>
      </c>
      <c r="J1263" t="s">
        <v>167</v>
      </c>
      <c r="K1263" t="s">
        <v>41</v>
      </c>
      <c r="L1263" t="s">
        <v>3007</v>
      </c>
      <c r="N1263" t="s">
        <v>3008</v>
      </c>
      <c r="O1263" t="s">
        <v>925</v>
      </c>
      <c r="Q1263" t="s">
        <v>3025</v>
      </c>
      <c r="R1263" t="s">
        <v>3026</v>
      </c>
      <c r="S1263" t="s">
        <v>2854</v>
      </c>
      <c r="V1263" t="s">
        <v>2855</v>
      </c>
      <c r="W1263" t="s">
        <v>2856</v>
      </c>
      <c r="AD1263" t="s">
        <v>3027</v>
      </c>
    </row>
    <row r="1264" spans="1:32" x14ac:dyDescent="0.25">
      <c r="A1264" t="s">
        <v>33</v>
      </c>
      <c r="D1264" t="s">
        <v>2847</v>
      </c>
      <c r="E1264" t="s">
        <v>2848</v>
      </c>
      <c r="F1264" t="s">
        <v>2849</v>
      </c>
      <c r="G1264" t="s">
        <v>3028</v>
      </c>
      <c r="H1264" t="s">
        <v>166</v>
      </c>
      <c r="I1264" t="s">
        <v>281</v>
      </c>
      <c r="J1264" t="s">
        <v>167</v>
      </c>
      <c r="K1264" t="s">
        <v>41</v>
      </c>
      <c r="L1264" t="s">
        <v>3029</v>
      </c>
      <c r="N1264" t="s">
        <v>2852</v>
      </c>
      <c r="O1264" t="s">
        <v>858</v>
      </c>
      <c r="Q1264" t="s">
        <v>859</v>
      </c>
      <c r="R1264" t="s">
        <v>3030</v>
      </c>
      <c r="S1264" t="s">
        <v>2854</v>
      </c>
      <c r="V1264" t="s">
        <v>2855</v>
      </c>
      <c r="W1264" t="s">
        <v>2856</v>
      </c>
      <c r="AD1264" t="s">
        <v>2857</v>
      </c>
    </row>
    <row r="1265" spans="1:32" x14ac:dyDescent="0.25">
      <c r="A1265" t="s">
        <v>33</v>
      </c>
      <c r="D1265" t="s">
        <v>2847</v>
      </c>
      <c r="E1265" t="s">
        <v>2848</v>
      </c>
      <c r="F1265" t="s">
        <v>2849</v>
      </c>
      <c r="G1265" t="s">
        <v>3028</v>
      </c>
      <c r="H1265" t="s">
        <v>166</v>
      </c>
      <c r="I1265" t="s">
        <v>1263</v>
      </c>
      <c r="J1265" t="s">
        <v>167</v>
      </c>
      <c r="K1265" t="s">
        <v>41</v>
      </c>
      <c r="L1265" t="s">
        <v>3029</v>
      </c>
      <c r="N1265" t="s">
        <v>2852</v>
      </c>
      <c r="O1265" t="s">
        <v>1264</v>
      </c>
      <c r="Q1265" t="s">
        <v>2541</v>
      </c>
      <c r="R1265" t="s">
        <v>1959</v>
      </c>
      <c r="S1265" t="s">
        <v>2854</v>
      </c>
      <c r="V1265" t="s">
        <v>2855</v>
      </c>
      <c r="W1265" t="s">
        <v>2856</v>
      </c>
      <c r="AD1265" t="s">
        <v>2858</v>
      </c>
    </row>
    <row r="1266" spans="1:32" x14ac:dyDescent="0.25">
      <c r="A1266" t="s">
        <v>33</v>
      </c>
      <c r="D1266" t="s">
        <v>2847</v>
      </c>
      <c r="E1266" t="s">
        <v>2848</v>
      </c>
      <c r="F1266" t="s">
        <v>2849</v>
      </c>
      <c r="G1266" t="s">
        <v>3028</v>
      </c>
      <c r="H1266" t="s">
        <v>166</v>
      </c>
      <c r="I1266" t="s">
        <v>1105</v>
      </c>
      <c r="J1266" t="s">
        <v>167</v>
      </c>
      <c r="K1266" t="s">
        <v>41</v>
      </c>
      <c r="L1266" t="s">
        <v>3029</v>
      </c>
      <c r="N1266" t="s">
        <v>2852</v>
      </c>
      <c r="O1266" t="s">
        <v>1106</v>
      </c>
      <c r="Q1266" t="s">
        <v>1107</v>
      </c>
      <c r="R1266" t="s">
        <v>3031</v>
      </c>
      <c r="S1266" t="s">
        <v>2854</v>
      </c>
      <c r="V1266" t="s">
        <v>2855</v>
      </c>
      <c r="W1266" t="s">
        <v>2856</v>
      </c>
      <c r="AD1266" t="s">
        <v>2948</v>
      </c>
    </row>
    <row r="1267" spans="1:32" x14ac:dyDescent="0.25">
      <c r="A1267" t="s">
        <v>33</v>
      </c>
      <c r="D1267" t="s">
        <v>2847</v>
      </c>
      <c r="E1267" t="s">
        <v>2848</v>
      </c>
      <c r="F1267" t="s">
        <v>2849</v>
      </c>
      <c r="G1267" t="s">
        <v>3028</v>
      </c>
      <c r="H1267" t="s">
        <v>166</v>
      </c>
      <c r="I1267" t="s">
        <v>80</v>
      </c>
      <c r="J1267" t="s">
        <v>167</v>
      </c>
      <c r="K1267" t="s">
        <v>41</v>
      </c>
      <c r="L1267" t="s">
        <v>3029</v>
      </c>
      <c r="N1267" t="s">
        <v>2852</v>
      </c>
      <c r="O1267" t="s">
        <v>862</v>
      </c>
      <c r="Q1267" t="s">
        <v>863</v>
      </c>
      <c r="R1267" t="s">
        <v>3032</v>
      </c>
      <c r="S1267" t="s">
        <v>2854</v>
      </c>
      <c r="V1267" t="s">
        <v>2855</v>
      </c>
      <c r="W1267" t="s">
        <v>2856</v>
      </c>
      <c r="AD1267" t="s">
        <v>2960</v>
      </c>
    </row>
    <row r="1268" spans="1:32" x14ac:dyDescent="0.25">
      <c r="A1268" t="s">
        <v>33</v>
      </c>
      <c r="D1268" t="s">
        <v>2847</v>
      </c>
      <c r="E1268" t="s">
        <v>2848</v>
      </c>
      <c r="F1268" t="s">
        <v>2849</v>
      </c>
      <c r="G1268" t="s">
        <v>3028</v>
      </c>
      <c r="H1268" t="s">
        <v>153</v>
      </c>
      <c r="I1268" t="s">
        <v>598</v>
      </c>
      <c r="J1268" t="s">
        <v>154</v>
      </c>
      <c r="K1268" t="s">
        <v>155</v>
      </c>
      <c r="L1268" t="s">
        <v>3029</v>
      </c>
      <c r="N1268" t="s">
        <v>2852</v>
      </c>
      <c r="O1268" t="s">
        <v>599</v>
      </c>
      <c r="R1268" t="s">
        <v>3033</v>
      </c>
      <c r="S1268" t="s">
        <v>2854</v>
      </c>
      <c r="V1268" t="s">
        <v>2855</v>
      </c>
      <c r="W1268" t="s">
        <v>2856</v>
      </c>
      <c r="AC1268" t="s">
        <v>599</v>
      </c>
      <c r="AD1268" t="s">
        <v>2994</v>
      </c>
      <c r="AE1268" t="s">
        <v>3034</v>
      </c>
      <c r="AF1268">
        <v>1</v>
      </c>
    </row>
    <row r="1269" spans="1:32" x14ac:dyDescent="0.25">
      <c r="A1269" t="s">
        <v>33</v>
      </c>
      <c r="D1269" t="s">
        <v>2847</v>
      </c>
      <c r="E1269" t="s">
        <v>2848</v>
      </c>
      <c r="F1269" t="s">
        <v>2849</v>
      </c>
      <c r="G1269" t="s">
        <v>3028</v>
      </c>
      <c r="H1269" t="s">
        <v>166</v>
      </c>
      <c r="I1269" t="s">
        <v>216</v>
      </c>
      <c r="J1269" t="s">
        <v>167</v>
      </c>
      <c r="K1269" t="s">
        <v>41</v>
      </c>
      <c r="L1269" t="s">
        <v>3029</v>
      </c>
      <c r="N1269" t="s">
        <v>2852</v>
      </c>
      <c r="O1269" t="s">
        <v>872</v>
      </c>
      <c r="Q1269" t="s">
        <v>1275</v>
      </c>
      <c r="R1269" t="s">
        <v>3035</v>
      </c>
      <c r="S1269" t="s">
        <v>2854</v>
      </c>
      <c r="V1269" t="s">
        <v>2855</v>
      </c>
      <c r="W1269" t="s">
        <v>2856</v>
      </c>
      <c r="AD1269" t="s">
        <v>2997</v>
      </c>
    </row>
    <row r="1270" spans="1:32" x14ac:dyDescent="0.25">
      <c r="A1270" t="s">
        <v>33</v>
      </c>
      <c r="D1270" t="s">
        <v>2847</v>
      </c>
      <c r="E1270" t="s">
        <v>2848</v>
      </c>
      <c r="F1270" t="s">
        <v>2849</v>
      </c>
      <c r="G1270" t="s">
        <v>3028</v>
      </c>
      <c r="H1270" t="s">
        <v>38</v>
      </c>
      <c r="I1270" t="s">
        <v>1114</v>
      </c>
      <c r="J1270" t="s">
        <v>69</v>
      </c>
      <c r="K1270" t="s">
        <v>41</v>
      </c>
      <c r="L1270" t="s">
        <v>3029</v>
      </c>
      <c r="M1270" t="s">
        <v>1115</v>
      </c>
      <c r="N1270" t="s">
        <v>2852</v>
      </c>
      <c r="O1270" t="s">
        <v>1116</v>
      </c>
      <c r="R1270" t="s">
        <v>3036</v>
      </c>
      <c r="S1270" t="s">
        <v>2854</v>
      </c>
      <c r="V1270" t="s">
        <v>2855</v>
      </c>
      <c r="W1270" t="s">
        <v>2856</v>
      </c>
      <c r="AD1270" t="s">
        <v>2999</v>
      </c>
    </row>
    <row r="1271" spans="1:32" x14ac:dyDescent="0.25">
      <c r="A1271" t="s">
        <v>33</v>
      </c>
      <c r="D1271" t="s">
        <v>2847</v>
      </c>
      <c r="E1271" t="s">
        <v>2848</v>
      </c>
      <c r="F1271" t="s">
        <v>78</v>
      </c>
      <c r="G1271" t="s">
        <v>3037</v>
      </c>
      <c r="H1271" t="s">
        <v>280</v>
      </c>
      <c r="I1271" t="s">
        <v>281</v>
      </c>
      <c r="J1271" t="s">
        <v>282</v>
      </c>
      <c r="K1271" t="s">
        <v>283</v>
      </c>
      <c r="L1271" t="s">
        <v>3038</v>
      </c>
      <c r="N1271" t="s">
        <v>3039</v>
      </c>
      <c r="O1271" t="s">
        <v>284</v>
      </c>
      <c r="Q1271" t="s">
        <v>3040</v>
      </c>
      <c r="R1271" t="s">
        <v>3041</v>
      </c>
      <c r="S1271" t="s">
        <v>2854</v>
      </c>
      <c r="V1271" t="s">
        <v>2855</v>
      </c>
      <c r="W1271" t="s">
        <v>2856</v>
      </c>
      <c r="AD1271" t="s">
        <v>3042</v>
      </c>
    </row>
    <row r="1272" spans="1:32" x14ac:dyDescent="0.25">
      <c r="A1272" t="s">
        <v>33</v>
      </c>
      <c r="D1272" t="s">
        <v>2847</v>
      </c>
      <c r="E1272" t="s">
        <v>2848</v>
      </c>
      <c r="F1272" t="s">
        <v>78</v>
      </c>
      <c r="G1272" t="s">
        <v>3037</v>
      </c>
      <c r="H1272" t="s">
        <v>38</v>
      </c>
      <c r="I1272" t="s">
        <v>257</v>
      </c>
      <c r="J1272" t="s">
        <v>40</v>
      </c>
      <c r="K1272" t="s">
        <v>41</v>
      </c>
      <c r="L1272" t="s">
        <v>3038</v>
      </c>
      <c r="M1272" t="s">
        <v>82</v>
      </c>
      <c r="N1272" t="s">
        <v>3039</v>
      </c>
      <c r="O1272" t="s">
        <v>258</v>
      </c>
      <c r="R1272" t="s">
        <v>3043</v>
      </c>
      <c r="S1272" t="s">
        <v>2854</v>
      </c>
      <c r="V1272" t="s">
        <v>2855</v>
      </c>
      <c r="W1272" t="s">
        <v>2856</v>
      </c>
      <c r="AD1272" t="s">
        <v>3044</v>
      </c>
    </row>
    <row r="1273" spans="1:32" x14ac:dyDescent="0.25">
      <c r="A1273" t="s">
        <v>33</v>
      </c>
      <c r="D1273" t="s">
        <v>2847</v>
      </c>
      <c r="E1273" t="s">
        <v>2848</v>
      </c>
      <c r="F1273" t="s">
        <v>78</v>
      </c>
      <c r="G1273" t="s">
        <v>3037</v>
      </c>
      <c r="H1273" t="s">
        <v>143</v>
      </c>
      <c r="I1273" t="s">
        <v>276</v>
      </c>
      <c r="J1273" t="s">
        <v>145</v>
      </c>
      <c r="K1273" t="s">
        <v>146</v>
      </c>
      <c r="L1273" t="s">
        <v>3038</v>
      </c>
      <c r="N1273" t="s">
        <v>3039</v>
      </c>
      <c r="O1273" t="s">
        <v>277</v>
      </c>
      <c r="R1273" t="s">
        <v>3045</v>
      </c>
      <c r="S1273" t="s">
        <v>2854</v>
      </c>
      <c r="V1273" t="s">
        <v>2855</v>
      </c>
      <c r="W1273" t="s">
        <v>2856</v>
      </c>
      <c r="X1273" t="s">
        <v>270</v>
      </c>
      <c r="AD1273" t="s">
        <v>3046</v>
      </c>
    </row>
    <row r="1274" spans="1:32" x14ac:dyDescent="0.25">
      <c r="A1274" t="s">
        <v>33</v>
      </c>
      <c r="D1274" t="s">
        <v>2847</v>
      </c>
      <c r="E1274" t="s">
        <v>2848</v>
      </c>
      <c r="F1274" t="s">
        <v>78</v>
      </c>
      <c r="G1274" t="s">
        <v>3037</v>
      </c>
      <c r="H1274" t="s">
        <v>143</v>
      </c>
      <c r="I1274" t="s">
        <v>272</v>
      </c>
      <c r="J1274" t="s">
        <v>145</v>
      </c>
      <c r="K1274" t="s">
        <v>146</v>
      </c>
      <c r="L1274" t="s">
        <v>3038</v>
      </c>
      <c r="N1274" t="s">
        <v>3039</v>
      </c>
      <c r="O1274" t="s">
        <v>273</v>
      </c>
      <c r="R1274" t="s">
        <v>3047</v>
      </c>
      <c r="S1274" t="s">
        <v>2854</v>
      </c>
      <c r="V1274" t="s">
        <v>2855</v>
      </c>
      <c r="W1274" t="s">
        <v>2856</v>
      </c>
      <c r="X1274" t="s">
        <v>270</v>
      </c>
      <c r="AD1274" t="s">
        <v>3048</v>
      </c>
    </row>
    <row r="1275" spans="1:32" x14ac:dyDescent="0.25">
      <c r="A1275" t="s">
        <v>33</v>
      </c>
      <c r="D1275" t="s">
        <v>2847</v>
      </c>
      <c r="E1275" t="s">
        <v>2848</v>
      </c>
      <c r="F1275" t="s">
        <v>78</v>
      </c>
      <c r="G1275" t="s">
        <v>3037</v>
      </c>
      <c r="H1275" t="s">
        <v>143</v>
      </c>
      <c r="I1275" t="s">
        <v>257</v>
      </c>
      <c r="J1275" t="s">
        <v>145</v>
      </c>
      <c r="K1275" t="s">
        <v>146</v>
      </c>
      <c r="L1275" t="s">
        <v>3038</v>
      </c>
      <c r="M1275" t="s">
        <v>82</v>
      </c>
      <c r="N1275" t="s">
        <v>3039</v>
      </c>
      <c r="O1275" t="s">
        <v>292</v>
      </c>
      <c r="R1275" t="s">
        <v>3049</v>
      </c>
      <c r="S1275" t="s">
        <v>2854</v>
      </c>
      <c r="V1275" t="s">
        <v>2855</v>
      </c>
      <c r="W1275" t="s">
        <v>2856</v>
      </c>
      <c r="AD1275" t="s">
        <v>3050</v>
      </c>
    </row>
    <row r="1276" spans="1:32" x14ac:dyDescent="0.25">
      <c r="A1276" t="s">
        <v>33</v>
      </c>
      <c r="D1276" t="s">
        <v>2847</v>
      </c>
      <c r="E1276" t="s">
        <v>2848</v>
      </c>
      <c r="F1276" t="s">
        <v>78</v>
      </c>
      <c r="G1276" t="s">
        <v>3037</v>
      </c>
      <c r="H1276" t="s">
        <v>143</v>
      </c>
      <c r="I1276" t="s">
        <v>295</v>
      </c>
      <c r="J1276" t="s">
        <v>145</v>
      </c>
      <c r="K1276" t="s">
        <v>146</v>
      </c>
      <c r="L1276" t="s">
        <v>3038</v>
      </c>
      <c r="M1276" t="s">
        <v>82</v>
      </c>
      <c r="N1276" t="s">
        <v>3039</v>
      </c>
      <c r="O1276" t="s">
        <v>296</v>
      </c>
      <c r="R1276" t="s">
        <v>3051</v>
      </c>
      <c r="S1276" t="s">
        <v>2854</v>
      </c>
      <c r="V1276" t="s">
        <v>2855</v>
      </c>
      <c r="W1276" t="s">
        <v>2856</v>
      </c>
      <c r="AD1276" t="s">
        <v>3052</v>
      </c>
    </row>
    <row r="1277" spans="1:32" x14ac:dyDescent="0.25">
      <c r="A1277" t="s">
        <v>33</v>
      </c>
      <c r="D1277" t="s">
        <v>2847</v>
      </c>
      <c r="E1277" t="s">
        <v>2848</v>
      </c>
      <c r="F1277" t="s">
        <v>78</v>
      </c>
      <c r="G1277" t="s">
        <v>3037</v>
      </c>
      <c r="H1277" t="s">
        <v>143</v>
      </c>
      <c r="I1277" t="s">
        <v>299</v>
      </c>
      <c r="J1277" t="s">
        <v>145</v>
      </c>
      <c r="K1277" t="s">
        <v>146</v>
      </c>
      <c r="L1277" t="s">
        <v>3038</v>
      </c>
      <c r="M1277" t="s">
        <v>82</v>
      </c>
      <c r="N1277" t="s">
        <v>3039</v>
      </c>
      <c r="O1277" t="s">
        <v>300</v>
      </c>
      <c r="R1277" t="s">
        <v>3053</v>
      </c>
      <c r="S1277" t="s">
        <v>2854</v>
      </c>
      <c r="V1277" t="s">
        <v>2855</v>
      </c>
      <c r="W1277" t="s">
        <v>2856</v>
      </c>
      <c r="AD1277" t="s">
        <v>3054</v>
      </c>
    </row>
    <row r="1278" spans="1:32" x14ac:dyDescent="0.25">
      <c r="A1278" t="s">
        <v>33</v>
      </c>
      <c r="D1278" t="s">
        <v>2847</v>
      </c>
      <c r="E1278" t="s">
        <v>2848</v>
      </c>
      <c r="F1278" t="s">
        <v>78</v>
      </c>
      <c r="G1278" t="s">
        <v>3037</v>
      </c>
      <c r="H1278" t="s">
        <v>38</v>
      </c>
      <c r="I1278" t="s">
        <v>250</v>
      </c>
      <c r="J1278" t="s">
        <v>40</v>
      </c>
      <c r="K1278" t="s">
        <v>41</v>
      </c>
      <c r="L1278" t="s">
        <v>3038</v>
      </c>
      <c r="M1278" t="s">
        <v>252</v>
      </c>
      <c r="N1278" t="s">
        <v>3039</v>
      </c>
      <c r="O1278" t="s">
        <v>254</v>
      </c>
      <c r="R1278" t="s">
        <v>3055</v>
      </c>
      <c r="S1278" t="s">
        <v>2854</v>
      </c>
      <c r="V1278" t="s">
        <v>2855</v>
      </c>
      <c r="W1278" t="s">
        <v>2856</v>
      </c>
      <c r="AD1278" t="s">
        <v>3056</v>
      </c>
    </row>
    <row r="1279" spans="1:32" x14ac:dyDescent="0.25">
      <c r="A1279" t="s">
        <v>33</v>
      </c>
      <c r="D1279" t="s">
        <v>2847</v>
      </c>
      <c r="E1279" t="s">
        <v>2848</v>
      </c>
      <c r="F1279" t="s">
        <v>78</v>
      </c>
      <c r="G1279" t="s">
        <v>3037</v>
      </c>
      <c r="H1279" t="s">
        <v>143</v>
      </c>
      <c r="I1279" t="s">
        <v>267</v>
      </c>
      <c r="J1279" t="s">
        <v>145</v>
      </c>
      <c r="K1279" t="s">
        <v>146</v>
      </c>
      <c r="L1279" t="s">
        <v>3038</v>
      </c>
      <c r="N1279" t="s">
        <v>3039</v>
      </c>
      <c r="O1279" t="s">
        <v>268</v>
      </c>
      <c r="R1279" t="s">
        <v>3057</v>
      </c>
      <c r="S1279" t="s">
        <v>2854</v>
      </c>
      <c r="V1279" t="s">
        <v>2855</v>
      </c>
      <c r="W1279" t="s">
        <v>2856</v>
      </c>
      <c r="X1279" t="s">
        <v>270</v>
      </c>
      <c r="AD1279" t="s">
        <v>3058</v>
      </c>
    </row>
    <row r="1280" spans="1:32" x14ac:dyDescent="0.25">
      <c r="A1280" t="s">
        <v>33</v>
      </c>
      <c r="D1280" t="s">
        <v>2847</v>
      </c>
      <c r="E1280" t="s">
        <v>2848</v>
      </c>
      <c r="F1280" t="s">
        <v>78</v>
      </c>
      <c r="G1280" t="s">
        <v>3037</v>
      </c>
      <c r="H1280" t="s">
        <v>143</v>
      </c>
      <c r="I1280" t="s">
        <v>261</v>
      </c>
      <c r="J1280" t="s">
        <v>145</v>
      </c>
      <c r="K1280" t="s">
        <v>146</v>
      </c>
      <c r="L1280" t="s">
        <v>3038</v>
      </c>
      <c r="M1280" t="s">
        <v>252</v>
      </c>
      <c r="N1280" t="s">
        <v>3039</v>
      </c>
      <c r="O1280" t="s">
        <v>263</v>
      </c>
      <c r="R1280" t="s">
        <v>3059</v>
      </c>
      <c r="S1280" t="s">
        <v>2854</v>
      </c>
      <c r="V1280" t="s">
        <v>2855</v>
      </c>
      <c r="W1280" t="s">
        <v>2856</v>
      </c>
      <c r="AD1280" t="s">
        <v>3060</v>
      </c>
    </row>
    <row r="1281" spans="1:32" x14ac:dyDescent="0.25">
      <c r="A1281" t="s">
        <v>33</v>
      </c>
      <c r="D1281" t="s">
        <v>2847</v>
      </c>
      <c r="E1281" t="s">
        <v>2848</v>
      </c>
      <c r="F1281" t="s">
        <v>854</v>
      </c>
      <c r="G1281" t="s">
        <v>3061</v>
      </c>
      <c r="H1281" t="s">
        <v>166</v>
      </c>
      <c r="I1281" t="s">
        <v>281</v>
      </c>
      <c r="J1281" t="s">
        <v>167</v>
      </c>
      <c r="K1281" t="s">
        <v>41</v>
      </c>
      <c r="L1281" t="s">
        <v>3062</v>
      </c>
      <c r="N1281" t="s">
        <v>3063</v>
      </c>
      <c r="O1281" t="s">
        <v>858</v>
      </c>
      <c r="Q1281" t="s">
        <v>859</v>
      </c>
      <c r="R1281" t="s">
        <v>3064</v>
      </c>
      <c r="S1281" t="s">
        <v>2854</v>
      </c>
      <c r="V1281" t="s">
        <v>2855</v>
      </c>
      <c r="W1281" t="s">
        <v>2856</v>
      </c>
      <c r="AD1281" t="s">
        <v>3065</v>
      </c>
    </row>
    <row r="1282" spans="1:32" x14ac:dyDescent="0.25">
      <c r="A1282" t="s">
        <v>33</v>
      </c>
      <c r="D1282" t="s">
        <v>2847</v>
      </c>
      <c r="E1282" t="s">
        <v>2848</v>
      </c>
      <c r="F1282" t="s">
        <v>854</v>
      </c>
      <c r="G1282" t="s">
        <v>3061</v>
      </c>
      <c r="H1282" t="s">
        <v>166</v>
      </c>
      <c r="I1282" t="s">
        <v>80</v>
      </c>
      <c r="J1282" t="s">
        <v>167</v>
      </c>
      <c r="K1282" t="s">
        <v>41</v>
      </c>
      <c r="L1282" t="s">
        <v>3062</v>
      </c>
      <c r="N1282" t="s">
        <v>3063</v>
      </c>
      <c r="O1282" t="s">
        <v>862</v>
      </c>
      <c r="Q1282" t="s">
        <v>863</v>
      </c>
      <c r="R1282" t="s">
        <v>3066</v>
      </c>
      <c r="S1282" t="s">
        <v>2854</v>
      </c>
      <c r="V1282" t="s">
        <v>2855</v>
      </c>
      <c r="W1282" t="s">
        <v>2856</v>
      </c>
      <c r="AD1282" t="s">
        <v>3067</v>
      </c>
    </row>
    <row r="1283" spans="1:32" x14ac:dyDescent="0.25">
      <c r="A1283" t="s">
        <v>33</v>
      </c>
      <c r="D1283" t="s">
        <v>2847</v>
      </c>
      <c r="E1283" t="s">
        <v>2848</v>
      </c>
      <c r="F1283" t="s">
        <v>854</v>
      </c>
      <c r="G1283" t="s">
        <v>3061</v>
      </c>
      <c r="H1283" t="s">
        <v>153</v>
      </c>
      <c r="I1283" t="s">
        <v>598</v>
      </c>
      <c r="J1283" t="s">
        <v>154</v>
      </c>
      <c r="K1283" t="s">
        <v>155</v>
      </c>
      <c r="L1283" t="s">
        <v>3062</v>
      </c>
      <c r="N1283" t="s">
        <v>3063</v>
      </c>
      <c r="O1283" t="s">
        <v>599</v>
      </c>
      <c r="R1283" t="s">
        <v>3068</v>
      </c>
      <c r="S1283" t="s">
        <v>2854</v>
      </c>
      <c r="V1283" t="s">
        <v>2855</v>
      </c>
      <c r="W1283" t="s">
        <v>2856</v>
      </c>
      <c r="AD1283" t="s">
        <v>3069</v>
      </c>
    </row>
    <row r="1284" spans="1:32" x14ac:dyDescent="0.25">
      <c r="A1284" t="s">
        <v>33</v>
      </c>
      <c r="D1284" t="s">
        <v>2847</v>
      </c>
      <c r="E1284" t="s">
        <v>2848</v>
      </c>
      <c r="F1284" t="s">
        <v>854</v>
      </c>
      <c r="G1284" t="s">
        <v>3061</v>
      </c>
      <c r="H1284" t="s">
        <v>166</v>
      </c>
      <c r="I1284" t="s">
        <v>216</v>
      </c>
      <c r="J1284" t="s">
        <v>167</v>
      </c>
      <c r="K1284" t="s">
        <v>41</v>
      </c>
      <c r="L1284" t="s">
        <v>3062</v>
      </c>
      <c r="N1284" t="s">
        <v>3063</v>
      </c>
      <c r="O1284" t="s">
        <v>872</v>
      </c>
      <c r="Q1284" t="s">
        <v>1275</v>
      </c>
      <c r="R1284" t="s">
        <v>3070</v>
      </c>
      <c r="S1284" t="s">
        <v>2854</v>
      </c>
      <c r="V1284" t="s">
        <v>2855</v>
      </c>
      <c r="W1284" t="s">
        <v>2856</v>
      </c>
      <c r="AD1284" t="s">
        <v>3071</v>
      </c>
    </row>
    <row r="1285" spans="1:32" x14ac:dyDescent="0.25">
      <c r="A1285" t="s">
        <v>33</v>
      </c>
      <c r="D1285" t="s">
        <v>2847</v>
      </c>
      <c r="E1285" t="s">
        <v>2848</v>
      </c>
      <c r="F1285" t="s">
        <v>87</v>
      </c>
      <c r="G1285" t="s">
        <v>3072</v>
      </c>
      <c r="H1285" t="s">
        <v>153</v>
      </c>
      <c r="I1285" t="s">
        <v>144</v>
      </c>
      <c r="J1285" t="s">
        <v>154</v>
      </c>
      <c r="K1285" t="s">
        <v>155</v>
      </c>
      <c r="L1285" t="s">
        <v>3073</v>
      </c>
      <c r="N1285" t="s">
        <v>3074</v>
      </c>
      <c r="O1285" t="s">
        <v>156</v>
      </c>
      <c r="R1285" t="s">
        <v>3075</v>
      </c>
      <c r="S1285" t="s">
        <v>2854</v>
      </c>
      <c r="V1285" t="s">
        <v>2855</v>
      </c>
      <c r="W1285" t="s">
        <v>2856</v>
      </c>
      <c r="AD1285" t="s">
        <v>3076</v>
      </c>
    </row>
    <row r="1286" spans="1:32" x14ac:dyDescent="0.25">
      <c r="A1286" t="s">
        <v>33</v>
      </c>
      <c r="D1286" t="s">
        <v>2847</v>
      </c>
      <c r="E1286" t="s">
        <v>2848</v>
      </c>
      <c r="F1286" t="s">
        <v>87</v>
      </c>
      <c r="G1286" t="s">
        <v>3072</v>
      </c>
      <c r="H1286" t="s">
        <v>89</v>
      </c>
      <c r="I1286" t="s">
        <v>144</v>
      </c>
      <c r="J1286" t="s">
        <v>91</v>
      </c>
      <c r="K1286" t="s">
        <v>92</v>
      </c>
      <c r="L1286" t="s">
        <v>3073</v>
      </c>
      <c r="M1286" t="s">
        <v>94</v>
      </c>
      <c r="N1286" t="s">
        <v>3074</v>
      </c>
      <c r="O1286" t="s">
        <v>150</v>
      </c>
      <c r="P1286">
        <v>1E-3</v>
      </c>
      <c r="R1286" t="s">
        <v>3077</v>
      </c>
      <c r="S1286" t="s">
        <v>2854</v>
      </c>
      <c r="V1286" t="s">
        <v>2855</v>
      </c>
      <c r="W1286" t="s">
        <v>2856</v>
      </c>
      <c r="AD1286" t="s">
        <v>3078</v>
      </c>
    </row>
    <row r="1287" spans="1:32" x14ac:dyDescent="0.25">
      <c r="A1287" t="s">
        <v>33</v>
      </c>
      <c r="D1287" t="s">
        <v>2847</v>
      </c>
      <c r="E1287" t="s">
        <v>2848</v>
      </c>
      <c r="F1287" t="s">
        <v>87</v>
      </c>
      <c r="G1287" t="s">
        <v>3072</v>
      </c>
      <c r="H1287" t="s">
        <v>143</v>
      </c>
      <c r="I1287" t="s">
        <v>144</v>
      </c>
      <c r="J1287" t="s">
        <v>145</v>
      </c>
      <c r="K1287" t="s">
        <v>146</v>
      </c>
      <c r="L1287" t="s">
        <v>3073</v>
      </c>
      <c r="M1287" t="s">
        <v>1004</v>
      </c>
      <c r="N1287" t="s">
        <v>3074</v>
      </c>
      <c r="O1287" t="s">
        <v>147</v>
      </c>
      <c r="R1287" t="s">
        <v>3079</v>
      </c>
      <c r="S1287" t="s">
        <v>2854</v>
      </c>
      <c r="V1287" t="s">
        <v>2855</v>
      </c>
      <c r="W1287" t="s">
        <v>2856</v>
      </c>
      <c r="AD1287" t="s">
        <v>3080</v>
      </c>
    </row>
    <row r="1288" spans="1:32" x14ac:dyDescent="0.25">
      <c r="A1288" t="s">
        <v>33</v>
      </c>
      <c r="D1288" t="s">
        <v>2847</v>
      </c>
      <c r="E1288" t="s">
        <v>2848</v>
      </c>
      <c r="F1288" t="s">
        <v>87</v>
      </c>
      <c r="G1288" t="s">
        <v>3072</v>
      </c>
      <c r="H1288" t="s">
        <v>143</v>
      </c>
      <c r="I1288" t="s">
        <v>144</v>
      </c>
      <c r="J1288" t="s">
        <v>145</v>
      </c>
      <c r="K1288" t="s">
        <v>262</v>
      </c>
      <c r="L1288" t="s">
        <v>3073</v>
      </c>
      <c r="M1288" t="s">
        <v>1004</v>
      </c>
      <c r="N1288" t="s">
        <v>3074</v>
      </c>
      <c r="O1288" t="s">
        <v>147</v>
      </c>
      <c r="R1288" t="s">
        <v>3081</v>
      </c>
      <c r="S1288" t="s">
        <v>2854</v>
      </c>
      <c r="V1288" t="s">
        <v>2855</v>
      </c>
      <c r="W1288" t="s">
        <v>2856</v>
      </c>
      <c r="AD1288" t="s">
        <v>3080</v>
      </c>
    </row>
    <row r="1289" spans="1:32" x14ac:dyDescent="0.25">
      <c r="A1289" t="s">
        <v>33</v>
      </c>
      <c r="D1289" t="s">
        <v>2847</v>
      </c>
      <c r="E1289" t="s">
        <v>2848</v>
      </c>
      <c r="F1289" t="s">
        <v>87</v>
      </c>
      <c r="G1289" t="s">
        <v>3072</v>
      </c>
      <c r="H1289" t="s">
        <v>153</v>
      </c>
      <c r="I1289" t="s">
        <v>90</v>
      </c>
      <c r="J1289" t="s">
        <v>154</v>
      </c>
      <c r="K1289" t="s">
        <v>155</v>
      </c>
      <c r="L1289" t="s">
        <v>3073</v>
      </c>
      <c r="N1289" t="s">
        <v>3074</v>
      </c>
      <c r="O1289" t="s">
        <v>386</v>
      </c>
      <c r="R1289" t="s">
        <v>3082</v>
      </c>
      <c r="S1289" t="s">
        <v>2854</v>
      </c>
      <c r="V1289" t="s">
        <v>2855</v>
      </c>
      <c r="W1289" t="s">
        <v>2856</v>
      </c>
      <c r="AC1289" t="s">
        <v>3083</v>
      </c>
      <c r="AD1289" t="s">
        <v>3084</v>
      </c>
      <c r="AE1289" t="s">
        <v>2995</v>
      </c>
      <c r="AF1289">
        <v>11</v>
      </c>
    </row>
    <row r="1290" spans="1:32" x14ac:dyDescent="0.25">
      <c r="A1290" t="s">
        <v>33</v>
      </c>
      <c r="D1290" t="s">
        <v>2847</v>
      </c>
      <c r="E1290" t="s">
        <v>2848</v>
      </c>
      <c r="F1290" t="s">
        <v>87</v>
      </c>
      <c r="G1290" t="s">
        <v>3072</v>
      </c>
      <c r="H1290" t="s">
        <v>89</v>
      </c>
      <c r="I1290" t="s">
        <v>90</v>
      </c>
      <c r="J1290" t="s">
        <v>91</v>
      </c>
      <c r="K1290" t="s">
        <v>92</v>
      </c>
      <c r="L1290" t="s">
        <v>3073</v>
      </c>
      <c r="M1290" t="s">
        <v>94</v>
      </c>
      <c r="N1290" t="s">
        <v>3074</v>
      </c>
      <c r="O1290" t="s">
        <v>383</v>
      </c>
      <c r="P1290">
        <v>1E-3</v>
      </c>
      <c r="R1290" t="s">
        <v>3085</v>
      </c>
      <c r="S1290" t="s">
        <v>2854</v>
      </c>
      <c r="V1290" t="s">
        <v>2855</v>
      </c>
      <c r="W1290" t="s">
        <v>2856</v>
      </c>
      <c r="AD1290" t="s">
        <v>3086</v>
      </c>
    </row>
    <row r="1291" spans="1:32" x14ac:dyDescent="0.25">
      <c r="A1291" t="s">
        <v>33</v>
      </c>
      <c r="D1291" t="s">
        <v>2847</v>
      </c>
      <c r="E1291" t="s">
        <v>2848</v>
      </c>
      <c r="F1291" t="s">
        <v>87</v>
      </c>
      <c r="G1291" t="s">
        <v>3072</v>
      </c>
      <c r="H1291" t="s">
        <v>143</v>
      </c>
      <c r="I1291" t="s">
        <v>90</v>
      </c>
      <c r="J1291" t="s">
        <v>145</v>
      </c>
      <c r="K1291" t="s">
        <v>262</v>
      </c>
      <c r="L1291" t="s">
        <v>3073</v>
      </c>
      <c r="M1291" t="s">
        <v>1004</v>
      </c>
      <c r="N1291" t="s">
        <v>3074</v>
      </c>
      <c r="O1291" t="s">
        <v>380</v>
      </c>
      <c r="R1291" t="s">
        <v>3087</v>
      </c>
      <c r="S1291" t="s">
        <v>2854</v>
      </c>
      <c r="V1291" t="s">
        <v>2855</v>
      </c>
      <c r="W1291" t="s">
        <v>2856</v>
      </c>
      <c r="AD1291" t="s">
        <v>3088</v>
      </c>
    </row>
    <row r="1292" spans="1:32" x14ac:dyDescent="0.25">
      <c r="A1292" t="s">
        <v>33</v>
      </c>
      <c r="D1292" t="s">
        <v>2847</v>
      </c>
      <c r="E1292" t="s">
        <v>2848</v>
      </c>
      <c r="F1292" t="s">
        <v>87</v>
      </c>
      <c r="G1292" t="s">
        <v>3072</v>
      </c>
      <c r="H1292" t="s">
        <v>143</v>
      </c>
      <c r="I1292" t="s">
        <v>90</v>
      </c>
      <c r="J1292" t="s">
        <v>145</v>
      </c>
      <c r="K1292" t="s">
        <v>146</v>
      </c>
      <c r="L1292" t="s">
        <v>3073</v>
      </c>
      <c r="M1292" t="s">
        <v>1004</v>
      </c>
      <c r="N1292" t="s">
        <v>3074</v>
      </c>
      <c r="O1292" t="s">
        <v>380</v>
      </c>
      <c r="R1292" t="s">
        <v>3089</v>
      </c>
      <c r="S1292" t="s">
        <v>2854</v>
      </c>
      <c r="V1292" t="s">
        <v>2855</v>
      </c>
      <c r="W1292" t="s">
        <v>2856</v>
      </c>
      <c r="AD1292" t="s">
        <v>3088</v>
      </c>
    </row>
    <row r="1293" spans="1:32" x14ac:dyDescent="0.25">
      <c r="A1293" t="s">
        <v>33</v>
      </c>
      <c r="D1293" t="s">
        <v>2847</v>
      </c>
      <c r="E1293" t="s">
        <v>2848</v>
      </c>
      <c r="F1293" t="s">
        <v>87</v>
      </c>
      <c r="G1293" t="s">
        <v>3072</v>
      </c>
      <c r="H1293" t="s">
        <v>38</v>
      </c>
      <c r="I1293" t="s">
        <v>106</v>
      </c>
      <c r="J1293" t="s">
        <v>40</v>
      </c>
      <c r="K1293" t="s">
        <v>41</v>
      </c>
      <c r="L1293" t="s">
        <v>3073</v>
      </c>
      <c r="M1293" t="s">
        <v>1004</v>
      </c>
      <c r="N1293" t="s">
        <v>3074</v>
      </c>
      <c r="O1293" t="s">
        <v>109</v>
      </c>
      <c r="R1293" t="s">
        <v>3090</v>
      </c>
      <c r="S1293" t="s">
        <v>2854</v>
      </c>
      <c r="V1293" t="s">
        <v>2855</v>
      </c>
      <c r="W1293" t="s">
        <v>2856</v>
      </c>
      <c r="AD1293" t="s">
        <v>3091</v>
      </c>
    </row>
    <row r="1294" spans="1:32" x14ac:dyDescent="0.25">
      <c r="A1294" t="s">
        <v>33</v>
      </c>
      <c r="D1294" t="s">
        <v>2847</v>
      </c>
      <c r="E1294" t="s">
        <v>2848</v>
      </c>
      <c r="F1294" t="s">
        <v>87</v>
      </c>
      <c r="G1294" t="s">
        <v>3072</v>
      </c>
      <c r="H1294" t="s">
        <v>38</v>
      </c>
      <c r="I1294" t="s">
        <v>25</v>
      </c>
      <c r="J1294" t="s">
        <v>69</v>
      </c>
      <c r="K1294" t="s">
        <v>41</v>
      </c>
      <c r="L1294" t="s">
        <v>3073</v>
      </c>
      <c r="M1294" t="s">
        <v>1004</v>
      </c>
      <c r="N1294" t="s">
        <v>3074</v>
      </c>
      <c r="O1294" t="s">
        <v>512</v>
      </c>
      <c r="R1294" t="s">
        <v>1436</v>
      </c>
      <c r="S1294" t="s">
        <v>2854</v>
      </c>
      <c r="V1294" t="s">
        <v>2855</v>
      </c>
      <c r="W1294" t="s">
        <v>2856</v>
      </c>
      <c r="AD1294" t="s">
        <v>3092</v>
      </c>
    </row>
    <row r="1295" spans="1:32" x14ac:dyDescent="0.25">
      <c r="A1295" t="s">
        <v>33</v>
      </c>
      <c r="D1295" t="s">
        <v>2847</v>
      </c>
      <c r="E1295" t="s">
        <v>2848</v>
      </c>
      <c r="F1295" t="s">
        <v>87</v>
      </c>
      <c r="G1295" t="s">
        <v>3072</v>
      </c>
      <c r="H1295" t="s">
        <v>38</v>
      </c>
      <c r="I1295" t="s">
        <v>24</v>
      </c>
      <c r="J1295" t="s">
        <v>69</v>
      </c>
      <c r="K1295" t="s">
        <v>41</v>
      </c>
      <c r="L1295" t="s">
        <v>3073</v>
      </c>
      <c r="M1295" t="s">
        <v>1004</v>
      </c>
      <c r="N1295" t="s">
        <v>3074</v>
      </c>
      <c r="O1295" t="s">
        <v>509</v>
      </c>
      <c r="R1295" t="s">
        <v>1438</v>
      </c>
      <c r="S1295" t="s">
        <v>2854</v>
      </c>
      <c r="V1295" t="s">
        <v>2855</v>
      </c>
      <c r="W1295" t="s">
        <v>2856</v>
      </c>
      <c r="AD1295" t="s">
        <v>3093</v>
      </c>
    </row>
    <row r="1296" spans="1:32" x14ac:dyDescent="0.25">
      <c r="A1296" t="s">
        <v>33</v>
      </c>
      <c r="D1296" t="s">
        <v>2847</v>
      </c>
      <c r="E1296" t="s">
        <v>2848</v>
      </c>
      <c r="F1296" t="s">
        <v>87</v>
      </c>
      <c r="G1296" t="s">
        <v>3094</v>
      </c>
      <c r="H1296" t="s">
        <v>153</v>
      </c>
      <c r="I1296" t="s">
        <v>144</v>
      </c>
      <c r="J1296" t="s">
        <v>154</v>
      </c>
      <c r="K1296" t="s">
        <v>155</v>
      </c>
      <c r="L1296" t="s">
        <v>3095</v>
      </c>
      <c r="N1296" t="s">
        <v>3096</v>
      </c>
      <c r="O1296" t="s">
        <v>156</v>
      </c>
      <c r="R1296" t="s">
        <v>3097</v>
      </c>
      <c r="S1296" t="s">
        <v>2854</v>
      </c>
      <c r="V1296" t="s">
        <v>2855</v>
      </c>
      <c r="W1296" t="s">
        <v>2856</v>
      </c>
      <c r="AD1296" t="s">
        <v>3098</v>
      </c>
    </row>
    <row r="1297" spans="1:32" x14ac:dyDescent="0.25">
      <c r="A1297" t="s">
        <v>33</v>
      </c>
      <c r="D1297" t="s">
        <v>2847</v>
      </c>
      <c r="E1297" t="s">
        <v>2848</v>
      </c>
      <c r="F1297" t="s">
        <v>87</v>
      </c>
      <c r="G1297" t="s">
        <v>3094</v>
      </c>
      <c r="H1297" t="s">
        <v>89</v>
      </c>
      <c r="I1297" t="s">
        <v>144</v>
      </c>
      <c r="J1297" t="s">
        <v>91</v>
      </c>
      <c r="K1297" t="s">
        <v>92</v>
      </c>
      <c r="L1297" t="s">
        <v>3095</v>
      </c>
      <c r="M1297" t="s">
        <v>94</v>
      </c>
      <c r="N1297" t="s">
        <v>3096</v>
      </c>
      <c r="O1297" t="s">
        <v>150</v>
      </c>
      <c r="P1297">
        <v>1E-3</v>
      </c>
      <c r="R1297" t="s">
        <v>3099</v>
      </c>
      <c r="S1297" t="s">
        <v>2854</v>
      </c>
      <c r="V1297" t="s">
        <v>2855</v>
      </c>
      <c r="W1297" t="s">
        <v>2856</v>
      </c>
      <c r="AD1297" t="s">
        <v>3100</v>
      </c>
    </row>
    <row r="1298" spans="1:32" x14ac:dyDescent="0.25">
      <c r="A1298" t="s">
        <v>33</v>
      </c>
      <c r="D1298" t="s">
        <v>2847</v>
      </c>
      <c r="E1298" t="s">
        <v>2848</v>
      </c>
      <c r="F1298" t="s">
        <v>87</v>
      </c>
      <c r="G1298" t="s">
        <v>3094</v>
      </c>
      <c r="H1298" t="s">
        <v>143</v>
      </c>
      <c r="I1298" t="s">
        <v>144</v>
      </c>
      <c r="J1298" t="s">
        <v>145</v>
      </c>
      <c r="K1298" t="s">
        <v>146</v>
      </c>
      <c r="L1298" t="s">
        <v>3095</v>
      </c>
      <c r="M1298" t="s">
        <v>1004</v>
      </c>
      <c r="N1298" t="s">
        <v>3096</v>
      </c>
      <c r="O1298" t="s">
        <v>147</v>
      </c>
      <c r="R1298" t="s">
        <v>3101</v>
      </c>
      <c r="S1298" t="s">
        <v>2854</v>
      </c>
      <c r="V1298" t="s">
        <v>2855</v>
      </c>
      <c r="W1298" t="s">
        <v>2856</v>
      </c>
      <c r="AD1298" t="s">
        <v>3102</v>
      </c>
    </row>
    <row r="1299" spans="1:32" x14ac:dyDescent="0.25">
      <c r="A1299" t="s">
        <v>33</v>
      </c>
      <c r="D1299" t="s">
        <v>2847</v>
      </c>
      <c r="E1299" t="s">
        <v>2848</v>
      </c>
      <c r="F1299" t="s">
        <v>87</v>
      </c>
      <c r="G1299" t="s">
        <v>3094</v>
      </c>
      <c r="H1299" t="s">
        <v>143</v>
      </c>
      <c r="I1299" t="s">
        <v>144</v>
      </c>
      <c r="J1299" t="s">
        <v>145</v>
      </c>
      <c r="K1299" t="s">
        <v>262</v>
      </c>
      <c r="L1299" t="s">
        <v>3095</v>
      </c>
      <c r="M1299" t="s">
        <v>1004</v>
      </c>
      <c r="N1299" t="s">
        <v>3096</v>
      </c>
      <c r="O1299" t="s">
        <v>147</v>
      </c>
      <c r="R1299" t="s">
        <v>3103</v>
      </c>
      <c r="S1299" t="s">
        <v>2854</v>
      </c>
      <c r="V1299" t="s">
        <v>2855</v>
      </c>
      <c r="W1299" t="s">
        <v>2856</v>
      </c>
      <c r="AD1299" t="s">
        <v>3102</v>
      </c>
    </row>
    <row r="1300" spans="1:32" x14ac:dyDescent="0.25">
      <c r="A1300" t="s">
        <v>33</v>
      </c>
      <c r="D1300" t="s">
        <v>2847</v>
      </c>
      <c r="E1300" t="s">
        <v>2848</v>
      </c>
      <c r="F1300" t="s">
        <v>87</v>
      </c>
      <c r="G1300" t="s">
        <v>3094</v>
      </c>
      <c r="H1300" t="s">
        <v>153</v>
      </c>
      <c r="I1300" t="s">
        <v>90</v>
      </c>
      <c r="J1300" t="s">
        <v>154</v>
      </c>
      <c r="K1300" t="s">
        <v>155</v>
      </c>
      <c r="L1300" t="s">
        <v>3095</v>
      </c>
      <c r="N1300" t="s">
        <v>3096</v>
      </c>
      <c r="O1300" t="s">
        <v>386</v>
      </c>
      <c r="R1300" t="s">
        <v>3104</v>
      </c>
      <c r="S1300" t="s">
        <v>2854</v>
      </c>
      <c r="V1300" t="s">
        <v>2855</v>
      </c>
      <c r="W1300" t="s">
        <v>2856</v>
      </c>
      <c r="AC1300" t="s">
        <v>3105</v>
      </c>
      <c r="AD1300" t="s">
        <v>3106</v>
      </c>
      <c r="AE1300" t="s">
        <v>3034</v>
      </c>
      <c r="AF1300">
        <v>13</v>
      </c>
    </row>
    <row r="1301" spans="1:32" x14ac:dyDescent="0.25">
      <c r="A1301" t="s">
        <v>33</v>
      </c>
      <c r="D1301" t="s">
        <v>2847</v>
      </c>
      <c r="E1301" t="s">
        <v>2848</v>
      </c>
      <c r="F1301" t="s">
        <v>87</v>
      </c>
      <c r="G1301" t="s">
        <v>3094</v>
      </c>
      <c r="H1301" t="s">
        <v>89</v>
      </c>
      <c r="I1301" t="s">
        <v>90</v>
      </c>
      <c r="J1301" t="s">
        <v>91</v>
      </c>
      <c r="K1301" t="s">
        <v>92</v>
      </c>
      <c r="L1301" t="s">
        <v>3095</v>
      </c>
      <c r="M1301" t="s">
        <v>94</v>
      </c>
      <c r="N1301" t="s">
        <v>3096</v>
      </c>
      <c r="O1301" t="s">
        <v>383</v>
      </c>
      <c r="P1301">
        <v>1E-3</v>
      </c>
      <c r="R1301" t="s">
        <v>3107</v>
      </c>
      <c r="S1301" t="s">
        <v>2854</v>
      </c>
      <c r="V1301" t="s">
        <v>2855</v>
      </c>
      <c r="W1301" t="s">
        <v>2856</v>
      </c>
      <c r="AD1301" t="s">
        <v>3108</v>
      </c>
    </row>
    <row r="1302" spans="1:32" x14ac:dyDescent="0.25">
      <c r="A1302" t="s">
        <v>33</v>
      </c>
      <c r="D1302" t="s">
        <v>2847</v>
      </c>
      <c r="E1302" t="s">
        <v>2848</v>
      </c>
      <c r="F1302" t="s">
        <v>87</v>
      </c>
      <c r="G1302" t="s">
        <v>3094</v>
      </c>
      <c r="H1302" t="s">
        <v>143</v>
      </c>
      <c r="I1302" t="s">
        <v>90</v>
      </c>
      <c r="J1302" t="s">
        <v>145</v>
      </c>
      <c r="K1302" t="s">
        <v>262</v>
      </c>
      <c r="L1302" t="s">
        <v>3095</v>
      </c>
      <c r="M1302" t="s">
        <v>1004</v>
      </c>
      <c r="N1302" t="s">
        <v>3096</v>
      </c>
      <c r="O1302" t="s">
        <v>380</v>
      </c>
      <c r="R1302" t="s">
        <v>3109</v>
      </c>
      <c r="S1302" t="s">
        <v>2854</v>
      </c>
      <c r="V1302" t="s">
        <v>2855</v>
      </c>
      <c r="W1302" t="s">
        <v>2856</v>
      </c>
      <c r="AD1302" t="s">
        <v>3110</v>
      </c>
    </row>
    <row r="1303" spans="1:32" x14ac:dyDescent="0.25">
      <c r="A1303" t="s">
        <v>33</v>
      </c>
      <c r="D1303" t="s">
        <v>2847</v>
      </c>
      <c r="E1303" t="s">
        <v>2848</v>
      </c>
      <c r="F1303" t="s">
        <v>87</v>
      </c>
      <c r="G1303" t="s">
        <v>3094</v>
      </c>
      <c r="H1303" t="s">
        <v>143</v>
      </c>
      <c r="I1303" t="s">
        <v>90</v>
      </c>
      <c r="J1303" t="s">
        <v>145</v>
      </c>
      <c r="K1303" t="s">
        <v>146</v>
      </c>
      <c r="L1303" t="s">
        <v>3095</v>
      </c>
      <c r="M1303" t="s">
        <v>1004</v>
      </c>
      <c r="N1303" t="s">
        <v>3096</v>
      </c>
      <c r="O1303" t="s">
        <v>380</v>
      </c>
      <c r="R1303" t="s">
        <v>3111</v>
      </c>
      <c r="S1303" t="s">
        <v>2854</v>
      </c>
      <c r="V1303" t="s">
        <v>2855</v>
      </c>
      <c r="W1303" t="s">
        <v>2856</v>
      </c>
      <c r="AD1303" t="s">
        <v>3110</v>
      </c>
    </row>
    <row r="1304" spans="1:32" x14ac:dyDescent="0.25">
      <c r="A1304" t="s">
        <v>33</v>
      </c>
      <c r="D1304" t="s">
        <v>2847</v>
      </c>
      <c r="E1304" t="s">
        <v>2848</v>
      </c>
      <c r="F1304" t="s">
        <v>87</v>
      </c>
      <c r="G1304" t="s">
        <v>3094</v>
      </c>
      <c r="H1304" t="s">
        <v>38</v>
      </c>
      <c r="I1304" t="s">
        <v>106</v>
      </c>
      <c r="J1304" t="s">
        <v>40</v>
      </c>
      <c r="K1304" t="s">
        <v>41</v>
      </c>
      <c r="L1304" t="s">
        <v>3095</v>
      </c>
      <c r="M1304" t="s">
        <v>1004</v>
      </c>
      <c r="N1304" t="s">
        <v>3096</v>
      </c>
      <c r="O1304" t="s">
        <v>109</v>
      </c>
      <c r="R1304" t="s">
        <v>3112</v>
      </c>
      <c r="S1304" t="s">
        <v>2854</v>
      </c>
      <c r="V1304" t="s">
        <v>2855</v>
      </c>
      <c r="W1304" t="s">
        <v>2856</v>
      </c>
      <c r="AD1304" t="s">
        <v>3113</v>
      </c>
    </row>
    <row r="1305" spans="1:32" x14ac:dyDescent="0.25">
      <c r="A1305" t="s">
        <v>33</v>
      </c>
      <c r="D1305" t="s">
        <v>2847</v>
      </c>
      <c r="E1305" t="s">
        <v>2848</v>
      </c>
      <c r="F1305" t="s">
        <v>87</v>
      </c>
      <c r="G1305" t="s">
        <v>3094</v>
      </c>
      <c r="H1305" t="s">
        <v>38</v>
      </c>
      <c r="I1305" t="s">
        <v>25</v>
      </c>
      <c r="J1305" t="s">
        <v>69</v>
      </c>
      <c r="K1305" t="s">
        <v>41</v>
      </c>
      <c r="L1305" t="s">
        <v>3095</v>
      </c>
      <c r="M1305" t="s">
        <v>1004</v>
      </c>
      <c r="N1305" t="s">
        <v>3096</v>
      </c>
      <c r="O1305" t="s">
        <v>512</v>
      </c>
      <c r="R1305" t="s">
        <v>1184</v>
      </c>
      <c r="S1305" t="s">
        <v>2854</v>
      </c>
      <c r="V1305" t="s">
        <v>2855</v>
      </c>
      <c r="W1305" t="s">
        <v>2856</v>
      </c>
      <c r="AD1305" t="s">
        <v>3114</v>
      </c>
    </row>
    <row r="1306" spans="1:32" x14ac:dyDescent="0.25">
      <c r="A1306" t="s">
        <v>33</v>
      </c>
      <c r="D1306" t="s">
        <v>2847</v>
      </c>
      <c r="E1306" t="s">
        <v>2848</v>
      </c>
      <c r="F1306" t="s">
        <v>87</v>
      </c>
      <c r="G1306" t="s">
        <v>3094</v>
      </c>
      <c r="H1306" t="s">
        <v>38</v>
      </c>
      <c r="I1306" t="s">
        <v>24</v>
      </c>
      <c r="J1306" t="s">
        <v>69</v>
      </c>
      <c r="K1306" t="s">
        <v>41</v>
      </c>
      <c r="L1306" t="s">
        <v>3095</v>
      </c>
      <c r="M1306" t="s">
        <v>1004</v>
      </c>
      <c r="N1306" t="s">
        <v>3096</v>
      </c>
      <c r="O1306" t="s">
        <v>509</v>
      </c>
      <c r="R1306" t="s">
        <v>1185</v>
      </c>
      <c r="S1306" t="s">
        <v>2854</v>
      </c>
      <c r="V1306" t="s">
        <v>2855</v>
      </c>
      <c r="W1306" t="s">
        <v>2856</v>
      </c>
      <c r="AD1306" t="s">
        <v>3115</v>
      </c>
    </row>
    <row r="1307" spans="1:32" x14ac:dyDescent="0.25">
      <c r="A1307" t="s">
        <v>33</v>
      </c>
      <c r="D1307" t="s">
        <v>2847</v>
      </c>
      <c r="E1307" t="s">
        <v>2848</v>
      </c>
      <c r="F1307" t="s">
        <v>87</v>
      </c>
      <c r="G1307" t="s">
        <v>3116</v>
      </c>
      <c r="H1307" t="s">
        <v>153</v>
      </c>
      <c r="I1307" t="s">
        <v>144</v>
      </c>
      <c r="J1307" t="s">
        <v>154</v>
      </c>
      <c r="K1307" t="s">
        <v>155</v>
      </c>
      <c r="L1307" t="s">
        <v>3117</v>
      </c>
      <c r="N1307" t="s">
        <v>3118</v>
      </c>
      <c r="O1307" t="s">
        <v>156</v>
      </c>
      <c r="R1307" t="s">
        <v>3119</v>
      </c>
      <c r="S1307" t="s">
        <v>2854</v>
      </c>
      <c r="V1307" t="s">
        <v>2855</v>
      </c>
      <c r="W1307" t="s">
        <v>2856</v>
      </c>
      <c r="AD1307" t="s">
        <v>3120</v>
      </c>
    </row>
    <row r="1308" spans="1:32" x14ac:dyDescent="0.25">
      <c r="A1308" t="s">
        <v>33</v>
      </c>
      <c r="D1308" t="s">
        <v>2847</v>
      </c>
      <c r="E1308" t="s">
        <v>2848</v>
      </c>
      <c r="F1308" t="s">
        <v>87</v>
      </c>
      <c r="G1308" t="s">
        <v>3116</v>
      </c>
      <c r="H1308" t="s">
        <v>89</v>
      </c>
      <c r="I1308" t="s">
        <v>144</v>
      </c>
      <c r="J1308" t="s">
        <v>91</v>
      </c>
      <c r="K1308" t="s">
        <v>92</v>
      </c>
      <c r="L1308" t="s">
        <v>3117</v>
      </c>
      <c r="M1308" t="s">
        <v>94</v>
      </c>
      <c r="N1308" t="s">
        <v>3118</v>
      </c>
      <c r="O1308" t="s">
        <v>150</v>
      </c>
      <c r="P1308">
        <v>1E-3</v>
      </c>
      <c r="R1308" t="s">
        <v>3121</v>
      </c>
      <c r="S1308" t="s">
        <v>2854</v>
      </c>
      <c r="V1308" t="s">
        <v>2855</v>
      </c>
      <c r="W1308" t="s">
        <v>2856</v>
      </c>
      <c r="AD1308" t="s">
        <v>3122</v>
      </c>
    </row>
    <row r="1309" spans="1:32" x14ac:dyDescent="0.25">
      <c r="A1309" t="s">
        <v>33</v>
      </c>
      <c r="D1309" t="s">
        <v>2847</v>
      </c>
      <c r="E1309" t="s">
        <v>2848</v>
      </c>
      <c r="F1309" t="s">
        <v>87</v>
      </c>
      <c r="G1309" t="s">
        <v>3116</v>
      </c>
      <c r="H1309" t="s">
        <v>143</v>
      </c>
      <c r="I1309" t="s">
        <v>144</v>
      </c>
      <c r="J1309" t="s">
        <v>145</v>
      </c>
      <c r="K1309" t="s">
        <v>146</v>
      </c>
      <c r="L1309" t="s">
        <v>3117</v>
      </c>
      <c r="M1309" t="s">
        <v>176</v>
      </c>
      <c r="N1309" t="s">
        <v>3118</v>
      </c>
      <c r="O1309" t="s">
        <v>147</v>
      </c>
      <c r="R1309" t="s">
        <v>3123</v>
      </c>
      <c r="S1309" t="s">
        <v>2854</v>
      </c>
      <c r="V1309" t="s">
        <v>2855</v>
      </c>
      <c r="W1309" t="s">
        <v>2856</v>
      </c>
      <c r="AD1309" t="s">
        <v>3124</v>
      </c>
    </row>
    <row r="1310" spans="1:32" x14ac:dyDescent="0.25">
      <c r="A1310" t="s">
        <v>33</v>
      </c>
      <c r="D1310" t="s">
        <v>2847</v>
      </c>
      <c r="E1310" t="s">
        <v>2848</v>
      </c>
      <c r="F1310" t="s">
        <v>87</v>
      </c>
      <c r="G1310" t="s">
        <v>3116</v>
      </c>
      <c r="H1310" t="s">
        <v>143</v>
      </c>
      <c r="I1310" t="s">
        <v>144</v>
      </c>
      <c r="J1310" t="s">
        <v>145</v>
      </c>
      <c r="K1310" t="s">
        <v>262</v>
      </c>
      <c r="L1310" t="s">
        <v>3117</v>
      </c>
      <c r="M1310" t="s">
        <v>176</v>
      </c>
      <c r="N1310" t="s">
        <v>3118</v>
      </c>
      <c r="O1310" t="s">
        <v>147</v>
      </c>
      <c r="R1310" t="s">
        <v>3125</v>
      </c>
      <c r="S1310" t="s">
        <v>2854</v>
      </c>
      <c r="V1310" t="s">
        <v>2855</v>
      </c>
      <c r="W1310" t="s">
        <v>2856</v>
      </c>
      <c r="AD1310" t="s">
        <v>3124</v>
      </c>
    </row>
    <row r="1311" spans="1:32" x14ac:dyDescent="0.25">
      <c r="A1311" t="s">
        <v>33</v>
      </c>
      <c r="D1311" t="s">
        <v>2847</v>
      </c>
      <c r="E1311" t="s">
        <v>2848</v>
      </c>
      <c r="F1311" t="s">
        <v>87</v>
      </c>
      <c r="G1311" t="s">
        <v>3116</v>
      </c>
      <c r="H1311" t="s">
        <v>153</v>
      </c>
      <c r="I1311" t="s">
        <v>90</v>
      </c>
      <c r="J1311" t="s">
        <v>154</v>
      </c>
      <c r="K1311" t="s">
        <v>155</v>
      </c>
      <c r="L1311" t="s">
        <v>3117</v>
      </c>
      <c r="N1311" t="s">
        <v>3118</v>
      </c>
      <c r="O1311" t="s">
        <v>386</v>
      </c>
      <c r="R1311" t="s">
        <v>3126</v>
      </c>
      <c r="S1311" t="s">
        <v>2854</v>
      </c>
      <c r="V1311" t="s">
        <v>2855</v>
      </c>
      <c r="W1311" t="s">
        <v>2856</v>
      </c>
      <c r="AD1311" t="s">
        <v>3127</v>
      </c>
    </row>
    <row r="1312" spans="1:32" x14ac:dyDescent="0.25">
      <c r="A1312" t="s">
        <v>33</v>
      </c>
      <c r="D1312" t="s">
        <v>2847</v>
      </c>
      <c r="E1312" t="s">
        <v>2848</v>
      </c>
      <c r="F1312" t="s">
        <v>87</v>
      </c>
      <c r="G1312" t="s">
        <v>3116</v>
      </c>
      <c r="H1312" t="s">
        <v>89</v>
      </c>
      <c r="I1312" t="s">
        <v>90</v>
      </c>
      <c r="J1312" t="s">
        <v>91</v>
      </c>
      <c r="K1312" t="s">
        <v>92</v>
      </c>
      <c r="L1312" t="s">
        <v>3117</v>
      </c>
      <c r="M1312" t="s">
        <v>94</v>
      </c>
      <c r="N1312" t="s">
        <v>3118</v>
      </c>
      <c r="O1312" t="s">
        <v>383</v>
      </c>
      <c r="P1312">
        <v>1E-3</v>
      </c>
      <c r="R1312" t="s">
        <v>3128</v>
      </c>
      <c r="S1312" t="s">
        <v>2854</v>
      </c>
      <c r="V1312" t="s">
        <v>2855</v>
      </c>
      <c r="W1312" t="s">
        <v>2856</v>
      </c>
      <c r="AD1312" t="s">
        <v>3129</v>
      </c>
    </row>
    <row r="1313" spans="1:30" x14ac:dyDescent="0.25">
      <c r="A1313" t="s">
        <v>33</v>
      </c>
      <c r="D1313" t="s">
        <v>2847</v>
      </c>
      <c r="E1313" t="s">
        <v>2848</v>
      </c>
      <c r="F1313" t="s">
        <v>87</v>
      </c>
      <c r="G1313" t="s">
        <v>3116</v>
      </c>
      <c r="H1313" t="s">
        <v>143</v>
      </c>
      <c r="I1313" t="s">
        <v>90</v>
      </c>
      <c r="J1313" t="s">
        <v>145</v>
      </c>
      <c r="K1313" t="s">
        <v>262</v>
      </c>
      <c r="L1313" t="s">
        <v>3117</v>
      </c>
      <c r="M1313" t="s">
        <v>176</v>
      </c>
      <c r="N1313" t="s">
        <v>3118</v>
      </c>
      <c r="O1313" t="s">
        <v>380</v>
      </c>
      <c r="R1313" t="s">
        <v>3130</v>
      </c>
      <c r="S1313" t="s">
        <v>2854</v>
      </c>
      <c r="V1313" t="s">
        <v>2855</v>
      </c>
      <c r="W1313" t="s">
        <v>2856</v>
      </c>
      <c r="AD1313" t="s">
        <v>3131</v>
      </c>
    </row>
    <row r="1314" spans="1:30" x14ac:dyDescent="0.25">
      <c r="A1314" t="s">
        <v>33</v>
      </c>
      <c r="D1314" t="s">
        <v>2847</v>
      </c>
      <c r="E1314" t="s">
        <v>2848</v>
      </c>
      <c r="F1314" t="s">
        <v>87</v>
      </c>
      <c r="G1314" t="s">
        <v>3116</v>
      </c>
      <c r="H1314" t="s">
        <v>143</v>
      </c>
      <c r="I1314" t="s">
        <v>90</v>
      </c>
      <c r="J1314" t="s">
        <v>145</v>
      </c>
      <c r="K1314" t="s">
        <v>146</v>
      </c>
      <c r="L1314" t="s">
        <v>3117</v>
      </c>
      <c r="M1314" t="s">
        <v>176</v>
      </c>
      <c r="N1314" t="s">
        <v>3118</v>
      </c>
      <c r="O1314" t="s">
        <v>380</v>
      </c>
      <c r="R1314" t="s">
        <v>3132</v>
      </c>
      <c r="S1314" t="s">
        <v>2854</v>
      </c>
      <c r="V1314" t="s">
        <v>2855</v>
      </c>
      <c r="W1314" t="s">
        <v>2856</v>
      </c>
      <c r="AD1314" t="s">
        <v>3131</v>
      </c>
    </row>
    <row r="1315" spans="1:30" x14ac:dyDescent="0.25">
      <c r="A1315" t="s">
        <v>33</v>
      </c>
      <c r="D1315" t="s">
        <v>2847</v>
      </c>
      <c r="E1315" t="s">
        <v>2848</v>
      </c>
      <c r="F1315" t="s">
        <v>87</v>
      </c>
      <c r="G1315" t="s">
        <v>3116</v>
      </c>
      <c r="H1315" t="s">
        <v>153</v>
      </c>
      <c r="I1315" t="s">
        <v>100</v>
      </c>
      <c r="J1315" t="s">
        <v>154</v>
      </c>
      <c r="K1315" t="s">
        <v>155</v>
      </c>
      <c r="L1315" t="s">
        <v>3117</v>
      </c>
      <c r="N1315" t="s">
        <v>3118</v>
      </c>
      <c r="O1315" t="s">
        <v>448</v>
      </c>
      <c r="R1315" t="s">
        <v>3133</v>
      </c>
      <c r="S1315" t="s">
        <v>2854</v>
      </c>
      <c r="V1315" t="s">
        <v>2855</v>
      </c>
      <c r="W1315" t="s">
        <v>2856</v>
      </c>
      <c r="AD1315" t="s">
        <v>3134</v>
      </c>
    </row>
    <row r="1316" spans="1:30" x14ac:dyDescent="0.25">
      <c r="A1316" t="s">
        <v>33</v>
      </c>
      <c r="D1316" t="s">
        <v>2847</v>
      </c>
      <c r="E1316" t="s">
        <v>2848</v>
      </c>
      <c r="F1316" t="s">
        <v>87</v>
      </c>
      <c r="G1316" t="s">
        <v>3116</v>
      </c>
      <c r="H1316" t="s">
        <v>89</v>
      </c>
      <c r="I1316" t="s">
        <v>100</v>
      </c>
      <c r="J1316" t="s">
        <v>91</v>
      </c>
      <c r="K1316" t="s">
        <v>92</v>
      </c>
      <c r="L1316" t="s">
        <v>3117</v>
      </c>
      <c r="M1316" t="s">
        <v>94</v>
      </c>
      <c r="N1316" t="s">
        <v>3118</v>
      </c>
      <c r="O1316" t="s">
        <v>445</v>
      </c>
      <c r="P1316">
        <v>1E-3</v>
      </c>
      <c r="R1316" t="s">
        <v>3135</v>
      </c>
      <c r="S1316" t="s">
        <v>2854</v>
      </c>
      <c r="V1316" t="s">
        <v>2855</v>
      </c>
      <c r="W1316" t="s">
        <v>2856</v>
      </c>
      <c r="AD1316" t="s">
        <v>3136</v>
      </c>
    </row>
    <row r="1317" spans="1:30" x14ac:dyDescent="0.25">
      <c r="A1317" t="s">
        <v>33</v>
      </c>
      <c r="D1317" t="s">
        <v>2847</v>
      </c>
      <c r="E1317" t="s">
        <v>2848</v>
      </c>
      <c r="F1317" t="s">
        <v>87</v>
      </c>
      <c r="G1317" t="s">
        <v>3116</v>
      </c>
      <c r="H1317" t="s">
        <v>143</v>
      </c>
      <c r="I1317" t="s">
        <v>100</v>
      </c>
      <c r="J1317" t="s">
        <v>145</v>
      </c>
      <c r="K1317" t="s">
        <v>262</v>
      </c>
      <c r="L1317" t="s">
        <v>3117</v>
      </c>
      <c r="M1317" t="s">
        <v>176</v>
      </c>
      <c r="N1317" t="s">
        <v>3118</v>
      </c>
      <c r="O1317" t="s">
        <v>442</v>
      </c>
      <c r="R1317" t="s">
        <v>3137</v>
      </c>
      <c r="S1317" t="s">
        <v>2854</v>
      </c>
      <c r="V1317" t="s">
        <v>2855</v>
      </c>
      <c r="W1317" t="s">
        <v>2856</v>
      </c>
      <c r="AD1317" t="s">
        <v>3138</v>
      </c>
    </row>
    <row r="1318" spans="1:30" x14ac:dyDescent="0.25">
      <c r="A1318" t="s">
        <v>33</v>
      </c>
      <c r="D1318" t="s">
        <v>2847</v>
      </c>
      <c r="E1318" t="s">
        <v>2848</v>
      </c>
      <c r="F1318" t="s">
        <v>87</v>
      </c>
      <c r="G1318" t="s">
        <v>3116</v>
      </c>
      <c r="H1318" t="s">
        <v>143</v>
      </c>
      <c r="I1318" t="s">
        <v>100</v>
      </c>
      <c r="J1318" t="s">
        <v>145</v>
      </c>
      <c r="K1318" t="s">
        <v>146</v>
      </c>
      <c r="L1318" t="s">
        <v>3117</v>
      </c>
      <c r="M1318" t="s">
        <v>176</v>
      </c>
      <c r="N1318" t="s">
        <v>3118</v>
      </c>
      <c r="O1318" t="s">
        <v>442</v>
      </c>
      <c r="R1318" t="s">
        <v>3139</v>
      </c>
      <c r="S1318" t="s">
        <v>2854</v>
      </c>
      <c r="V1318" t="s">
        <v>2855</v>
      </c>
      <c r="W1318" t="s">
        <v>2856</v>
      </c>
      <c r="AD1318" t="s">
        <v>3138</v>
      </c>
    </row>
    <row r="1319" spans="1:30" x14ac:dyDescent="0.25">
      <c r="A1319" t="s">
        <v>33</v>
      </c>
      <c r="D1319" t="s">
        <v>2847</v>
      </c>
      <c r="E1319" t="s">
        <v>2848</v>
      </c>
      <c r="F1319" t="s">
        <v>87</v>
      </c>
      <c r="G1319" t="s">
        <v>3116</v>
      </c>
      <c r="H1319" t="s">
        <v>38</v>
      </c>
      <c r="I1319" t="s">
        <v>106</v>
      </c>
      <c r="J1319" t="s">
        <v>40</v>
      </c>
      <c r="K1319" t="s">
        <v>41</v>
      </c>
      <c r="L1319" t="s">
        <v>3117</v>
      </c>
      <c r="M1319" t="s">
        <v>176</v>
      </c>
      <c r="N1319" t="s">
        <v>3118</v>
      </c>
      <c r="O1319" t="s">
        <v>109</v>
      </c>
      <c r="R1319" t="s">
        <v>3140</v>
      </c>
      <c r="S1319" t="s">
        <v>2854</v>
      </c>
      <c r="V1319" t="s">
        <v>2855</v>
      </c>
      <c r="W1319" t="s">
        <v>2856</v>
      </c>
      <c r="AD1319" t="s">
        <v>3141</v>
      </c>
    </row>
    <row r="1320" spans="1:30" x14ac:dyDescent="0.25">
      <c r="A1320" t="s">
        <v>33</v>
      </c>
      <c r="D1320" t="s">
        <v>2847</v>
      </c>
      <c r="E1320" t="s">
        <v>2848</v>
      </c>
      <c r="F1320" t="s">
        <v>87</v>
      </c>
      <c r="G1320" t="s">
        <v>3116</v>
      </c>
      <c r="H1320" t="s">
        <v>38</v>
      </c>
      <c r="I1320" t="s">
        <v>25</v>
      </c>
      <c r="J1320" t="s">
        <v>69</v>
      </c>
      <c r="K1320" t="s">
        <v>41</v>
      </c>
      <c r="L1320" t="s">
        <v>3117</v>
      </c>
      <c r="M1320" t="s">
        <v>176</v>
      </c>
      <c r="N1320" t="s">
        <v>3118</v>
      </c>
      <c r="O1320" t="s">
        <v>512</v>
      </c>
      <c r="R1320" t="s">
        <v>3142</v>
      </c>
      <c r="S1320" t="s">
        <v>2854</v>
      </c>
      <c r="V1320" t="s">
        <v>2855</v>
      </c>
      <c r="W1320" t="s">
        <v>2856</v>
      </c>
      <c r="AD1320" t="s">
        <v>3143</v>
      </c>
    </row>
    <row r="1321" spans="1:30" x14ac:dyDescent="0.25">
      <c r="A1321" t="s">
        <v>33</v>
      </c>
      <c r="D1321" t="s">
        <v>2847</v>
      </c>
      <c r="E1321" t="s">
        <v>2848</v>
      </c>
      <c r="F1321" t="s">
        <v>87</v>
      </c>
      <c r="G1321" t="s">
        <v>3116</v>
      </c>
      <c r="H1321" t="s">
        <v>38</v>
      </c>
      <c r="I1321" t="s">
        <v>24</v>
      </c>
      <c r="J1321" t="s">
        <v>69</v>
      </c>
      <c r="K1321" t="s">
        <v>41</v>
      </c>
      <c r="L1321" t="s">
        <v>3117</v>
      </c>
      <c r="M1321" t="s">
        <v>176</v>
      </c>
      <c r="N1321" t="s">
        <v>3118</v>
      </c>
      <c r="O1321" t="s">
        <v>509</v>
      </c>
      <c r="R1321" t="s">
        <v>3144</v>
      </c>
      <c r="S1321" t="s">
        <v>2854</v>
      </c>
      <c r="V1321" t="s">
        <v>2855</v>
      </c>
      <c r="W1321" t="s">
        <v>2856</v>
      </c>
      <c r="AD1321" t="s">
        <v>3145</v>
      </c>
    </row>
    <row r="1322" spans="1:30" x14ac:dyDescent="0.25">
      <c r="A1322" t="s">
        <v>33</v>
      </c>
      <c r="D1322" t="s">
        <v>2847</v>
      </c>
      <c r="E1322" t="s">
        <v>2848</v>
      </c>
      <c r="F1322" t="s">
        <v>87</v>
      </c>
      <c r="G1322" t="s">
        <v>3146</v>
      </c>
      <c r="H1322" t="s">
        <v>153</v>
      </c>
      <c r="I1322" t="s">
        <v>144</v>
      </c>
      <c r="J1322" t="s">
        <v>154</v>
      </c>
      <c r="K1322" t="s">
        <v>155</v>
      </c>
      <c r="L1322" t="s">
        <v>3147</v>
      </c>
      <c r="N1322" t="s">
        <v>3148</v>
      </c>
      <c r="O1322" t="s">
        <v>156</v>
      </c>
      <c r="R1322" t="s">
        <v>3149</v>
      </c>
      <c r="S1322" t="s">
        <v>2854</v>
      </c>
      <c r="V1322" t="s">
        <v>2855</v>
      </c>
      <c r="W1322" t="s">
        <v>2856</v>
      </c>
      <c r="AD1322" t="s">
        <v>3150</v>
      </c>
    </row>
    <row r="1323" spans="1:30" x14ac:dyDescent="0.25">
      <c r="A1323" t="s">
        <v>33</v>
      </c>
      <c r="D1323" t="s">
        <v>2847</v>
      </c>
      <c r="E1323" t="s">
        <v>2848</v>
      </c>
      <c r="F1323" t="s">
        <v>87</v>
      </c>
      <c r="G1323" t="s">
        <v>3146</v>
      </c>
      <c r="H1323" t="s">
        <v>89</v>
      </c>
      <c r="I1323" t="s">
        <v>144</v>
      </c>
      <c r="J1323" t="s">
        <v>91</v>
      </c>
      <c r="K1323" t="s">
        <v>92</v>
      </c>
      <c r="L1323" t="s">
        <v>3147</v>
      </c>
      <c r="M1323" t="s">
        <v>94</v>
      </c>
      <c r="N1323" t="s">
        <v>3148</v>
      </c>
      <c r="O1323" t="s">
        <v>150</v>
      </c>
      <c r="P1323">
        <v>1E-3</v>
      </c>
      <c r="R1323" t="s">
        <v>3151</v>
      </c>
      <c r="S1323" t="s">
        <v>2854</v>
      </c>
      <c r="V1323" t="s">
        <v>2855</v>
      </c>
      <c r="W1323" t="s">
        <v>2856</v>
      </c>
      <c r="AD1323" t="s">
        <v>3152</v>
      </c>
    </row>
    <row r="1324" spans="1:30" x14ac:dyDescent="0.25">
      <c r="A1324" t="s">
        <v>33</v>
      </c>
      <c r="D1324" t="s">
        <v>2847</v>
      </c>
      <c r="E1324" t="s">
        <v>2848</v>
      </c>
      <c r="F1324" t="s">
        <v>87</v>
      </c>
      <c r="G1324" t="s">
        <v>3146</v>
      </c>
      <c r="H1324" t="s">
        <v>143</v>
      </c>
      <c r="I1324" t="s">
        <v>144</v>
      </c>
      <c r="J1324" t="s">
        <v>145</v>
      </c>
      <c r="K1324" t="s">
        <v>146</v>
      </c>
      <c r="L1324" t="s">
        <v>3147</v>
      </c>
      <c r="M1324" t="s">
        <v>176</v>
      </c>
      <c r="N1324" t="s">
        <v>3148</v>
      </c>
      <c r="O1324" t="s">
        <v>147</v>
      </c>
      <c r="R1324" t="s">
        <v>3153</v>
      </c>
      <c r="S1324" t="s">
        <v>2854</v>
      </c>
      <c r="V1324" t="s">
        <v>2855</v>
      </c>
      <c r="W1324" t="s">
        <v>2856</v>
      </c>
      <c r="AD1324" t="s">
        <v>3154</v>
      </c>
    </row>
    <row r="1325" spans="1:30" x14ac:dyDescent="0.25">
      <c r="A1325" t="s">
        <v>33</v>
      </c>
      <c r="D1325" t="s">
        <v>2847</v>
      </c>
      <c r="E1325" t="s">
        <v>2848</v>
      </c>
      <c r="F1325" t="s">
        <v>87</v>
      </c>
      <c r="G1325" t="s">
        <v>3146</v>
      </c>
      <c r="H1325" t="s">
        <v>143</v>
      </c>
      <c r="I1325" t="s">
        <v>144</v>
      </c>
      <c r="J1325" t="s">
        <v>145</v>
      </c>
      <c r="K1325" t="s">
        <v>262</v>
      </c>
      <c r="L1325" t="s">
        <v>3147</v>
      </c>
      <c r="M1325" t="s">
        <v>176</v>
      </c>
      <c r="N1325" t="s">
        <v>3148</v>
      </c>
      <c r="O1325" t="s">
        <v>147</v>
      </c>
      <c r="R1325" t="s">
        <v>3155</v>
      </c>
      <c r="S1325" t="s">
        <v>2854</v>
      </c>
      <c r="V1325" t="s">
        <v>2855</v>
      </c>
      <c r="W1325" t="s">
        <v>2856</v>
      </c>
      <c r="AD1325" t="s">
        <v>3154</v>
      </c>
    </row>
    <row r="1326" spans="1:30" x14ac:dyDescent="0.25">
      <c r="A1326" t="s">
        <v>33</v>
      </c>
      <c r="D1326" t="s">
        <v>2847</v>
      </c>
      <c r="E1326" t="s">
        <v>2848</v>
      </c>
      <c r="F1326" t="s">
        <v>87</v>
      </c>
      <c r="G1326" t="s">
        <v>3146</v>
      </c>
      <c r="H1326" t="s">
        <v>153</v>
      </c>
      <c r="I1326" t="s">
        <v>90</v>
      </c>
      <c r="J1326" t="s">
        <v>154</v>
      </c>
      <c r="K1326" t="s">
        <v>155</v>
      </c>
      <c r="L1326" t="s">
        <v>3147</v>
      </c>
      <c r="N1326" t="s">
        <v>3148</v>
      </c>
      <c r="O1326" t="s">
        <v>386</v>
      </c>
      <c r="R1326" t="s">
        <v>3156</v>
      </c>
      <c r="S1326" t="s">
        <v>2854</v>
      </c>
      <c r="V1326" t="s">
        <v>2855</v>
      </c>
      <c r="W1326" t="s">
        <v>2856</v>
      </c>
      <c r="AD1326" t="s">
        <v>3157</v>
      </c>
    </row>
    <row r="1327" spans="1:30" x14ac:dyDescent="0.25">
      <c r="A1327" t="s">
        <v>33</v>
      </c>
      <c r="D1327" t="s">
        <v>2847</v>
      </c>
      <c r="E1327" t="s">
        <v>2848</v>
      </c>
      <c r="F1327" t="s">
        <v>87</v>
      </c>
      <c r="G1327" t="s">
        <v>3146</v>
      </c>
      <c r="H1327" t="s">
        <v>89</v>
      </c>
      <c r="I1327" t="s">
        <v>90</v>
      </c>
      <c r="J1327" t="s">
        <v>91</v>
      </c>
      <c r="K1327" t="s">
        <v>92</v>
      </c>
      <c r="L1327" t="s">
        <v>3147</v>
      </c>
      <c r="M1327" t="s">
        <v>94</v>
      </c>
      <c r="N1327" t="s">
        <v>3148</v>
      </c>
      <c r="O1327" t="s">
        <v>383</v>
      </c>
      <c r="P1327">
        <v>1E-3</v>
      </c>
      <c r="R1327" t="s">
        <v>3158</v>
      </c>
      <c r="S1327" t="s">
        <v>2854</v>
      </c>
      <c r="V1327" t="s">
        <v>2855</v>
      </c>
      <c r="W1327" t="s">
        <v>2856</v>
      </c>
      <c r="AD1327" t="s">
        <v>3159</v>
      </c>
    </row>
    <row r="1328" spans="1:30" x14ac:dyDescent="0.25">
      <c r="A1328" t="s">
        <v>33</v>
      </c>
      <c r="D1328" t="s">
        <v>2847</v>
      </c>
      <c r="E1328" t="s">
        <v>2848</v>
      </c>
      <c r="F1328" t="s">
        <v>87</v>
      </c>
      <c r="G1328" t="s">
        <v>3146</v>
      </c>
      <c r="H1328" t="s">
        <v>143</v>
      </c>
      <c r="I1328" t="s">
        <v>90</v>
      </c>
      <c r="J1328" t="s">
        <v>145</v>
      </c>
      <c r="K1328" t="s">
        <v>262</v>
      </c>
      <c r="L1328" t="s">
        <v>3147</v>
      </c>
      <c r="M1328" t="s">
        <v>176</v>
      </c>
      <c r="N1328" t="s">
        <v>3148</v>
      </c>
      <c r="O1328" t="s">
        <v>380</v>
      </c>
      <c r="R1328" t="s">
        <v>3160</v>
      </c>
      <c r="S1328" t="s">
        <v>2854</v>
      </c>
      <c r="V1328" t="s">
        <v>2855</v>
      </c>
      <c r="W1328" t="s">
        <v>2856</v>
      </c>
      <c r="AD1328" t="s">
        <v>3161</v>
      </c>
    </row>
    <row r="1329" spans="1:32" x14ac:dyDescent="0.25">
      <c r="A1329" t="s">
        <v>33</v>
      </c>
      <c r="D1329" t="s">
        <v>2847</v>
      </c>
      <c r="E1329" t="s">
        <v>2848</v>
      </c>
      <c r="F1329" t="s">
        <v>87</v>
      </c>
      <c r="G1329" t="s">
        <v>3146</v>
      </c>
      <c r="H1329" t="s">
        <v>143</v>
      </c>
      <c r="I1329" t="s">
        <v>90</v>
      </c>
      <c r="J1329" t="s">
        <v>145</v>
      </c>
      <c r="K1329" t="s">
        <v>146</v>
      </c>
      <c r="L1329" t="s">
        <v>3147</v>
      </c>
      <c r="M1329" t="s">
        <v>176</v>
      </c>
      <c r="N1329" t="s">
        <v>3148</v>
      </c>
      <c r="O1329" t="s">
        <v>380</v>
      </c>
      <c r="R1329" t="s">
        <v>3162</v>
      </c>
      <c r="S1329" t="s">
        <v>2854</v>
      </c>
      <c r="V1329" t="s">
        <v>2855</v>
      </c>
      <c r="W1329" t="s">
        <v>2856</v>
      </c>
      <c r="AD1329" t="s">
        <v>3161</v>
      </c>
    </row>
    <row r="1330" spans="1:32" x14ac:dyDescent="0.25">
      <c r="A1330" t="s">
        <v>33</v>
      </c>
      <c r="D1330" t="s">
        <v>2847</v>
      </c>
      <c r="E1330" t="s">
        <v>2848</v>
      </c>
      <c r="F1330" t="s">
        <v>87</v>
      </c>
      <c r="G1330" t="s">
        <v>3146</v>
      </c>
      <c r="H1330" t="s">
        <v>153</v>
      </c>
      <c r="I1330" t="s">
        <v>100</v>
      </c>
      <c r="J1330" t="s">
        <v>154</v>
      </c>
      <c r="K1330" t="s">
        <v>155</v>
      </c>
      <c r="L1330" t="s">
        <v>3147</v>
      </c>
      <c r="N1330" t="s">
        <v>3148</v>
      </c>
      <c r="O1330" t="s">
        <v>448</v>
      </c>
      <c r="R1330" t="s">
        <v>3163</v>
      </c>
      <c r="S1330" t="s">
        <v>2854</v>
      </c>
      <c r="V1330" t="s">
        <v>2855</v>
      </c>
      <c r="W1330" t="s">
        <v>2856</v>
      </c>
      <c r="AD1330" t="s">
        <v>3164</v>
      </c>
    </row>
    <row r="1331" spans="1:32" x14ac:dyDescent="0.25">
      <c r="A1331" t="s">
        <v>33</v>
      </c>
      <c r="D1331" t="s">
        <v>2847</v>
      </c>
      <c r="E1331" t="s">
        <v>2848</v>
      </c>
      <c r="F1331" t="s">
        <v>87</v>
      </c>
      <c r="G1331" t="s">
        <v>3146</v>
      </c>
      <c r="H1331" t="s">
        <v>89</v>
      </c>
      <c r="I1331" t="s">
        <v>100</v>
      </c>
      <c r="J1331" t="s">
        <v>91</v>
      </c>
      <c r="K1331" t="s">
        <v>92</v>
      </c>
      <c r="L1331" t="s">
        <v>3147</v>
      </c>
      <c r="M1331" t="s">
        <v>94</v>
      </c>
      <c r="N1331" t="s">
        <v>3148</v>
      </c>
      <c r="O1331" t="s">
        <v>445</v>
      </c>
      <c r="P1331">
        <v>1E-3</v>
      </c>
      <c r="R1331" t="s">
        <v>3165</v>
      </c>
      <c r="S1331" t="s">
        <v>2854</v>
      </c>
      <c r="V1331" t="s">
        <v>2855</v>
      </c>
      <c r="W1331" t="s">
        <v>2856</v>
      </c>
      <c r="AD1331" t="s">
        <v>3166</v>
      </c>
    </row>
    <row r="1332" spans="1:32" x14ac:dyDescent="0.25">
      <c r="A1332" t="s">
        <v>33</v>
      </c>
      <c r="D1332" t="s">
        <v>2847</v>
      </c>
      <c r="E1332" t="s">
        <v>2848</v>
      </c>
      <c r="F1332" t="s">
        <v>87</v>
      </c>
      <c r="G1332" t="s">
        <v>3146</v>
      </c>
      <c r="H1332" t="s">
        <v>143</v>
      </c>
      <c r="I1332" t="s">
        <v>100</v>
      </c>
      <c r="J1332" t="s">
        <v>145</v>
      </c>
      <c r="K1332" t="s">
        <v>262</v>
      </c>
      <c r="L1332" t="s">
        <v>3147</v>
      </c>
      <c r="M1332" t="s">
        <v>176</v>
      </c>
      <c r="N1332" t="s">
        <v>3148</v>
      </c>
      <c r="O1332" t="s">
        <v>442</v>
      </c>
      <c r="R1332" t="s">
        <v>3167</v>
      </c>
      <c r="S1332" t="s">
        <v>2854</v>
      </c>
      <c r="V1332" t="s">
        <v>2855</v>
      </c>
      <c r="W1332" t="s">
        <v>2856</v>
      </c>
      <c r="AD1332" t="s">
        <v>3168</v>
      </c>
    </row>
    <row r="1333" spans="1:32" x14ac:dyDescent="0.25">
      <c r="A1333" t="s">
        <v>33</v>
      </c>
      <c r="D1333" t="s">
        <v>2847</v>
      </c>
      <c r="E1333" t="s">
        <v>2848</v>
      </c>
      <c r="F1333" t="s">
        <v>87</v>
      </c>
      <c r="G1333" t="s">
        <v>3146</v>
      </c>
      <c r="H1333" t="s">
        <v>143</v>
      </c>
      <c r="I1333" t="s">
        <v>100</v>
      </c>
      <c r="J1333" t="s">
        <v>145</v>
      </c>
      <c r="K1333" t="s">
        <v>146</v>
      </c>
      <c r="L1333" t="s">
        <v>3147</v>
      </c>
      <c r="M1333" t="s">
        <v>176</v>
      </c>
      <c r="N1333" t="s">
        <v>3148</v>
      </c>
      <c r="O1333" t="s">
        <v>442</v>
      </c>
      <c r="R1333" t="s">
        <v>3169</v>
      </c>
      <c r="S1333" t="s">
        <v>2854</v>
      </c>
      <c r="V1333" t="s">
        <v>2855</v>
      </c>
      <c r="W1333" t="s">
        <v>2856</v>
      </c>
      <c r="AD1333" t="s">
        <v>3168</v>
      </c>
    </row>
    <row r="1334" spans="1:32" x14ac:dyDescent="0.25">
      <c r="A1334" t="s">
        <v>33</v>
      </c>
      <c r="D1334" t="s">
        <v>2847</v>
      </c>
      <c r="E1334" t="s">
        <v>2848</v>
      </c>
      <c r="F1334" t="s">
        <v>87</v>
      </c>
      <c r="G1334" t="s">
        <v>3146</v>
      </c>
      <c r="H1334" t="s">
        <v>38</v>
      </c>
      <c r="I1334" t="s">
        <v>106</v>
      </c>
      <c r="J1334" t="s">
        <v>40</v>
      </c>
      <c r="K1334" t="s">
        <v>41</v>
      </c>
      <c r="L1334" t="s">
        <v>3147</v>
      </c>
      <c r="M1334" t="s">
        <v>176</v>
      </c>
      <c r="N1334" t="s">
        <v>3148</v>
      </c>
      <c r="O1334" t="s">
        <v>109</v>
      </c>
      <c r="R1334" t="s">
        <v>3170</v>
      </c>
      <c r="S1334" t="s">
        <v>2854</v>
      </c>
      <c r="V1334" t="s">
        <v>2855</v>
      </c>
      <c r="W1334" t="s">
        <v>2856</v>
      </c>
      <c r="AD1334" t="s">
        <v>3171</v>
      </c>
    </row>
    <row r="1335" spans="1:32" x14ac:dyDescent="0.25">
      <c r="A1335" t="s">
        <v>33</v>
      </c>
      <c r="D1335" t="s">
        <v>2847</v>
      </c>
      <c r="E1335" t="s">
        <v>2848</v>
      </c>
      <c r="F1335" t="s">
        <v>87</v>
      </c>
      <c r="G1335" t="s">
        <v>3146</v>
      </c>
      <c r="H1335" t="s">
        <v>38</v>
      </c>
      <c r="I1335" t="s">
        <v>25</v>
      </c>
      <c r="J1335" t="s">
        <v>69</v>
      </c>
      <c r="K1335" t="s">
        <v>41</v>
      </c>
      <c r="L1335" t="s">
        <v>3147</v>
      </c>
      <c r="M1335" t="s">
        <v>176</v>
      </c>
      <c r="N1335" t="s">
        <v>3148</v>
      </c>
      <c r="O1335" t="s">
        <v>512</v>
      </c>
      <c r="R1335" t="s">
        <v>1405</v>
      </c>
      <c r="S1335" t="s">
        <v>2854</v>
      </c>
      <c r="V1335" t="s">
        <v>2855</v>
      </c>
      <c r="W1335" t="s">
        <v>2856</v>
      </c>
      <c r="AD1335" t="s">
        <v>3172</v>
      </c>
    </row>
    <row r="1336" spans="1:32" x14ac:dyDescent="0.25">
      <c r="A1336" t="s">
        <v>33</v>
      </c>
      <c r="D1336" t="s">
        <v>2847</v>
      </c>
      <c r="E1336" t="s">
        <v>2848</v>
      </c>
      <c r="F1336" t="s">
        <v>87</v>
      </c>
      <c r="G1336" t="s">
        <v>3146</v>
      </c>
      <c r="H1336" t="s">
        <v>38</v>
      </c>
      <c r="I1336" t="s">
        <v>24</v>
      </c>
      <c r="J1336" t="s">
        <v>69</v>
      </c>
      <c r="K1336" t="s">
        <v>41</v>
      </c>
      <c r="L1336" t="s">
        <v>3147</v>
      </c>
      <c r="M1336" t="s">
        <v>176</v>
      </c>
      <c r="N1336" t="s">
        <v>3148</v>
      </c>
      <c r="O1336" t="s">
        <v>509</v>
      </c>
      <c r="R1336" t="s">
        <v>1407</v>
      </c>
      <c r="S1336" t="s">
        <v>2854</v>
      </c>
      <c r="V1336" t="s">
        <v>2855</v>
      </c>
      <c r="W1336" t="s">
        <v>2856</v>
      </c>
      <c r="AD1336" t="s">
        <v>3173</v>
      </c>
    </row>
    <row r="1337" spans="1:32" x14ac:dyDescent="0.25">
      <c r="A1337" t="s">
        <v>33</v>
      </c>
      <c r="D1337" t="s">
        <v>2847</v>
      </c>
      <c r="E1337" t="s">
        <v>2848</v>
      </c>
      <c r="F1337" t="s">
        <v>87</v>
      </c>
      <c r="G1337" t="s">
        <v>3174</v>
      </c>
      <c r="H1337" t="s">
        <v>153</v>
      </c>
      <c r="I1337" t="s">
        <v>144</v>
      </c>
      <c r="J1337" t="s">
        <v>154</v>
      </c>
      <c r="K1337" t="s">
        <v>155</v>
      </c>
      <c r="L1337" t="s">
        <v>3175</v>
      </c>
      <c r="N1337" t="s">
        <v>3176</v>
      </c>
      <c r="O1337" t="s">
        <v>213</v>
      </c>
      <c r="R1337" t="s">
        <v>3177</v>
      </c>
      <c r="S1337" t="s">
        <v>2854</v>
      </c>
      <c r="V1337" t="s">
        <v>2855</v>
      </c>
      <c r="W1337" t="s">
        <v>2856</v>
      </c>
      <c r="AD1337" t="s">
        <v>3178</v>
      </c>
    </row>
    <row r="1338" spans="1:32" x14ac:dyDescent="0.25">
      <c r="A1338" t="s">
        <v>33</v>
      </c>
      <c r="D1338" t="s">
        <v>2847</v>
      </c>
      <c r="E1338" t="s">
        <v>2848</v>
      </c>
      <c r="F1338" t="s">
        <v>87</v>
      </c>
      <c r="G1338" t="s">
        <v>3174</v>
      </c>
      <c r="H1338" t="s">
        <v>89</v>
      </c>
      <c r="I1338" t="s">
        <v>144</v>
      </c>
      <c r="J1338" t="s">
        <v>91</v>
      </c>
      <c r="K1338" t="s">
        <v>92</v>
      </c>
      <c r="L1338" t="s">
        <v>3175</v>
      </c>
      <c r="M1338" t="s">
        <v>94</v>
      </c>
      <c r="N1338" t="s">
        <v>3176</v>
      </c>
      <c r="O1338" t="s">
        <v>96</v>
      </c>
      <c r="P1338">
        <v>1E-3</v>
      </c>
      <c r="R1338" t="s">
        <v>3179</v>
      </c>
      <c r="S1338" t="s">
        <v>2854</v>
      </c>
      <c r="V1338" t="s">
        <v>2855</v>
      </c>
      <c r="W1338" t="s">
        <v>2856</v>
      </c>
      <c r="AD1338" t="s">
        <v>3180</v>
      </c>
    </row>
    <row r="1339" spans="1:32" x14ac:dyDescent="0.25">
      <c r="A1339" t="s">
        <v>33</v>
      </c>
      <c r="D1339" t="s">
        <v>2847</v>
      </c>
      <c r="E1339" t="s">
        <v>2848</v>
      </c>
      <c r="F1339" t="s">
        <v>87</v>
      </c>
      <c r="G1339" t="s">
        <v>3174</v>
      </c>
      <c r="H1339" t="s">
        <v>166</v>
      </c>
      <c r="I1339" t="s">
        <v>216</v>
      </c>
      <c r="J1339" t="s">
        <v>167</v>
      </c>
      <c r="K1339" t="s">
        <v>41</v>
      </c>
      <c r="L1339" t="s">
        <v>3175</v>
      </c>
      <c r="N1339" t="s">
        <v>3176</v>
      </c>
      <c r="O1339" t="s">
        <v>217</v>
      </c>
      <c r="Q1339" t="s">
        <v>1199</v>
      </c>
      <c r="R1339" t="s">
        <v>3181</v>
      </c>
      <c r="S1339" t="s">
        <v>2854</v>
      </c>
      <c r="V1339" t="s">
        <v>2855</v>
      </c>
      <c r="W1339" t="s">
        <v>2856</v>
      </c>
      <c r="AD1339" t="s">
        <v>3182</v>
      </c>
    </row>
    <row r="1340" spans="1:32" x14ac:dyDescent="0.25">
      <c r="A1340" t="s">
        <v>33</v>
      </c>
      <c r="D1340" t="s">
        <v>2847</v>
      </c>
      <c r="E1340" t="s">
        <v>2848</v>
      </c>
      <c r="F1340" t="s">
        <v>87</v>
      </c>
      <c r="G1340" t="s">
        <v>3183</v>
      </c>
      <c r="H1340" t="s">
        <v>153</v>
      </c>
      <c r="I1340" t="s">
        <v>144</v>
      </c>
      <c r="J1340" t="s">
        <v>154</v>
      </c>
      <c r="K1340" t="s">
        <v>155</v>
      </c>
      <c r="L1340" t="s">
        <v>3184</v>
      </c>
      <c r="N1340" t="s">
        <v>3185</v>
      </c>
      <c r="O1340" t="s">
        <v>213</v>
      </c>
      <c r="R1340" t="s">
        <v>3186</v>
      </c>
      <c r="S1340" t="s">
        <v>2854</v>
      </c>
      <c r="V1340" t="s">
        <v>2855</v>
      </c>
      <c r="W1340" t="s">
        <v>2856</v>
      </c>
      <c r="AC1340" t="s">
        <v>3187</v>
      </c>
      <c r="AD1340" t="s">
        <v>3188</v>
      </c>
      <c r="AE1340" t="s">
        <v>3189</v>
      </c>
      <c r="AF1340">
        <v>1</v>
      </c>
    </row>
    <row r="1341" spans="1:32" x14ac:dyDescent="0.25">
      <c r="A1341" t="s">
        <v>33</v>
      </c>
      <c r="D1341" t="s">
        <v>2847</v>
      </c>
      <c r="E1341" t="s">
        <v>2848</v>
      </c>
      <c r="F1341" t="s">
        <v>87</v>
      </c>
      <c r="G1341" t="s">
        <v>3183</v>
      </c>
      <c r="H1341" t="s">
        <v>89</v>
      </c>
      <c r="I1341" t="s">
        <v>144</v>
      </c>
      <c r="J1341" t="s">
        <v>91</v>
      </c>
      <c r="K1341" t="s">
        <v>92</v>
      </c>
      <c r="L1341" t="s">
        <v>3184</v>
      </c>
      <c r="M1341" t="s">
        <v>94</v>
      </c>
      <c r="N1341" t="s">
        <v>3185</v>
      </c>
      <c r="O1341" t="s">
        <v>96</v>
      </c>
      <c r="P1341">
        <v>1E-3</v>
      </c>
      <c r="R1341" t="s">
        <v>3190</v>
      </c>
      <c r="S1341" t="s">
        <v>2854</v>
      </c>
      <c r="V1341" t="s">
        <v>2855</v>
      </c>
      <c r="W1341" t="s">
        <v>2856</v>
      </c>
      <c r="AD1341" t="s">
        <v>3191</v>
      </c>
    </row>
    <row r="1342" spans="1:32" x14ac:dyDescent="0.25">
      <c r="A1342" t="s">
        <v>33</v>
      </c>
      <c r="D1342" t="s">
        <v>2847</v>
      </c>
      <c r="E1342" t="s">
        <v>2848</v>
      </c>
      <c r="F1342" t="s">
        <v>87</v>
      </c>
      <c r="G1342" t="s">
        <v>3183</v>
      </c>
      <c r="H1342" t="s">
        <v>166</v>
      </c>
      <c r="I1342" t="s">
        <v>216</v>
      </c>
      <c r="J1342" t="s">
        <v>167</v>
      </c>
      <c r="K1342" t="s">
        <v>41</v>
      </c>
      <c r="L1342" t="s">
        <v>3184</v>
      </c>
      <c r="N1342" t="s">
        <v>3185</v>
      </c>
      <c r="O1342" t="s">
        <v>217</v>
      </c>
      <c r="Q1342" t="s">
        <v>3192</v>
      </c>
      <c r="R1342" t="s">
        <v>3193</v>
      </c>
      <c r="S1342" t="s">
        <v>2854</v>
      </c>
      <c r="V1342" t="s">
        <v>2855</v>
      </c>
      <c r="W1342" t="s">
        <v>2856</v>
      </c>
      <c r="AD1342" t="s">
        <v>3194</v>
      </c>
    </row>
    <row r="1343" spans="1:32" x14ac:dyDescent="0.25">
      <c r="A1343" t="s">
        <v>33</v>
      </c>
      <c r="D1343" t="s">
        <v>2847</v>
      </c>
      <c r="E1343" t="s">
        <v>2848</v>
      </c>
      <c r="F1343" t="s">
        <v>87</v>
      </c>
      <c r="G1343" t="s">
        <v>3195</v>
      </c>
      <c r="H1343" t="s">
        <v>153</v>
      </c>
      <c r="I1343" t="s">
        <v>144</v>
      </c>
      <c r="J1343" t="s">
        <v>154</v>
      </c>
      <c r="K1343" t="s">
        <v>155</v>
      </c>
      <c r="L1343" t="s">
        <v>3196</v>
      </c>
      <c r="N1343" t="s">
        <v>3197</v>
      </c>
      <c r="O1343" t="s">
        <v>213</v>
      </c>
      <c r="R1343" t="s">
        <v>3198</v>
      </c>
      <c r="S1343" t="s">
        <v>2854</v>
      </c>
      <c r="V1343" t="s">
        <v>2855</v>
      </c>
      <c r="W1343" t="s">
        <v>2856</v>
      </c>
      <c r="AD1343" t="s">
        <v>3199</v>
      </c>
    </row>
    <row r="1344" spans="1:32" x14ac:dyDescent="0.25">
      <c r="A1344" t="s">
        <v>33</v>
      </c>
      <c r="D1344" t="s">
        <v>2847</v>
      </c>
      <c r="E1344" t="s">
        <v>2848</v>
      </c>
      <c r="F1344" t="s">
        <v>87</v>
      </c>
      <c r="G1344" t="s">
        <v>3195</v>
      </c>
      <c r="H1344" t="s">
        <v>89</v>
      </c>
      <c r="I1344" t="s">
        <v>144</v>
      </c>
      <c r="J1344" t="s">
        <v>91</v>
      </c>
      <c r="K1344" t="s">
        <v>92</v>
      </c>
      <c r="L1344" t="s">
        <v>3196</v>
      </c>
      <c r="M1344" t="s">
        <v>94</v>
      </c>
      <c r="N1344" t="s">
        <v>3197</v>
      </c>
      <c r="O1344" t="s">
        <v>96</v>
      </c>
      <c r="P1344">
        <v>1E-3</v>
      </c>
      <c r="R1344" t="s">
        <v>3200</v>
      </c>
      <c r="S1344" t="s">
        <v>2854</v>
      </c>
      <c r="V1344" t="s">
        <v>2855</v>
      </c>
      <c r="W1344" t="s">
        <v>2856</v>
      </c>
      <c r="AD1344" t="s">
        <v>3201</v>
      </c>
    </row>
    <row r="1345" spans="1:32" x14ac:dyDescent="0.25">
      <c r="A1345" t="s">
        <v>33</v>
      </c>
      <c r="D1345" t="s">
        <v>2847</v>
      </c>
      <c r="E1345" t="s">
        <v>2848</v>
      </c>
      <c r="F1345" t="s">
        <v>87</v>
      </c>
      <c r="G1345" t="s">
        <v>3195</v>
      </c>
      <c r="H1345" t="s">
        <v>166</v>
      </c>
      <c r="I1345" t="s">
        <v>216</v>
      </c>
      <c r="J1345" t="s">
        <v>167</v>
      </c>
      <c r="K1345" t="s">
        <v>41</v>
      </c>
      <c r="L1345" t="s">
        <v>3196</v>
      </c>
      <c r="N1345" t="s">
        <v>3197</v>
      </c>
      <c r="O1345" t="s">
        <v>217</v>
      </c>
      <c r="Q1345" t="s">
        <v>3192</v>
      </c>
      <c r="R1345" t="s">
        <v>3202</v>
      </c>
      <c r="S1345" t="s">
        <v>2854</v>
      </c>
      <c r="V1345" t="s">
        <v>2855</v>
      </c>
      <c r="W1345" t="s">
        <v>2856</v>
      </c>
      <c r="AD1345" t="s">
        <v>3203</v>
      </c>
    </row>
    <row r="1346" spans="1:32" x14ac:dyDescent="0.25">
      <c r="A1346" t="s">
        <v>33</v>
      </c>
      <c r="D1346" t="s">
        <v>2847</v>
      </c>
      <c r="E1346" t="s">
        <v>2848</v>
      </c>
      <c r="F1346" t="s">
        <v>87</v>
      </c>
      <c r="G1346" t="s">
        <v>3204</v>
      </c>
      <c r="H1346" t="s">
        <v>153</v>
      </c>
      <c r="I1346" t="s">
        <v>144</v>
      </c>
      <c r="J1346" t="s">
        <v>154</v>
      </c>
      <c r="K1346" t="s">
        <v>155</v>
      </c>
      <c r="L1346" t="s">
        <v>3205</v>
      </c>
      <c r="N1346" t="s">
        <v>3206</v>
      </c>
      <c r="O1346" t="s">
        <v>213</v>
      </c>
      <c r="R1346" t="s">
        <v>3207</v>
      </c>
      <c r="S1346" t="s">
        <v>2854</v>
      </c>
      <c r="V1346" t="s">
        <v>2855</v>
      </c>
      <c r="W1346" t="s">
        <v>2856</v>
      </c>
      <c r="AC1346" t="s">
        <v>3208</v>
      </c>
      <c r="AD1346" t="s">
        <v>3209</v>
      </c>
      <c r="AE1346" t="s">
        <v>2995</v>
      </c>
      <c r="AF1346">
        <v>2</v>
      </c>
    </row>
    <row r="1347" spans="1:32" x14ac:dyDescent="0.25">
      <c r="A1347" t="s">
        <v>33</v>
      </c>
      <c r="D1347" t="s">
        <v>2847</v>
      </c>
      <c r="E1347" t="s">
        <v>2848</v>
      </c>
      <c r="F1347" t="s">
        <v>87</v>
      </c>
      <c r="G1347" t="s">
        <v>3204</v>
      </c>
      <c r="H1347" t="s">
        <v>89</v>
      </c>
      <c r="I1347" t="s">
        <v>144</v>
      </c>
      <c r="J1347" t="s">
        <v>91</v>
      </c>
      <c r="K1347" t="s">
        <v>92</v>
      </c>
      <c r="L1347" t="s">
        <v>3205</v>
      </c>
      <c r="M1347" t="s">
        <v>94</v>
      </c>
      <c r="N1347" t="s">
        <v>3206</v>
      </c>
      <c r="O1347" t="s">
        <v>96</v>
      </c>
      <c r="P1347">
        <v>1E-3</v>
      </c>
      <c r="R1347" t="s">
        <v>3210</v>
      </c>
      <c r="S1347" t="s">
        <v>2854</v>
      </c>
      <c r="V1347" t="s">
        <v>2855</v>
      </c>
      <c r="W1347" t="s">
        <v>2856</v>
      </c>
      <c r="AD1347" t="s">
        <v>3211</v>
      </c>
    </row>
    <row r="1348" spans="1:32" x14ac:dyDescent="0.25">
      <c r="A1348" t="s">
        <v>33</v>
      </c>
      <c r="D1348" t="s">
        <v>2847</v>
      </c>
      <c r="E1348" t="s">
        <v>2848</v>
      </c>
      <c r="F1348" t="s">
        <v>87</v>
      </c>
      <c r="G1348" t="s">
        <v>3204</v>
      </c>
      <c r="H1348" t="s">
        <v>166</v>
      </c>
      <c r="I1348" t="s">
        <v>216</v>
      </c>
      <c r="J1348" t="s">
        <v>167</v>
      </c>
      <c r="K1348" t="s">
        <v>41</v>
      </c>
      <c r="L1348" t="s">
        <v>3205</v>
      </c>
      <c r="N1348" t="s">
        <v>3206</v>
      </c>
      <c r="O1348" t="s">
        <v>217</v>
      </c>
      <c r="Q1348" t="s">
        <v>1199</v>
      </c>
      <c r="R1348" t="s">
        <v>3212</v>
      </c>
      <c r="S1348" t="s">
        <v>2854</v>
      </c>
      <c r="V1348" t="s">
        <v>2855</v>
      </c>
      <c r="W1348" t="s">
        <v>2856</v>
      </c>
      <c r="AD1348" t="s">
        <v>3213</v>
      </c>
    </row>
    <row r="1349" spans="1:32" x14ac:dyDescent="0.25">
      <c r="A1349" t="s">
        <v>33</v>
      </c>
      <c r="D1349" t="s">
        <v>2847</v>
      </c>
      <c r="E1349" t="s">
        <v>2848</v>
      </c>
      <c r="F1349" t="s">
        <v>87</v>
      </c>
      <c r="G1349" t="s">
        <v>3214</v>
      </c>
      <c r="H1349" t="s">
        <v>153</v>
      </c>
      <c r="I1349" t="s">
        <v>144</v>
      </c>
      <c r="J1349" t="s">
        <v>154</v>
      </c>
      <c r="K1349" t="s">
        <v>155</v>
      </c>
      <c r="L1349" t="s">
        <v>3215</v>
      </c>
      <c r="N1349" t="s">
        <v>3216</v>
      </c>
      <c r="O1349" t="s">
        <v>213</v>
      </c>
      <c r="R1349" t="s">
        <v>3217</v>
      </c>
      <c r="S1349" t="s">
        <v>2854</v>
      </c>
      <c r="V1349" t="s">
        <v>2855</v>
      </c>
      <c r="W1349" t="s">
        <v>2856</v>
      </c>
      <c r="AC1349" t="s">
        <v>3218</v>
      </c>
      <c r="AD1349" t="s">
        <v>3219</v>
      </c>
      <c r="AE1349" t="s">
        <v>3034</v>
      </c>
      <c r="AF1349">
        <v>2</v>
      </c>
    </row>
    <row r="1350" spans="1:32" x14ac:dyDescent="0.25">
      <c r="A1350" t="s">
        <v>33</v>
      </c>
      <c r="D1350" t="s">
        <v>2847</v>
      </c>
      <c r="E1350" t="s">
        <v>2848</v>
      </c>
      <c r="F1350" t="s">
        <v>87</v>
      </c>
      <c r="G1350" t="s">
        <v>3214</v>
      </c>
      <c r="H1350" t="s">
        <v>89</v>
      </c>
      <c r="I1350" t="s">
        <v>144</v>
      </c>
      <c r="J1350" t="s">
        <v>91</v>
      </c>
      <c r="K1350" t="s">
        <v>92</v>
      </c>
      <c r="L1350" t="s">
        <v>3215</v>
      </c>
      <c r="M1350" t="s">
        <v>94</v>
      </c>
      <c r="N1350" t="s">
        <v>3216</v>
      </c>
      <c r="O1350" t="s">
        <v>96</v>
      </c>
      <c r="P1350">
        <v>1E-3</v>
      </c>
      <c r="R1350" t="s">
        <v>3220</v>
      </c>
      <c r="S1350" t="s">
        <v>2854</v>
      </c>
      <c r="V1350" t="s">
        <v>2855</v>
      </c>
      <c r="W1350" t="s">
        <v>2856</v>
      </c>
      <c r="AD1350" t="s">
        <v>3221</v>
      </c>
    </row>
    <row r="1351" spans="1:32" x14ac:dyDescent="0.25">
      <c r="A1351" t="s">
        <v>33</v>
      </c>
      <c r="D1351" t="s">
        <v>2847</v>
      </c>
      <c r="E1351" t="s">
        <v>2848</v>
      </c>
      <c r="F1351" t="s">
        <v>87</v>
      </c>
      <c r="G1351" t="s">
        <v>3214</v>
      </c>
      <c r="H1351" t="s">
        <v>166</v>
      </c>
      <c r="I1351" t="s">
        <v>216</v>
      </c>
      <c r="J1351" t="s">
        <v>167</v>
      </c>
      <c r="K1351" t="s">
        <v>41</v>
      </c>
      <c r="L1351" t="s">
        <v>3215</v>
      </c>
      <c r="N1351" t="s">
        <v>3216</v>
      </c>
      <c r="O1351" t="s">
        <v>217</v>
      </c>
      <c r="Q1351" t="s">
        <v>1199</v>
      </c>
      <c r="R1351" t="s">
        <v>3222</v>
      </c>
      <c r="S1351" t="s">
        <v>2854</v>
      </c>
      <c r="V1351" t="s">
        <v>2855</v>
      </c>
      <c r="W1351" t="s">
        <v>2856</v>
      </c>
      <c r="AD1351" t="s">
        <v>3223</v>
      </c>
    </row>
    <row r="1352" spans="1:32" x14ac:dyDescent="0.25">
      <c r="A1352" t="s">
        <v>33</v>
      </c>
      <c r="D1352" t="s">
        <v>2847</v>
      </c>
      <c r="E1352" t="s">
        <v>2848</v>
      </c>
      <c r="F1352" t="s">
        <v>87</v>
      </c>
      <c r="G1352" t="s">
        <v>3224</v>
      </c>
      <c r="H1352" t="s">
        <v>153</v>
      </c>
      <c r="I1352" t="s">
        <v>180</v>
      </c>
      <c r="J1352" t="s">
        <v>154</v>
      </c>
      <c r="K1352" t="s">
        <v>155</v>
      </c>
      <c r="L1352" t="s">
        <v>3225</v>
      </c>
      <c r="N1352" t="s">
        <v>3185</v>
      </c>
      <c r="O1352" t="s">
        <v>213</v>
      </c>
      <c r="R1352" t="s">
        <v>3226</v>
      </c>
      <c r="S1352" t="s">
        <v>2854</v>
      </c>
      <c r="V1352" t="s">
        <v>2855</v>
      </c>
      <c r="W1352" t="s">
        <v>2856</v>
      </c>
      <c r="AD1352" t="s">
        <v>3188</v>
      </c>
    </row>
    <row r="1353" spans="1:32" x14ac:dyDescent="0.25">
      <c r="A1353" t="s">
        <v>33</v>
      </c>
      <c r="D1353" t="s">
        <v>2847</v>
      </c>
      <c r="E1353" t="s">
        <v>2848</v>
      </c>
      <c r="F1353" t="s">
        <v>87</v>
      </c>
      <c r="G1353" t="s">
        <v>3224</v>
      </c>
      <c r="H1353" t="s">
        <v>89</v>
      </c>
      <c r="I1353" t="s">
        <v>180</v>
      </c>
      <c r="J1353" t="s">
        <v>91</v>
      </c>
      <c r="K1353" t="s">
        <v>92</v>
      </c>
      <c r="L1353" t="s">
        <v>3225</v>
      </c>
      <c r="M1353" t="s">
        <v>94</v>
      </c>
      <c r="N1353" t="s">
        <v>3185</v>
      </c>
      <c r="O1353" t="s">
        <v>96</v>
      </c>
      <c r="P1353">
        <v>1E-3</v>
      </c>
      <c r="R1353" t="s">
        <v>3227</v>
      </c>
      <c r="S1353" t="s">
        <v>2854</v>
      </c>
      <c r="V1353" t="s">
        <v>2855</v>
      </c>
      <c r="W1353" t="s">
        <v>2856</v>
      </c>
      <c r="AD1353" t="s">
        <v>3191</v>
      </c>
    </row>
    <row r="1354" spans="1:32" x14ac:dyDescent="0.25">
      <c r="A1354" t="s">
        <v>33</v>
      </c>
      <c r="D1354" t="s">
        <v>2847</v>
      </c>
      <c r="E1354" t="s">
        <v>2848</v>
      </c>
      <c r="F1354" t="s">
        <v>87</v>
      </c>
      <c r="G1354" t="s">
        <v>3224</v>
      </c>
      <c r="H1354" t="s">
        <v>166</v>
      </c>
      <c r="I1354" t="s">
        <v>216</v>
      </c>
      <c r="J1354" t="s">
        <v>167</v>
      </c>
      <c r="K1354" t="s">
        <v>41</v>
      </c>
      <c r="L1354" t="s">
        <v>3225</v>
      </c>
      <c r="N1354" t="s">
        <v>3185</v>
      </c>
      <c r="O1354" t="s">
        <v>217</v>
      </c>
      <c r="Q1354" t="s">
        <v>3228</v>
      </c>
      <c r="R1354" t="s">
        <v>3229</v>
      </c>
      <c r="S1354" t="s">
        <v>2854</v>
      </c>
      <c r="V1354" t="s">
        <v>2855</v>
      </c>
      <c r="W1354" t="s">
        <v>2856</v>
      </c>
      <c r="AD1354" t="s">
        <v>3194</v>
      </c>
    </row>
    <row r="1355" spans="1:32" x14ac:dyDescent="0.25">
      <c r="A1355" t="s">
        <v>33</v>
      </c>
      <c r="D1355" t="s">
        <v>2847</v>
      </c>
      <c r="E1355" t="s">
        <v>2848</v>
      </c>
      <c r="F1355" t="s">
        <v>87</v>
      </c>
      <c r="G1355" t="s">
        <v>3230</v>
      </c>
      <c r="H1355" t="s">
        <v>153</v>
      </c>
      <c r="I1355" t="s">
        <v>180</v>
      </c>
      <c r="J1355" t="s">
        <v>154</v>
      </c>
      <c r="K1355" t="s">
        <v>155</v>
      </c>
      <c r="L1355" t="s">
        <v>3231</v>
      </c>
      <c r="N1355" t="s">
        <v>3232</v>
      </c>
      <c r="O1355" t="s">
        <v>213</v>
      </c>
      <c r="R1355" t="s">
        <v>3233</v>
      </c>
      <c r="S1355" t="s">
        <v>2854</v>
      </c>
      <c r="V1355" t="s">
        <v>2855</v>
      </c>
      <c r="W1355" t="s">
        <v>2856</v>
      </c>
      <c r="AD1355" t="s">
        <v>3234</v>
      </c>
    </row>
    <row r="1356" spans="1:32" x14ac:dyDescent="0.25">
      <c r="A1356" t="s">
        <v>33</v>
      </c>
      <c r="D1356" t="s">
        <v>2847</v>
      </c>
      <c r="E1356" t="s">
        <v>2848</v>
      </c>
      <c r="F1356" t="s">
        <v>87</v>
      </c>
      <c r="G1356" t="s">
        <v>3230</v>
      </c>
      <c r="H1356" t="s">
        <v>89</v>
      </c>
      <c r="I1356" t="s">
        <v>180</v>
      </c>
      <c r="J1356" t="s">
        <v>91</v>
      </c>
      <c r="K1356" t="s">
        <v>92</v>
      </c>
      <c r="L1356" t="s">
        <v>3231</v>
      </c>
      <c r="M1356" t="s">
        <v>94</v>
      </c>
      <c r="N1356" t="s">
        <v>3232</v>
      </c>
      <c r="O1356" t="s">
        <v>96</v>
      </c>
      <c r="P1356">
        <v>1E-3</v>
      </c>
      <c r="R1356" t="s">
        <v>3235</v>
      </c>
      <c r="S1356" t="s">
        <v>2854</v>
      </c>
      <c r="V1356" t="s">
        <v>2855</v>
      </c>
      <c r="W1356" t="s">
        <v>2856</v>
      </c>
      <c r="AD1356" t="s">
        <v>3236</v>
      </c>
    </row>
    <row r="1357" spans="1:32" x14ac:dyDescent="0.25">
      <c r="A1357" t="s">
        <v>33</v>
      </c>
      <c r="D1357" t="s">
        <v>2847</v>
      </c>
      <c r="E1357" t="s">
        <v>2848</v>
      </c>
      <c r="F1357" t="s">
        <v>87</v>
      </c>
      <c r="G1357" t="s">
        <v>3230</v>
      </c>
      <c r="H1357" t="s">
        <v>166</v>
      </c>
      <c r="I1357" t="s">
        <v>216</v>
      </c>
      <c r="J1357" t="s">
        <v>167</v>
      </c>
      <c r="K1357" t="s">
        <v>41</v>
      </c>
      <c r="L1357" t="s">
        <v>3231</v>
      </c>
      <c r="N1357" t="s">
        <v>3232</v>
      </c>
      <c r="O1357" t="s">
        <v>217</v>
      </c>
      <c r="Q1357" t="s">
        <v>1227</v>
      </c>
      <c r="R1357" t="s">
        <v>3237</v>
      </c>
      <c r="S1357" t="s">
        <v>2854</v>
      </c>
      <c r="V1357" t="s">
        <v>2855</v>
      </c>
      <c r="W1357" t="s">
        <v>2856</v>
      </c>
      <c r="AD1357" t="s">
        <v>3238</v>
      </c>
    </row>
    <row r="1358" spans="1:32" x14ac:dyDescent="0.25">
      <c r="A1358" t="s">
        <v>33</v>
      </c>
      <c r="D1358" t="s">
        <v>2847</v>
      </c>
      <c r="E1358" t="s">
        <v>2848</v>
      </c>
      <c r="F1358" t="s">
        <v>87</v>
      </c>
      <c r="G1358" t="s">
        <v>3239</v>
      </c>
      <c r="H1358" t="s">
        <v>166</v>
      </c>
      <c r="I1358" t="s">
        <v>216</v>
      </c>
      <c r="J1358" t="s">
        <v>167</v>
      </c>
      <c r="K1358" t="s">
        <v>41</v>
      </c>
      <c r="L1358" t="s">
        <v>3240</v>
      </c>
      <c r="N1358" t="s">
        <v>3241</v>
      </c>
      <c r="O1358" t="s">
        <v>217</v>
      </c>
      <c r="Q1358" t="s">
        <v>3228</v>
      </c>
      <c r="R1358" t="s">
        <v>3242</v>
      </c>
      <c r="S1358" t="s">
        <v>2854</v>
      </c>
      <c r="V1358" t="s">
        <v>2855</v>
      </c>
      <c r="W1358" t="s">
        <v>2856</v>
      </c>
      <c r="AD1358" t="s">
        <v>3243</v>
      </c>
    </row>
    <row r="1359" spans="1:32" x14ac:dyDescent="0.25">
      <c r="A1359" t="s">
        <v>33</v>
      </c>
      <c r="D1359" t="s">
        <v>2847</v>
      </c>
      <c r="E1359" t="s">
        <v>2848</v>
      </c>
      <c r="F1359" t="s">
        <v>87</v>
      </c>
      <c r="G1359" t="s">
        <v>3244</v>
      </c>
      <c r="H1359" t="s">
        <v>153</v>
      </c>
      <c r="I1359" t="s">
        <v>180</v>
      </c>
      <c r="J1359" t="s">
        <v>154</v>
      </c>
      <c r="K1359" t="s">
        <v>155</v>
      </c>
      <c r="L1359" t="s">
        <v>3245</v>
      </c>
      <c r="N1359" t="s">
        <v>3246</v>
      </c>
      <c r="O1359" t="s">
        <v>213</v>
      </c>
      <c r="R1359" t="s">
        <v>3247</v>
      </c>
      <c r="S1359" t="s">
        <v>2854</v>
      </c>
      <c r="V1359" t="s">
        <v>2855</v>
      </c>
      <c r="W1359" t="s">
        <v>2856</v>
      </c>
      <c r="AC1359" t="s">
        <v>3248</v>
      </c>
      <c r="AD1359" t="s">
        <v>3249</v>
      </c>
      <c r="AE1359" t="s">
        <v>2995</v>
      </c>
      <c r="AF1359">
        <v>3</v>
      </c>
    </row>
    <row r="1360" spans="1:32" x14ac:dyDescent="0.25">
      <c r="A1360" t="s">
        <v>33</v>
      </c>
      <c r="D1360" t="s">
        <v>2847</v>
      </c>
      <c r="E1360" t="s">
        <v>2848</v>
      </c>
      <c r="F1360" t="s">
        <v>87</v>
      </c>
      <c r="G1360" t="s">
        <v>3244</v>
      </c>
      <c r="H1360" t="s">
        <v>89</v>
      </c>
      <c r="I1360" t="s">
        <v>180</v>
      </c>
      <c r="J1360" t="s">
        <v>91</v>
      </c>
      <c r="K1360" t="s">
        <v>92</v>
      </c>
      <c r="L1360" t="s">
        <v>3245</v>
      </c>
      <c r="M1360" t="s">
        <v>94</v>
      </c>
      <c r="N1360" t="s">
        <v>3246</v>
      </c>
      <c r="O1360" t="s">
        <v>96</v>
      </c>
      <c r="P1360">
        <v>1E-3</v>
      </c>
      <c r="R1360" t="s">
        <v>3250</v>
      </c>
      <c r="S1360" t="s">
        <v>2854</v>
      </c>
      <c r="V1360" t="s">
        <v>2855</v>
      </c>
      <c r="W1360" t="s">
        <v>2856</v>
      </c>
      <c r="AD1360" t="s">
        <v>3251</v>
      </c>
    </row>
    <row r="1361" spans="1:32" x14ac:dyDescent="0.25">
      <c r="A1361" t="s">
        <v>33</v>
      </c>
      <c r="D1361" t="s">
        <v>2847</v>
      </c>
      <c r="E1361" t="s">
        <v>2848</v>
      </c>
      <c r="F1361" t="s">
        <v>87</v>
      </c>
      <c r="G1361" t="s">
        <v>3244</v>
      </c>
      <c r="H1361" t="s">
        <v>166</v>
      </c>
      <c r="I1361" t="s">
        <v>216</v>
      </c>
      <c r="J1361" t="s">
        <v>167</v>
      </c>
      <c r="K1361" t="s">
        <v>41</v>
      </c>
      <c r="L1361" t="s">
        <v>3245</v>
      </c>
      <c r="N1361" t="s">
        <v>3246</v>
      </c>
      <c r="O1361" t="s">
        <v>217</v>
      </c>
      <c r="Q1361" t="s">
        <v>1227</v>
      </c>
      <c r="R1361" t="s">
        <v>3252</v>
      </c>
      <c r="S1361" t="s">
        <v>2854</v>
      </c>
      <c r="V1361" t="s">
        <v>2855</v>
      </c>
      <c r="W1361" t="s">
        <v>2856</v>
      </c>
      <c r="AD1361" t="s">
        <v>3253</v>
      </c>
    </row>
    <row r="1362" spans="1:32" x14ac:dyDescent="0.25">
      <c r="A1362" t="s">
        <v>33</v>
      </c>
      <c r="D1362" t="s">
        <v>2847</v>
      </c>
      <c r="E1362" t="s">
        <v>2848</v>
      </c>
      <c r="F1362" t="s">
        <v>87</v>
      </c>
      <c r="G1362" t="s">
        <v>3254</v>
      </c>
      <c r="H1362" t="s">
        <v>153</v>
      </c>
      <c r="I1362" t="s">
        <v>180</v>
      </c>
      <c r="J1362" t="s">
        <v>154</v>
      </c>
      <c r="K1362" t="s">
        <v>155</v>
      </c>
      <c r="L1362" t="s">
        <v>3255</v>
      </c>
      <c r="N1362" t="s">
        <v>3256</v>
      </c>
      <c r="O1362" t="s">
        <v>213</v>
      </c>
      <c r="R1362" t="s">
        <v>3257</v>
      </c>
      <c r="S1362" t="s">
        <v>2854</v>
      </c>
      <c r="V1362" t="s">
        <v>2855</v>
      </c>
      <c r="W1362" t="s">
        <v>2856</v>
      </c>
      <c r="AC1362" t="s">
        <v>3258</v>
      </c>
      <c r="AD1362" t="s">
        <v>3259</v>
      </c>
      <c r="AE1362" t="s">
        <v>3034</v>
      </c>
      <c r="AF1362">
        <v>3</v>
      </c>
    </row>
    <row r="1363" spans="1:32" x14ac:dyDescent="0.25">
      <c r="A1363" t="s">
        <v>33</v>
      </c>
      <c r="D1363" t="s">
        <v>2847</v>
      </c>
      <c r="E1363" t="s">
        <v>2848</v>
      </c>
      <c r="F1363" t="s">
        <v>87</v>
      </c>
      <c r="G1363" t="s">
        <v>3254</v>
      </c>
      <c r="H1363" t="s">
        <v>89</v>
      </c>
      <c r="I1363" t="s">
        <v>180</v>
      </c>
      <c r="J1363" t="s">
        <v>91</v>
      </c>
      <c r="K1363" t="s">
        <v>92</v>
      </c>
      <c r="L1363" t="s">
        <v>3255</v>
      </c>
      <c r="M1363" t="s">
        <v>94</v>
      </c>
      <c r="N1363" t="s">
        <v>3256</v>
      </c>
      <c r="O1363" t="s">
        <v>96</v>
      </c>
      <c r="P1363">
        <v>1E-3</v>
      </c>
      <c r="R1363" t="s">
        <v>3260</v>
      </c>
      <c r="S1363" t="s">
        <v>2854</v>
      </c>
      <c r="V1363" t="s">
        <v>2855</v>
      </c>
      <c r="W1363" t="s">
        <v>2856</v>
      </c>
      <c r="AD1363" t="s">
        <v>3261</v>
      </c>
    </row>
    <row r="1364" spans="1:32" x14ac:dyDescent="0.25">
      <c r="A1364" t="s">
        <v>33</v>
      </c>
      <c r="D1364" t="s">
        <v>2847</v>
      </c>
      <c r="E1364" t="s">
        <v>2848</v>
      </c>
      <c r="F1364" t="s">
        <v>87</v>
      </c>
      <c r="G1364" t="s">
        <v>3254</v>
      </c>
      <c r="H1364" t="s">
        <v>166</v>
      </c>
      <c r="I1364" t="s">
        <v>216</v>
      </c>
      <c r="J1364" t="s">
        <v>167</v>
      </c>
      <c r="K1364" t="s">
        <v>41</v>
      </c>
      <c r="L1364" t="s">
        <v>3255</v>
      </c>
      <c r="N1364" t="s">
        <v>3256</v>
      </c>
      <c r="O1364" t="s">
        <v>217</v>
      </c>
      <c r="Q1364" t="s">
        <v>1227</v>
      </c>
      <c r="R1364" t="s">
        <v>3262</v>
      </c>
      <c r="S1364" t="s">
        <v>2854</v>
      </c>
      <c r="V1364" t="s">
        <v>2855</v>
      </c>
      <c r="W1364" t="s">
        <v>2856</v>
      </c>
      <c r="AD1364" t="s">
        <v>3263</v>
      </c>
    </row>
    <row r="1365" spans="1:32" x14ac:dyDescent="0.25">
      <c r="A1365" t="s">
        <v>33</v>
      </c>
      <c r="D1365" t="s">
        <v>2847</v>
      </c>
      <c r="E1365" t="s">
        <v>2848</v>
      </c>
      <c r="F1365" t="s">
        <v>78</v>
      </c>
      <c r="G1365" t="s">
        <v>3264</v>
      </c>
      <c r="H1365" t="s">
        <v>143</v>
      </c>
      <c r="I1365" t="s">
        <v>909</v>
      </c>
      <c r="J1365" t="s">
        <v>145</v>
      </c>
      <c r="K1365" t="s">
        <v>146</v>
      </c>
      <c r="L1365" t="s">
        <v>3265</v>
      </c>
      <c r="M1365" t="s">
        <v>176</v>
      </c>
      <c r="N1365" t="s">
        <v>3266</v>
      </c>
      <c r="O1365" t="s">
        <v>1155</v>
      </c>
      <c r="R1365" t="s">
        <v>3267</v>
      </c>
      <c r="S1365" t="s">
        <v>2854</v>
      </c>
      <c r="V1365" t="s">
        <v>2855</v>
      </c>
      <c r="W1365" t="s">
        <v>2856</v>
      </c>
      <c r="AD1365" t="s">
        <v>3268</v>
      </c>
    </row>
    <row r="1366" spans="1:32" x14ac:dyDescent="0.25">
      <c r="A1366" t="s">
        <v>33</v>
      </c>
      <c r="D1366" t="s">
        <v>2847</v>
      </c>
      <c r="E1366" t="s">
        <v>2848</v>
      </c>
      <c r="F1366" t="s">
        <v>78</v>
      </c>
      <c r="G1366" t="s">
        <v>3264</v>
      </c>
      <c r="H1366" t="s">
        <v>143</v>
      </c>
      <c r="I1366" t="s">
        <v>160</v>
      </c>
      <c r="J1366" t="s">
        <v>145</v>
      </c>
      <c r="K1366" t="s">
        <v>146</v>
      </c>
      <c r="L1366" t="s">
        <v>3265</v>
      </c>
      <c r="M1366" t="s">
        <v>176</v>
      </c>
      <c r="N1366" t="s">
        <v>3266</v>
      </c>
      <c r="O1366" t="s">
        <v>1158</v>
      </c>
      <c r="R1366" t="s">
        <v>3269</v>
      </c>
      <c r="S1366" t="s">
        <v>2854</v>
      </c>
      <c r="V1366" t="s">
        <v>2855</v>
      </c>
      <c r="W1366" t="s">
        <v>2856</v>
      </c>
      <c r="AD1366" t="s">
        <v>3270</v>
      </c>
    </row>
    <row r="1367" spans="1:32" x14ac:dyDescent="0.25">
      <c r="A1367" t="s">
        <v>33</v>
      </c>
      <c r="D1367" t="s">
        <v>2847</v>
      </c>
      <c r="E1367" t="s">
        <v>2848</v>
      </c>
      <c r="F1367" t="s">
        <v>78</v>
      </c>
      <c r="G1367" t="s">
        <v>3264</v>
      </c>
      <c r="H1367" t="s">
        <v>166</v>
      </c>
      <c r="I1367" t="s">
        <v>80</v>
      </c>
      <c r="J1367" t="s">
        <v>167</v>
      </c>
      <c r="K1367" t="s">
        <v>41</v>
      </c>
      <c r="L1367" t="s">
        <v>3265</v>
      </c>
      <c r="N1367" t="s">
        <v>3266</v>
      </c>
      <c r="O1367" t="s">
        <v>84</v>
      </c>
      <c r="Q1367" t="s">
        <v>1161</v>
      </c>
      <c r="R1367" t="s">
        <v>3271</v>
      </c>
      <c r="S1367" t="s">
        <v>2854</v>
      </c>
      <c r="V1367" t="s">
        <v>2855</v>
      </c>
      <c r="W1367" t="s">
        <v>2856</v>
      </c>
      <c r="AD1367" t="s">
        <v>3272</v>
      </c>
    </row>
    <row r="1368" spans="1:32" x14ac:dyDescent="0.25">
      <c r="A1368" t="s">
        <v>33</v>
      </c>
      <c r="D1368" t="s">
        <v>2847</v>
      </c>
      <c r="E1368" t="s">
        <v>2848</v>
      </c>
      <c r="F1368" t="s">
        <v>78</v>
      </c>
      <c r="G1368" t="s">
        <v>3273</v>
      </c>
      <c r="H1368" t="s">
        <v>143</v>
      </c>
      <c r="I1368" t="s">
        <v>909</v>
      </c>
      <c r="J1368" t="s">
        <v>145</v>
      </c>
      <c r="K1368" t="s">
        <v>146</v>
      </c>
      <c r="L1368" t="s">
        <v>3274</v>
      </c>
      <c r="M1368" t="s">
        <v>176</v>
      </c>
      <c r="N1368" t="s">
        <v>3275</v>
      </c>
      <c r="O1368" t="s">
        <v>1155</v>
      </c>
      <c r="R1368" t="s">
        <v>3276</v>
      </c>
      <c r="S1368" t="s">
        <v>2854</v>
      </c>
      <c r="V1368" t="s">
        <v>2855</v>
      </c>
      <c r="W1368" t="s">
        <v>2856</v>
      </c>
      <c r="AD1368" t="s">
        <v>3277</v>
      </c>
    </row>
    <row r="1369" spans="1:32" x14ac:dyDescent="0.25">
      <c r="A1369" t="s">
        <v>33</v>
      </c>
      <c r="D1369" t="s">
        <v>2847</v>
      </c>
      <c r="E1369" t="s">
        <v>2848</v>
      </c>
      <c r="F1369" t="s">
        <v>78</v>
      </c>
      <c r="G1369" t="s">
        <v>3273</v>
      </c>
      <c r="H1369" t="s">
        <v>143</v>
      </c>
      <c r="I1369" t="s">
        <v>160</v>
      </c>
      <c r="J1369" t="s">
        <v>145</v>
      </c>
      <c r="K1369" t="s">
        <v>146</v>
      </c>
      <c r="L1369" t="s">
        <v>3274</v>
      </c>
      <c r="M1369" t="s">
        <v>176</v>
      </c>
      <c r="N1369" t="s">
        <v>3275</v>
      </c>
      <c r="O1369" t="s">
        <v>1158</v>
      </c>
      <c r="R1369" t="s">
        <v>3278</v>
      </c>
      <c r="S1369" t="s">
        <v>2854</v>
      </c>
      <c r="V1369" t="s">
        <v>2855</v>
      </c>
      <c r="W1369" t="s">
        <v>2856</v>
      </c>
      <c r="AD1369" t="s">
        <v>3279</v>
      </c>
    </row>
    <row r="1370" spans="1:32" x14ac:dyDescent="0.25">
      <c r="A1370" t="s">
        <v>33</v>
      </c>
      <c r="D1370" t="s">
        <v>2847</v>
      </c>
      <c r="E1370" t="s">
        <v>2848</v>
      </c>
      <c r="F1370" t="s">
        <v>78</v>
      </c>
      <c r="G1370" t="s">
        <v>3273</v>
      </c>
      <c r="H1370" t="s">
        <v>166</v>
      </c>
      <c r="I1370" t="s">
        <v>80</v>
      </c>
      <c r="J1370" t="s">
        <v>167</v>
      </c>
      <c r="K1370" t="s">
        <v>41</v>
      </c>
      <c r="L1370" t="s">
        <v>3274</v>
      </c>
      <c r="N1370" t="s">
        <v>3275</v>
      </c>
      <c r="O1370" t="s">
        <v>84</v>
      </c>
      <c r="Q1370" t="s">
        <v>1161</v>
      </c>
      <c r="R1370" t="s">
        <v>3280</v>
      </c>
      <c r="S1370" t="s">
        <v>2854</v>
      </c>
      <c r="V1370" t="s">
        <v>2855</v>
      </c>
      <c r="W1370" t="s">
        <v>2856</v>
      </c>
      <c r="AD1370" t="s">
        <v>3281</v>
      </c>
    </row>
    <row r="1371" spans="1:32" x14ac:dyDescent="0.25">
      <c r="A1371" t="s">
        <v>33</v>
      </c>
      <c r="D1371" t="s">
        <v>2847</v>
      </c>
      <c r="E1371" t="s">
        <v>2848</v>
      </c>
      <c r="F1371" t="s">
        <v>866</v>
      </c>
      <c r="G1371" t="s">
        <v>3282</v>
      </c>
      <c r="H1371" t="s">
        <v>166</v>
      </c>
      <c r="I1371" t="s">
        <v>281</v>
      </c>
      <c r="J1371" t="s">
        <v>167</v>
      </c>
      <c r="K1371" t="s">
        <v>41</v>
      </c>
      <c r="L1371" t="s">
        <v>3283</v>
      </c>
      <c r="N1371" t="s">
        <v>3284</v>
      </c>
      <c r="O1371" t="s">
        <v>858</v>
      </c>
      <c r="Q1371" t="s">
        <v>859</v>
      </c>
      <c r="R1371" t="s">
        <v>3285</v>
      </c>
      <c r="S1371" t="s">
        <v>2854</v>
      </c>
      <c r="V1371" t="s">
        <v>2855</v>
      </c>
      <c r="W1371" t="s">
        <v>2856</v>
      </c>
      <c r="AD1371" t="s">
        <v>3286</v>
      </c>
    </row>
    <row r="1372" spans="1:32" x14ac:dyDescent="0.25">
      <c r="A1372" t="s">
        <v>33</v>
      </c>
      <c r="D1372" t="s">
        <v>2847</v>
      </c>
      <c r="E1372" t="s">
        <v>2848</v>
      </c>
      <c r="F1372" t="s">
        <v>866</v>
      </c>
      <c r="G1372" t="s">
        <v>3282</v>
      </c>
      <c r="H1372" t="s">
        <v>166</v>
      </c>
      <c r="I1372" t="s">
        <v>80</v>
      </c>
      <c r="J1372" t="s">
        <v>167</v>
      </c>
      <c r="K1372" t="s">
        <v>41</v>
      </c>
      <c r="L1372" t="s">
        <v>3283</v>
      </c>
      <c r="N1372" t="s">
        <v>3284</v>
      </c>
      <c r="O1372" t="s">
        <v>862</v>
      </c>
      <c r="Q1372" t="s">
        <v>863</v>
      </c>
      <c r="R1372" t="s">
        <v>3287</v>
      </c>
      <c r="S1372" t="s">
        <v>2854</v>
      </c>
      <c r="V1372" t="s">
        <v>2855</v>
      </c>
      <c r="W1372" t="s">
        <v>2856</v>
      </c>
      <c r="AD1372" t="s">
        <v>3288</v>
      </c>
    </row>
    <row r="1373" spans="1:32" x14ac:dyDescent="0.25">
      <c r="A1373" t="s">
        <v>33</v>
      </c>
      <c r="D1373" t="s">
        <v>2847</v>
      </c>
      <c r="E1373" t="s">
        <v>2848</v>
      </c>
      <c r="F1373" t="s">
        <v>866</v>
      </c>
      <c r="G1373" t="s">
        <v>3282</v>
      </c>
      <c r="H1373" t="s">
        <v>153</v>
      </c>
      <c r="I1373" t="s">
        <v>598</v>
      </c>
      <c r="J1373" t="s">
        <v>154</v>
      </c>
      <c r="K1373" t="s">
        <v>155</v>
      </c>
      <c r="L1373" t="s">
        <v>3283</v>
      </c>
      <c r="N1373" t="s">
        <v>3284</v>
      </c>
      <c r="O1373" t="s">
        <v>599</v>
      </c>
      <c r="R1373" t="s">
        <v>3289</v>
      </c>
      <c r="S1373" t="s">
        <v>2854</v>
      </c>
      <c r="V1373" t="s">
        <v>2855</v>
      </c>
      <c r="W1373" t="s">
        <v>2856</v>
      </c>
      <c r="AD1373" t="s">
        <v>3290</v>
      </c>
    </row>
    <row r="1374" spans="1:32" x14ac:dyDescent="0.25">
      <c r="A1374" t="s">
        <v>33</v>
      </c>
      <c r="D1374" t="s">
        <v>2847</v>
      </c>
      <c r="E1374" t="s">
        <v>2848</v>
      </c>
      <c r="F1374" t="s">
        <v>866</v>
      </c>
      <c r="G1374" t="s">
        <v>3282</v>
      </c>
      <c r="H1374" t="s">
        <v>166</v>
      </c>
      <c r="I1374" t="s">
        <v>216</v>
      </c>
      <c r="J1374" t="s">
        <v>167</v>
      </c>
      <c r="K1374" t="s">
        <v>41</v>
      </c>
      <c r="L1374" t="s">
        <v>3283</v>
      </c>
      <c r="N1374" t="s">
        <v>3284</v>
      </c>
      <c r="O1374" t="s">
        <v>872</v>
      </c>
      <c r="Q1374" t="s">
        <v>1275</v>
      </c>
      <c r="R1374" t="s">
        <v>3291</v>
      </c>
      <c r="S1374" t="s">
        <v>2854</v>
      </c>
      <c r="V1374" t="s">
        <v>2855</v>
      </c>
      <c r="W1374" t="s">
        <v>2856</v>
      </c>
      <c r="AD1374" t="s">
        <v>3292</v>
      </c>
    </row>
    <row r="1375" spans="1:32" x14ac:dyDescent="0.25">
      <c r="A1375" t="s">
        <v>33</v>
      </c>
      <c r="D1375" t="s">
        <v>2847</v>
      </c>
      <c r="E1375" t="s">
        <v>2848</v>
      </c>
      <c r="F1375" t="s">
        <v>866</v>
      </c>
      <c r="G1375" t="s">
        <v>3293</v>
      </c>
      <c r="H1375" t="s">
        <v>166</v>
      </c>
      <c r="I1375" t="s">
        <v>281</v>
      </c>
      <c r="J1375" t="s">
        <v>167</v>
      </c>
      <c r="K1375" t="s">
        <v>41</v>
      </c>
      <c r="L1375" t="s">
        <v>3294</v>
      </c>
      <c r="N1375" t="s">
        <v>3295</v>
      </c>
      <c r="O1375" t="s">
        <v>858</v>
      </c>
      <c r="Q1375" t="s">
        <v>859</v>
      </c>
      <c r="R1375" t="s">
        <v>3296</v>
      </c>
      <c r="S1375" t="s">
        <v>2854</v>
      </c>
      <c r="V1375" t="s">
        <v>2855</v>
      </c>
      <c r="W1375" t="s">
        <v>2856</v>
      </c>
      <c r="AD1375" t="s">
        <v>3297</v>
      </c>
    </row>
    <row r="1376" spans="1:32" x14ac:dyDescent="0.25">
      <c r="A1376" t="s">
        <v>33</v>
      </c>
      <c r="D1376" t="s">
        <v>2847</v>
      </c>
      <c r="E1376" t="s">
        <v>2893</v>
      </c>
      <c r="F1376" t="s">
        <v>78</v>
      </c>
      <c r="G1376" t="s">
        <v>3298</v>
      </c>
      <c r="H1376" t="s">
        <v>166</v>
      </c>
      <c r="I1376" t="s">
        <v>160</v>
      </c>
      <c r="J1376" t="s">
        <v>167</v>
      </c>
      <c r="K1376" t="s">
        <v>41</v>
      </c>
      <c r="L1376" t="s">
        <v>3299</v>
      </c>
      <c r="N1376" t="s">
        <v>3300</v>
      </c>
      <c r="O1376" t="s">
        <v>168</v>
      </c>
      <c r="Q1376" t="s">
        <v>169</v>
      </c>
      <c r="R1376" t="s">
        <v>3301</v>
      </c>
      <c r="S1376" t="s">
        <v>2864</v>
      </c>
      <c r="V1376" t="s">
        <v>2855</v>
      </c>
      <c r="W1376" t="s">
        <v>2898</v>
      </c>
      <c r="AD1376" t="s">
        <v>3302</v>
      </c>
    </row>
    <row r="1377" spans="1:30" x14ac:dyDescent="0.25">
      <c r="A1377" t="s">
        <v>33</v>
      </c>
      <c r="D1377" t="s">
        <v>2847</v>
      </c>
      <c r="E1377" t="s">
        <v>2893</v>
      </c>
      <c r="F1377" t="s">
        <v>78</v>
      </c>
      <c r="G1377" t="s">
        <v>3298</v>
      </c>
      <c r="H1377" t="s">
        <v>166</v>
      </c>
      <c r="I1377" t="s">
        <v>243</v>
      </c>
      <c r="J1377" t="s">
        <v>167</v>
      </c>
      <c r="K1377" t="s">
        <v>41</v>
      </c>
      <c r="L1377" t="s">
        <v>3299</v>
      </c>
      <c r="N1377" t="s">
        <v>3300</v>
      </c>
      <c r="O1377" t="s">
        <v>244</v>
      </c>
      <c r="Q1377" t="s">
        <v>2803</v>
      </c>
      <c r="R1377" t="s">
        <v>3303</v>
      </c>
      <c r="S1377" t="s">
        <v>2864</v>
      </c>
      <c r="V1377" t="s">
        <v>2855</v>
      </c>
      <c r="W1377" t="s">
        <v>2898</v>
      </c>
      <c r="AD1377" t="s">
        <v>3304</v>
      </c>
    </row>
    <row r="1378" spans="1:30" x14ac:dyDescent="0.25">
      <c r="A1378" t="s">
        <v>33</v>
      </c>
      <c r="D1378" t="s">
        <v>2847</v>
      </c>
      <c r="E1378" t="s">
        <v>2893</v>
      </c>
      <c r="F1378" t="s">
        <v>78</v>
      </c>
      <c r="G1378" t="s">
        <v>3298</v>
      </c>
      <c r="H1378" t="s">
        <v>166</v>
      </c>
      <c r="I1378" t="s">
        <v>80</v>
      </c>
      <c r="J1378" t="s">
        <v>167</v>
      </c>
      <c r="K1378" t="s">
        <v>41</v>
      </c>
      <c r="L1378" t="s">
        <v>3299</v>
      </c>
      <c r="N1378" t="s">
        <v>3300</v>
      </c>
      <c r="O1378" t="s">
        <v>84</v>
      </c>
      <c r="Q1378" t="s">
        <v>1958</v>
      </c>
      <c r="R1378" t="s">
        <v>3305</v>
      </c>
      <c r="S1378" t="s">
        <v>2864</v>
      </c>
      <c r="V1378" t="s">
        <v>2855</v>
      </c>
      <c r="W1378" t="s">
        <v>2898</v>
      </c>
      <c r="AD1378" t="s">
        <v>3306</v>
      </c>
    </row>
    <row r="1379" spans="1:30" x14ac:dyDescent="0.25">
      <c r="A1379" t="s">
        <v>33</v>
      </c>
      <c r="D1379" t="s">
        <v>2847</v>
      </c>
      <c r="E1379" t="s">
        <v>2848</v>
      </c>
      <c r="F1379" t="s">
        <v>866</v>
      </c>
      <c r="G1379" t="s">
        <v>3293</v>
      </c>
      <c r="H1379" t="s">
        <v>166</v>
      </c>
      <c r="I1379" t="s">
        <v>80</v>
      </c>
      <c r="J1379" t="s">
        <v>167</v>
      </c>
      <c r="K1379" t="s">
        <v>41</v>
      </c>
      <c r="L1379" t="s">
        <v>3294</v>
      </c>
      <c r="N1379" t="s">
        <v>3295</v>
      </c>
      <c r="O1379" t="s">
        <v>862</v>
      </c>
      <c r="Q1379" t="s">
        <v>863</v>
      </c>
      <c r="R1379" t="s">
        <v>3307</v>
      </c>
      <c r="S1379" t="s">
        <v>2854</v>
      </c>
      <c r="V1379" t="s">
        <v>2855</v>
      </c>
      <c r="W1379" t="s">
        <v>2856</v>
      </c>
      <c r="AD1379" t="s">
        <v>3308</v>
      </c>
    </row>
    <row r="1380" spans="1:30" x14ac:dyDescent="0.25">
      <c r="A1380" t="s">
        <v>33</v>
      </c>
      <c r="D1380" t="s">
        <v>2847</v>
      </c>
      <c r="E1380" t="s">
        <v>2848</v>
      </c>
      <c r="F1380" t="s">
        <v>866</v>
      </c>
      <c r="G1380" t="s">
        <v>2878</v>
      </c>
      <c r="H1380" t="s">
        <v>166</v>
      </c>
      <c r="I1380" t="s">
        <v>80</v>
      </c>
      <c r="J1380" t="s">
        <v>167</v>
      </c>
      <c r="K1380" t="s">
        <v>41</v>
      </c>
      <c r="L1380" t="s">
        <v>2879</v>
      </c>
      <c r="N1380" t="s">
        <v>2880</v>
      </c>
      <c r="O1380" t="s">
        <v>862</v>
      </c>
      <c r="Q1380" t="s">
        <v>863</v>
      </c>
      <c r="R1380" t="s">
        <v>3309</v>
      </c>
      <c r="S1380" t="s">
        <v>2882</v>
      </c>
      <c r="V1380" t="s">
        <v>2855</v>
      </c>
      <c r="W1380" t="s">
        <v>2856</v>
      </c>
      <c r="AD1380" t="s">
        <v>3310</v>
      </c>
    </row>
    <row r="1381" spans="1:30" x14ac:dyDescent="0.25">
      <c r="A1381" t="s">
        <v>33</v>
      </c>
      <c r="D1381" t="s">
        <v>2847</v>
      </c>
      <c r="E1381" t="s">
        <v>2848</v>
      </c>
      <c r="F1381" t="s">
        <v>866</v>
      </c>
      <c r="G1381" t="s">
        <v>2878</v>
      </c>
      <c r="H1381" t="s">
        <v>280</v>
      </c>
      <c r="I1381" t="s">
        <v>3311</v>
      </c>
      <c r="J1381" t="s">
        <v>282</v>
      </c>
      <c r="K1381" t="s">
        <v>283</v>
      </c>
      <c r="L1381" t="s">
        <v>2879</v>
      </c>
      <c r="N1381" t="s">
        <v>2880</v>
      </c>
      <c r="O1381" t="s">
        <v>3312</v>
      </c>
      <c r="Q1381" t="s">
        <v>3313</v>
      </c>
      <c r="R1381" t="s">
        <v>3314</v>
      </c>
      <c r="S1381" t="s">
        <v>2882</v>
      </c>
      <c r="V1381" t="s">
        <v>2855</v>
      </c>
      <c r="W1381" t="s">
        <v>2856</v>
      </c>
      <c r="AD1381" t="s">
        <v>3315</v>
      </c>
    </row>
    <row r="1382" spans="1:30" x14ac:dyDescent="0.25">
      <c r="A1382" t="s">
        <v>33</v>
      </c>
      <c r="D1382" t="s">
        <v>2847</v>
      </c>
      <c r="E1382" t="s">
        <v>2893</v>
      </c>
      <c r="F1382" t="s">
        <v>866</v>
      </c>
      <c r="G1382" t="s">
        <v>3316</v>
      </c>
      <c r="H1382" t="s">
        <v>153</v>
      </c>
      <c r="I1382" t="s">
        <v>598</v>
      </c>
      <c r="J1382" t="s">
        <v>154</v>
      </c>
      <c r="K1382" t="s">
        <v>155</v>
      </c>
      <c r="L1382" t="s">
        <v>3317</v>
      </c>
      <c r="N1382" t="s">
        <v>3318</v>
      </c>
      <c r="O1382" t="s">
        <v>599</v>
      </c>
      <c r="R1382" t="s">
        <v>3319</v>
      </c>
      <c r="S1382" t="s">
        <v>2864</v>
      </c>
      <c r="V1382" t="s">
        <v>2855</v>
      </c>
      <c r="W1382" t="s">
        <v>2898</v>
      </c>
      <c r="AD1382" t="s">
        <v>3320</v>
      </c>
    </row>
    <row r="1383" spans="1:30" x14ac:dyDescent="0.25">
      <c r="A1383" t="s">
        <v>33</v>
      </c>
      <c r="D1383" t="s">
        <v>2847</v>
      </c>
      <c r="E1383" t="s">
        <v>2893</v>
      </c>
      <c r="F1383" t="s">
        <v>866</v>
      </c>
      <c r="G1383" t="s">
        <v>3316</v>
      </c>
      <c r="H1383" t="s">
        <v>166</v>
      </c>
      <c r="I1383" t="s">
        <v>281</v>
      </c>
      <c r="J1383" t="s">
        <v>167</v>
      </c>
      <c r="K1383" t="s">
        <v>41</v>
      </c>
      <c r="L1383" t="s">
        <v>3317</v>
      </c>
      <c r="N1383" t="s">
        <v>3318</v>
      </c>
      <c r="O1383" t="s">
        <v>858</v>
      </c>
      <c r="Q1383" t="s">
        <v>2536</v>
      </c>
      <c r="R1383" t="s">
        <v>3321</v>
      </c>
      <c r="S1383" t="s">
        <v>2864</v>
      </c>
      <c r="V1383" t="s">
        <v>2855</v>
      </c>
      <c r="W1383" t="s">
        <v>2898</v>
      </c>
      <c r="AD1383" t="s">
        <v>3322</v>
      </c>
    </row>
    <row r="1384" spans="1:30" x14ac:dyDescent="0.25">
      <c r="A1384" t="s">
        <v>33</v>
      </c>
      <c r="D1384" t="s">
        <v>2847</v>
      </c>
      <c r="E1384" t="s">
        <v>2893</v>
      </c>
      <c r="F1384" t="s">
        <v>866</v>
      </c>
      <c r="G1384" t="s">
        <v>3316</v>
      </c>
      <c r="H1384" t="s">
        <v>166</v>
      </c>
      <c r="I1384" t="s">
        <v>80</v>
      </c>
      <c r="J1384" t="s">
        <v>167</v>
      </c>
      <c r="K1384" t="s">
        <v>41</v>
      </c>
      <c r="L1384" t="s">
        <v>3317</v>
      </c>
      <c r="N1384" t="s">
        <v>3318</v>
      </c>
      <c r="O1384" t="s">
        <v>862</v>
      </c>
      <c r="Q1384" t="s">
        <v>863</v>
      </c>
      <c r="R1384" t="s">
        <v>3323</v>
      </c>
      <c r="S1384" t="s">
        <v>2864</v>
      </c>
      <c r="V1384" t="s">
        <v>2855</v>
      </c>
      <c r="W1384" t="s">
        <v>2898</v>
      </c>
      <c r="AD1384" t="s">
        <v>3324</v>
      </c>
    </row>
    <row r="1385" spans="1:30" x14ac:dyDescent="0.25">
      <c r="A1385" t="s">
        <v>33</v>
      </c>
      <c r="D1385" t="s">
        <v>2847</v>
      </c>
      <c r="E1385" t="s">
        <v>2893</v>
      </c>
      <c r="F1385" t="s">
        <v>866</v>
      </c>
      <c r="G1385" t="s">
        <v>3316</v>
      </c>
      <c r="H1385" t="s">
        <v>166</v>
      </c>
      <c r="I1385" t="s">
        <v>216</v>
      </c>
      <c r="J1385" t="s">
        <v>167</v>
      </c>
      <c r="K1385" t="s">
        <v>41</v>
      </c>
      <c r="L1385" t="s">
        <v>3317</v>
      </c>
      <c r="N1385" t="s">
        <v>3318</v>
      </c>
      <c r="O1385" t="s">
        <v>872</v>
      </c>
      <c r="Q1385" t="s">
        <v>873</v>
      </c>
      <c r="R1385" t="s">
        <v>3325</v>
      </c>
      <c r="S1385" t="s">
        <v>2864</v>
      </c>
      <c r="V1385" t="s">
        <v>2855</v>
      </c>
      <c r="W1385" t="s">
        <v>2898</v>
      </c>
      <c r="AD1385" t="s">
        <v>3326</v>
      </c>
    </row>
    <row r="1386" spans="1:30" x14ac:dyDescent="0.25">
      <c r="A1386" t="s">
        <v>33</v>
      </c>
      <c r="D1386" t="s">
        <v>2847</v>
      </c>
      <c r="E1386" t="s">
        <v>2893</v>
      </c>
      <c r="F1386" t="s">
        <v>866</v>
      </c>
      <c r="G1386" t="s">
        <v>3316</v>
      </c>
      <c r="H1386" t="s">
        <v>143</v>
      </c>
      <c r="I1386" t="s">
        <v>2087</v>
      </c>
      <c r="J1386" t="s">
        <v>145</v>
      </c>
      <c r="K1386" t="s">
        <v>146</v>
      </c>
      <c r="L1386" t="s">
        <v>3317</v>
      </c>
      <c r="M1386" t="s">
        <v>3327</v>
      </c>
      <c r="N1386" t="s">
        <v>3318</v>
      </c>
      <c r="O1386" t="s">
        <v>2088</v>
      </c>
      <c r="R1386" t="s">
        <v>3328</v>
      </c>
      <c r="S1386" t="s">
        <v>2864</v>
      </c>
      <c r="V1386" t="s">
        <v>2855</v>
      </c>
      <c r="W1386" t="s">
        <v>2898</v>
      </c>
      <c r="X1386" t="s">
        <v>1193</v>
      </c>
      <c r="AD1386" t="s">
        <v>3329</v>
      </c>
    </row>
    <row r="1387" spans="1:30" x14ac:dyDescent="0.25">
      <c r="A1387" t="s">
        <v>33</v>
      </c>
      <c r="D1387" t="s">
        <v>2847</v>
      </c>
      <c r="E1387" t="s">
        <v>2893</v>
      </c>
      <c r="F1387" t="s">
        <v>866</v>
      </c>
      <c r="G1387" t="s">
        <v>3316</v>
      </c>
      <c r="H1387" t="s">
        <v>143</v>
      </c>
      <c r="I1387" t="s">
        <v>1147</v>
      </c>
      <c r="J1387" t="s">
        <v>145</v>
      </c>
      <c r="K1387" t="s">
        <v>146</v>
      </c>
      <c r="L1387" t="s">
        <v>3317</v>
      </c>
      <c r="M1387" t="s">
        <v>3327</v>
      </c>
      <c r="N1387" t="s">
        <v>3318</v>
      </c>
      <c r="O1387" t="s">
        <v>2091</v>
      </c>
      <c r="R1387" t="s">
        <v>3330</v>
      </c>
      <c r="S1387" t="s">
        <v>2864</v>
      </c>
      <c r="V1387" t="s">
        <v>2855</v>
      </c>
      <c r="W1387" t="s">
        <v>2898</v>
      </c>
      <c r="X1387" t="s">
        <v>1193</v>
      </c>
      <c r="AD1387" t="s">
        <v>3331</v>
      </c>
    </row>
    <row r="1388" spans="1:30" x14ac:dyDescent="0.25">
      <c r="A1388" t="s">
        <v>33</v>
      </c>
      <c r="D1388" t="s">
        <v>2847</v>
      </c>
      <c r="E1388" t="s">
        <v>2893</v>
      </c>
      <c r="F1388" t="s">
        <v>866</v>
      </c>
      <c r="G1388" t="s">
        <v>3316</v>
      </c>
      <c r="H1388" t="s">
        <v>280</v>
      </c>
      <c r="I1388" t="s">
        <v>3311</v>
      </c>
      <c r="J1388" t="s">
        <v>282</v>
      </c>
      <c r="K1388" t="s">
        <v>283</v>
      </c>
      <c r="L1388" t="s">
        <v>3317</v>
      </c>
      <c r="N1388" t="s">
        <v>3318</v>
      </c>
      <c r="O1388" t="s">
        <v>3312</v>
      </c>
      <c r="Q1388" t="s">
        <v>3313</v>
      </c>
      <c r="R1388" t="s">
        <v>3332</v>
      </c>
      <c r="S1388" t="s">
        <v>2864</v>
      </c>
      <c r="V1388" t="s">
        <v>2855</v>
      </c>
      <c r="W1388" t="s">
        <v>2898</v>
      </c>
      <c r="AD1388" t="s">
        <v>3333</v>
      </c>
    </row>
    <row r="1389" spans="1:30" x14ac:dyDescent="0.25">
      <c r="A1389" t="s">
        <v>33</v>
      </c>
      <c r="D1389" t="s">
        <v>2847</v>
      </c>
      <c r="E1389" t="s">
        <v>2848</v>
      </c>
      <c r="F1389" t="s">
        <v>866</v>
      </c>
      <c r="G1389" t="s">
        <v>3293</v>
      </c>
      <c r="H1389" t="s">
        <v>153</v>
      </c>
      <c r="I1389" t="s">
        <v>598</v>
      </c>
      <c r="J1389" t="s">
        <v>154</v>
      </c>
      <c r="K1389" t="s">
        <v>155</v>
      </c>
      <c r="L1389" t="s">
        <v>3294</v>
      </c>
      <c r="N1389" t="s">
        <v>3295</v>
      </c>
      <c r="O1389" t="s">
        <v>599</v>
      </c>
      <c r="R1389" t="s">
        <v>3334</v>
      </c>
      <c r="S1389" t="s">
        <v>2854</v>
      </c>
      <c r="V1389" t="s">
        <v>2855</v>
      </c>
      <c r="W1389" t="s">
        <v>2856</v>
      </c>
      <c r="AD1389" t="s">
        <v>3335</v>
      </c>
    </row>
    <row r="1390" spans="1:30" x14ac:dyDescent="0.25">
      <c r="A1390" t="s">
        <v>33</v>
      </c>
      <c r="D1390" t="s">
        <v>2847</v>
      </c>
      <c r="E1390" t="s">
        <v>2848</v>
      </c>
      <c r="F1390" t="s">
        <v>866</v>
      </c>
      <c r="G1390" t="s">
        <v>3293</v>
      </c>
      <c r="H1390" t="s">
        <v>166</v>
      </c>
      <c r="I1390" t="s">
        <v>216</v>
      </c>
      <c r="J1390" t="s">
        <v>167</v>
      </c>
      <c r="K1390" t="s">
        <v>41</v>
      </c>
      <c r="L1390" t="s">
        <v>3294</v>
      </c>
      <c r="N1390" t="s">
        <v>3295</v>
      </c>
      <c r="O1390" t="s">
        <v>872</v>
      </c>
      <c r="Q1390" t="s">
        <v>1275</v>
      </c>
      <c r="R1390" t="s">
        <v>3336</v>
      </c>
      <c r="S1390" t="s">
        <v>2854</v>
      </c>
      <c r="V1390" t="s">
        <v>2855</v>
      </c>
      <c r="W1390" t="s">
        <v>2856</v>
      </c>
      <c r="AD1390" t="s">
        <v>3337</v>
      </c>
    </row>
    <row r="1391" spans="1:30" x14ac:dyDescent="0.25">
      <c r="A1391" t="s">
        <v>33</v>
      </c>
      <c r="D1391" t="s">
        <v>2847</v>
      </c>
      <c r="E1391" t="s">
        <v>2848</v>
      </c>
      <c r="F1391" t="s">
        <v>87</v>
      </c>
      <c r="G1391" t="s">
        <v>3338</v>
      </c>
      <c r="H1391" t="s">
        <v>153</v>
      </c>
      <c r="I1391" t="s">
        <v>144</v>
      </c>
      <c r="J1391" t="s">
        <v>154</v>
      </c>
      <c r="K1391" t="s">
        <v>155</v>
      </c>
      <c r="L1391" t="s">
        <v>3339</v>
      </c>
      <c r="N1391" t="s">
        <v>3340</v>
      </c>
      <c r="O1391" t="s">
        <v>156</v>
      </c>
      <c r="R1391" t="s">
        <v>3341</v>
      </c>
      <c r="S1391" t="s">
        <v>2854</v>
      </c>
      <c r="V1391" t="s">
        <v>2855</v>
      </c>
      <c r="W1391" t="s">
        <v>2856</v>
      </c>
      <c r="AD1391" t="s">
        <v>3342</v>
      </c>
    </row>
    <row r="1392" spans="1:30" x14ac:dyDescent="0.25">
      <c r="A1392" t="s">
        <v>33</v>
      </c>
      <c r="D1392" t="s">
        <v>2847</v>
      </c>
      <c r="E1392" t="s">
        <v>2848</v>
      </c>
      <c r="F1392" t="s">
        <v>87</v>
      </c>
      <c r="G1392" t="s">
        <v>3338</v>
      </c>
      <c r="H1392" t="s">
        <v>89</v>
      </c>
      <c r="I1392" t="s">
        <v>144</v>
      </c>
      <c r="J1392" t="s">
        <v>91</v>
      </c>
      <c r="K1392" t="s">
        <v>92</v>
      </c>
      <c r="L1392" t="s">
        <v>3339</v>
      </c>
      <c r="M1392" t="s">
        <v>94</v>
      </c>
      <c r="N1392" t="s">
        <v>3340</v>
      </c>
      <c r="O1392" t="s">
        <v>150</v>
      </c>
      <c r="P1392">
        <v>1E-3</v>
      </c>
      <c r="R1392" t="s">
        <v>3343</v>
      </c>
      <c r="S1392" t="s">
        <v>2854</v>
      </c>
      <c r="V1392" t="s">
        <v>2855</v>
      </c>
      <c r="W1392" t="s">
        <v>2856</v>
      </c>
      <c r="AD1392" t="s">
        <v>3344</v>
      </c>
    </row>
    <row r="1393" spans="1:30" x14ac:dyDescent="0.25">
      <c r="A1393" t="s">
        <v>33</v>
      </c>
      <c r="D1393" t="s">
        <v>2847</v>
      </c>
      <c r="E1393" t="s">
        <v>2848</v>
      </c>
      <c r="F1393" t="s">
        <v>87</v>
      </c>
      <c r="G1393" t="s">
        <v>3338</v>
      </c>
      <c r="H1393" t="s">
        <v>143</v>
      </c>
      <c r="I1393" t="s">
        <v>144</v>
      </c>
      <c r="J1393" t="s">
        <v>145</v>
      </c>
      <c r="K1393" t="s">
        <v>146</v>
      </c>
      <c r="L1393" t="s">
        <v>3339</v>
      </c>
      <c r="M1393" t="s">
        <v>840</v>
      </c>
      <c r="N1393" t="s">
        <v>3340</v>
      </c>
      <c r="O1393" t="s">
        <v>147</v>
      </c>
      <c r="R1393" t="s">
        <v>3345</v>
      </c>
      <c r="S1393" t="s">
        <v>2854</v>
      </c>
      <c r="V1393" t="s">
        <v>2855</v>
      </c>
      <c r="W1393" t="s">
        <v>2856</v>
      </c>
      <c r="AD1393" t="s">
        <v>3346</v>
      </c>
    </row>
    <row r="1394" spans="1:30" x14ac:dyDescent="0.25">
      <c r="A1394" t="s">
        <v>33</v>
      </c>
      <c r="D1394" t="s">
        <v>2847</v>
      </c>
      <c r="E1394" t="s">
        <v>2848</v>
      </c>
      <c r="F1394" t="s">
        <v>87</v>
      </c>
      <c r="G1394" t="s">
        <v>3338</v>
      </c>
      <c r="H1394" t="s">
        <v>143</v>
      </c>
      <c r="I1394" t="s">
        <v>144</v>
      </c>
      <c r="J1394" t="s">
        <v>145</v>
      </c>
      <c r="K1394" t="s">
        <v>262</v>
      </c>
      <c r="L1394" t="s">
        <v>3339</v>
      </c>
      <c r="M1394" t="s">
        <v>840</v>
      </c>
      <c r="N1394" t="s">
        <v>3340</v>
      </c>
      <c r="O1394" t="s">
        <v>147</v>
      </c>
      <c r="R1394" t="s">
        <v>3347</v>
      </c>
      <c r="S1394" t="s">
        <v>2854</v>
      </c>
      <c r="V1394" t="s">
        <v>2855</v>
      </c>
      <c r="W1394" t="s">
        <v>2856</v>
      </c>
      <c r="AD1394" t="s">
        <v>3346</v>
      </c>
    </row>
    <row r="1395" spans="1:30" x14ac:dyDescent="0.25">
      <c r="A1395" t="s">
        <v>33</v>
      </c>
      <c r="D1395" t="s">
        <v>2847</v>
      </c>
      <c r="E1395" t="s">
        <v>2848</v>
      </c>
      <c r="F1395" t="s">
        <v>87</v>
      </c>
      <c r="G1395" t="s">
        <v>3338</v>
      </c>
      <c r="H1395" t="s">
        <v>153</v>
      </c>
      <c r="I1395" t="s">
        <v>90</v>
      </c>
      <c r="J1395" t="s">
        <v>154</v>
      </c>
      <c r="K1395" t="s">
        <v>155</v>
      </c>
      <c r="L1395" t="s">
        <v>3339</v>
      </c>
      <c r="N1395" t="s">
        <v>3340</v>
      </c>
      <c r="O1395" t="s">
        <v>386</v>
      </c>
      <c r="R1395" t="s">
        <v>3348</v>
      </c>
      <c r="S1395" t="s">
        <v>2854</v>
      </c>
      <c r="V1395" t="s">
        <v>2855</v>
      </c>
      <c r="W1395" t="s">
        <v>2856</v>
      </c>
      <c r="AD1395" t="s">
        <v>3349</v>
      </c>
    </row>
    <row r="1396" spans="1:30" x14ac:dyDescent="0.25">
      <c r="A1396" t="s">
        <v>33</v>
      </c>
      <c r="D1396" t="s">
        <v>2847</v>
      </c>
      <c r="E1396" t="s">
        <v>2848</v>
      </c>
      <c r="F1396" t="s">
        <v>87</v>
      </c>
      <c r="G1396" t="s">
        <v>3338</v>
      </c>
      <c r="H1396" t="s">
        <v>89</v>
      </c>
      <c r="I1396" t="s">
        <v>90</v>
      </c>
      <c r="J1396" t="s">
        <v>91</v>
      </c>
      <c r="K1396" t="s">
        <v>92</v>
      </c>
      <c r="L1396" t="s">
        <v>3339</v>
      </c>
      <c r="M1396" t="s">
        <v>94</v>
      </c>
      <c r="N1396" t="s">
        <v>3340</v>
      </c>
      <c r="O1396" t="s">
        <v>383</v>
      </c>
      <c r="P1396">
        <v>1E-3</v>
      </c>
      <c r="R1396" t="s">
        <v>3350</v>
      </c>
      <c r="S1396" t="s">
        <v>2854</v>
      </c>
      <c r="V1396" t="s">
        <v>2855</v>
      </c>
      <c r="W1396" t="s">
        <v>2856</v>
      </c>
      <c r="AD1396" t="s">
        <v>3351</v>
      </c>
    </row>
    <row r="1397" spans="1:30" x14ac:dyDescent="0.25">
      <c r="A1397" t="s">
        <v>33</v>
      </c>
      <c r="D1397" t="s">
        <v>2847</v>
      </c>
      <c r="E1397" t="s">
        <v>2848</v>
      </c>
      <c r="F1397" t="s">
        <v>87</v>
      </c>
      <c r="G1397" t="s">
        <v>3338</v>
      </c>
      <c r="H1397" t="s">
        <v>143</v>
      </c>
      <c r="I1397" t="s">
        <v>90</v>
      </c>
      <c r="J1397" t="s">
        <v>145</v>
      </c>
      <c r="K1397" t="s">
        <v>262</v>
      </c>
      <c r="L1397" t="s">
        <v>3339</v>
      </c>
      <c r="M1397" t="s">
        <v>840</v>
      </c>
      <c r="N1397" t="s">
        <v>3340</v>
      </c>
      <c r="O1397" t="s">
        <v>380</v>
      </c>
      <c r="R1397" t="s">
        <v>3352</v>
      </c>
      <c r="S1397" t="s">
        <v>2854</v>
      </c>
      <c r="V1397" t="s">
        <v>2855</v>
      </c>
      <c r="W1397" t="s">
        <v>2856</v>
      </c>
      <c r="AD1397" t="s">
        <v>3353</v>
      </c>
    </row>
    <row r="1398" spans="1:30" x14ac:dyDescent="0.25">
      <c r="A1398" t="s">
        <v>33</v>
      </c>
      <c r="D1398" t="s">
        <v>2847</v>
      </c>
      <c r="E1398" t="s">
        <v>2848</v>
      </c>
      <c r="F1398" t="s">
        <v>87</v>
      </c>
      <c r="G1398" t="s">
        <v>3338</v>
      </c>
      <c r="H1398" t="s">
        <v>143</v>
      </c>
      <c r="I1398" t="s">
        <v>90</v>
      </c>
      <c r="J1398" t="s">
        <v>145</v>
      </c>
      <c r="K1398" t="s">
        <v>146</v>
      </c>
      <c r="L1398" t="s">
        <v>3339</v>
      </c>
      <c r="M1398" t="s">
        <v>840</v>
      </c>
      <c r="N1398" t="s">
        <v>3340</v>
      </c>
      <c r="O1398" t="s">
        <v>380</v>
      </c>
      <c r="R1398" t="s">
        <v>3354</v>
      </c>
      <c r="S1398" t="s">
        <v>2854</v>
      </c>
      <c r="V1398" t="s">
        <v>2855</v>
      </c>
      <c r="W1398" t="s">
        <v>2856</v>
      </c>
      <c r="AD1398" t="s">
        <v>3353</v>
      </c>
    </row>
    <row r="1399" spans="1:30" x14ac:dyDescent="0.25">
      <c r="A1399" t="s">
        <v>33</v>
      </c>
      <c r="D1399" t="s">
        <v>2847</v>
      </c>
      <c r="E1399" t="s">
        <v>2848</v>
      </c>
      <c r="F1399" t="s">
        <v>87</v>
      </c>
      <c r="G1399" t="s">
        <v>3338</v>
      </c>
      <c r="H1399" t="s">
        <v>38</v>
      </c>
      <c r="I1399" t="s">
        <v>106</v>
      </c>
      <c r="J1399" t="s">
        <v>40</v>
      </c>
      <c r="K1399" t="s">
        <v>41</v>
      </c>
      <c r="L1399" t="s">
        <v>3339</v>
      </c>
      <c r="M1399" t="s">
        <v>840</v>
      </c>
      <c r="N1399" t="s">
        <v>3340</v>
      </c>
      <c r="O1399" t="s">
        <v>109</v>
      </c>
      <c r="R1399" t="s">
        <v>3355</v>
      </c>
      <c r="S1399" t="s">
        <v>2854</v>
      </c>
      <c r="V1399" t="s">
        <v>2855</v>
      </c>
      <c r="W1399" t="s">
        <v>2856</v>
      </c>
      <c r="AD1399" t="s">
        <v>3356</v>
      </c>
    </row>
    <row r="1400" spans="1:30" x14ac:dyDescent="0.25">
      <c r="A1400" t="s">
        <v>33</v>
      </c>
      <c r="D1400" t="s">
        <v>2847</v>
      </c>
      <c r="E1400" t="s">
        <v>2848</v>
      </c>
      <c r="F1400" t="s">
        <v>87</v>
      </c>
      <c r="G1400" t="s">
        <v>3338</v>
      </c>
      <c r="H1400" t="s">
        <v>38</v>
      </c>
      <c r="I1400" t="s">
        <v>25</v>
      </c>
      <c r="J1400" t="s">
        <v>69</v>
      </c>
      <c r="K1400" t="s">
        <v>41</v>
      </c>
      <c r="L1400" t="s">
        <v>3339</v>
      </c>
      <c r="M1400" t="s">
        <v>840</v>
      </c>
      <c r="N1400" t="s">
        <v>3340</v>
      </c>
      <c r="O1400" t="s">
        <v>512</v>
      </c>
      <c r="R1400" t="s">
        <v>3357</v>
      </c>
      <c r="S1400" t="s">
        <v>2854</v>
      </c>
      <c r="V1400" t="s">
        <v>2855</v>
      </c>
      <c r="W1400" t="s">
        <v>2856</v>
      </c>
      <c r="AD1400" t="s">
        <v>3358</v>
      </c>
    </row>
    <row r="1401" spans="1:30" x14ac:dyDescent="0.25">
      <c r="A1401" t="s">
        <v>33</v>
      </c>
      <c r="D1401" t="s">
        <v>2847</v>
      </c>
      <c r="E1401" t="s">
        <v>2848</v>
      </c>
      <c r="F1401" t="s">
        <v>87</v>
      </c>
      <c r="G1401" t="s">
        <v>3338</v>
      </c>
      <c r="H1401" t="s">
        <v>38</v>
      </c>
      <c r="I1401" t="s">
        <v>24</v>
      </c>
      <c r="J1401" t="s">
        <v>69</v>
      </c>
      <c r="K1401" t="s">
        <v>41</v>
      </c>
      <c r="L1401" t="s">
        <v>3339</v>
      </c>
      <c r="M1401" t="s">
        <v>840</v>
      </c>
      <c r="N1401" t="s">
        <v>3340</v>
      </c>
      <c r="O1401" t="s">
        <v>509</v>
      </c>
      <c r="R1401" t="s">
        <v>3359</v>
      </c>
      <c r="S1401" t="s">
        <v>2854</v>
      </c>
      <c r="V1401" t="s">
        <v>2855</v>
      </c>
      <c r="W1401" t="s">
        <v>2856</v>
      </c>
      <c r="AD1401" t="s">
        <v>3360</v>
      </c>
    </row>
    <row r="1402" spans="1:30" x14ac:dyDescent="0.25">
      <c r="A1402" t="s">
        <v>33</v>
      </c>
      <c r="D1402" t="s">
        <v>2847</v>
      </c>
      <c r="E1402" t="s">
        <v>2848</v>
      </c>
      <c r="F1402" t="s">
        <v>87</v>
      </c>
      <c r="G1402" t="s">
        <v>3361</v>
      </c>
      <c r="H1402" t="s">
        <v>153</v>
      </c>
      <c r="I1402" t="s">
        <v>144</v>
      </c>
      <c r="J1402" t="s">
        <v>154</v>
      </c>
      <c r="K1402" t="s">
        <v>155</v>
      </c>
      <c r="L1402" t="s">
        <v>3362</v>
      </c>
      <c r="N1402" t="s">
        <v>3363</v>
      </c>
      <c r="O1402" t="s">
        <v>156</v>
      </c>
      <c r="R1402" t="s">
        <v>3364</v>
      </c>
      <c r="S1402" t="s">
        <v>2854</v>
      </c>
      <c r="V1402" t="s">
        <v>2855</v>
      </c>
      <c r="W1402" t="s">
        <v>2856</v>
      </c>
      <c r="AD1402" t="s">
        <v>3365</v>
      </c>
    </row>
    <row r="1403" spans="1:30" x14ac:dyDescent="0.25">
      <c r="A1403" t="s">
        <v>33</v>
      </c>
      <c r="D1403" t="s">
        <v>2847</v>
      </c>
      <c r="E1403" t="s">
        <v>2848</v>
      </c>
      <c r="F1403" t="s">
        <v>87</v>
      </c>
      <c r="G1403" t="s">
        <v>3361</v>
      </c>
      <c r="H1403" t="s">
        <v>89</v>
      </c>
      <c r="I1403" t="s">
        <v>144</v>
      </c>
      <c r="J1403" t="s">
        <v>91</v>
      </c>
      <c r="K1403" t="s">
        <v>92</v>
      </c>
      <c r="L1403" t="s">
        <v>3362</v>
      </c>
      <c r="M1403" t="s">
        <v>94</v>
      </c>
      <c r="N1403" t="s">
        <v>3363</v>
      </c>
      <c r="O1403" t="s">
        <v>150</v>
      </c>
      <c r="P1403">
        <v>1E-3</v>
      </c>
      <c r="R1403" t="s">
        <v>3366</v>
      </c>
      <c r="S1403" t="s">
        <v>2854</v>
      </c>
      <c r="V1403" t="s">
        <v>2855</v>
      </c>
      <c r="W1403" t="s">
        <v>2856</v>
      </c>
      <c r="AD1403" t="s">
        <v>3367</v>
      </c>
    </row>
    <row r="1404" spans="1:30" x14ac:dyDescent="0.25">
      <c r="A1404" t="s">
        <v>33</v>
      </c>
      <c r="D1404" t="s">
        <v>2847</v>
      </c>
      <c r="E1404" t="s">
        <v>2848</v>
      </c>
      <c r="F1404" t="s">
        <v>87</v>
      </c>
      <c r="G1404" t="s">
        <v>3361</v>
      </c>
      <c r="H1404" t="s">
        <v>143</v>
      </c>
      <c r="I1404" t="s">
        <v>144</v>
      </c>
      <c r="J1404" t="s">
        <v>145</v>
      </c>
      <c r="K1404" t="s">
        <v>146</v>
      </c>
      <c r="L1404" t="s">
        <v>3362</v>
      </c>
      <c r="M1404" t="s">
        <v>840</v>
      </c>
      <c r="N1404" t="s">
        <v>3363</v>
      </c>
      <c r="O1404" t="s">
        <v>147</v>
      </c>
      <c r="R1404" t="s">
        <v>3368</v>
      </c>
      <c r="S1404" t="s">
        <v>2854</v>
      </c>
      <c r="V1404" t="s">
        <v>2855</v>
      </c>
      <c r="W1404" t="s">
        <v>2856</v>
      </c>
      <c r="AD1404" t="s">
        <v>3369</v>
      </c>
    </row>
    <row r="1405" spans="1:30" x14ac:dyDescent="0.25">
      <c r="A1405" t="s">
        <v>33</v>
      </c>
      <c r="D1405" t="s">
        <v>2847</v>
      </c>
      <c r="E1405" t="s">
        <v>2848</v>
      </c>
      <c r="F1405" t="s">
        <v>87</v>
      </c>
      <c r="G1405" t="s">
        <v>3361</v>
      </c>
      <c r="H1405" t="s">
        <v>143</v>
      </c>
      <c r="I1405" t="s">
        <v>144</v>
      </c>
      <c r="J1405" t="s">
        <v>145</v>
      </c>
      <c r="K1405" t="s">
        <v>262</v>
      </c>
      <c r="L1405" t="s">
        <v>3362</v>
      </c>
      <c r="M1405" t="s">
        <v>840</v>
      </c>
      <c r="N1405" t="s">
        <v>3363</v>
      </c>
      <c r="O1405" t="s">
        <v>147</v>
      </c>
      <c r="R1405" t="s">
        <v>3370</v>
      </c>
      <c r="S1405" t="s">
        <v>2854</v>
      </c>
      <c r="V1405" t="s">
        <v>2855</v>
      </c>
      <c r="W1405" t="s">
        <v>2856</v>
      </c>
      <c r="AD1405" t="s">
        <v>3369</v>
      </c>
    </row>
    <row r="1406" spans="1:30" x14ac:dyDescent="0.25">
      <c r="A1406" t="s">
        <v>33</v>
      </c>
      <c r="D1406" t="s">
        <v>2847</v>
      </c>
      <c r="E1406" t="s">
        <v>2848</v>
      </c>
      <c r="F1406" t="s">
        <v>87</v>
      </c>
      <c r="G1406" t="s">
        <v>3361</v>
      </c>
      <c r="H1406" t="s">
        <v>153</v>
      </c>
      <c r="I1406" t="s">
        <v>90</v>
      </c>
      <c r="J1406" t="s">
        <v>154</v>
      </c>
      <c r="K1406" t="s">
        <v>155</v>
      </c>
      <c r="L1406" t="s">
        <v>3362</v>
      </c>
      <c r="N1406" t="s">
        <v>3363</v>
      </c>
      <c r="O1406" t="s">
        <v>386</v>
      </c>
      <c r="R1406" t="s">
        <v>3371</v>
      </c>
      <c r="S1406" t="s">
        <v>2854</v>
      </c>
      <c r="V1406" t="s">
        <v>2855</v>
      </c>
      <c r="W1406" t="s">
        <v>2856</v>
      </c>
      <c r="AD1406" t="s">
        <v>3372</v>
      </c>
    </row>
    <row r="1407" spans="1:30" x14ac:dyDescent="0.25">
      <c r="A1407" t="s">
        <v>33</v>
      </c>
      <c r="D1407" t="s">
        <v>2847</v>
      </c>
      <c r="E1407" t="s">
        <v>2848</v>
      </c>
      <c r="F1407" t="s">
        <v>87</v>
      </c>
      <c r="G1407" t="s">
        <v>3361</v>
      </c>
      <c r="H1407" t="s">
        <v>89</v>
      </c>
      <c r="I1407" t="s">
        <v>90</v>
      </c>
      <c r="J1407" t="s">
        <v>91</v>
      </c>
      <c r="K1407" t="s">
        <v>92</v>
      </c>
      <c r="L1407" t="s">
        <v>3362</v>
      </c>
      <c r="M1407" t="s">
        <v>94</v>
      </c>
      <c r="N1407" t="s">
        <v>3363</v>
      </c>
      <c r="O1407" t="s">
        <v>383</v>
      </c>
      <c r="P1407">
        <v>1E-3</v>
      </c>
      <c r="R1407" t="s">
        <v>3373</v>
      </c>
      <c r="S1407" t="s">
        <v>2854</v>
      </c>
      <c r="V1407" t="s">
        <v>2855</v>
      </c>
      <c r="W1407" t="s">
        <v>2856</v>
      </c>
      <c r="AD1407" t="s">
        <v>3374</v>
      </c>
    </row>
    <row r="1408" spans="1:30" x14ac:dyDescent="0.25">
      <c r="A1408" t="s">
        <v>33</v>
      </c>
      <c r="D1408" t="s">
        <v>2847</v>
      </c>
      <c r="E1408" t="s">
        <v>2848</v>
      </c>
      <c r="F1408" t="s">
        <v>87</v>
      </c>
      <c r="G1408" t="s">
        <v>3361</v>
      </c>
      <c r="H1408" t="s">
        <v>143</v>
      </c>
      <c r="I1408" t="s">
        <v>90</v>
      </c>
      <c r="J1408" t="s">
        <v>145</v>
      </c>
      <c r="K1408" t="s">
        <v>262</v>
      </c>
      <c r="L1408" t="s">
        <v>3362</v>
      </c>
      <c r="M1408" t="s">
        <v>840</v>
      </c>
      <c r="N1408" t="s">
        <v>3363</v>
      </c>
      <c r="O1408" t="s">
        <v>380</v>
      </c>
      <c r="R1408" t="s">
        <v>3375</v>
      </c>
      <c r="S1408" t="s">
        <v>2854</v>
      </c>
      <c r="V1408" t="s">
        <v>2855</v>
      </c>
      <c r="W1408" t="s">
        <v>2856</v>
      </c>
      <c r="AD1408" t="s">
        <v>3376</v>
      </c>
    </row>
    <row r="1409" spans="1:30" x14ac:dyDescent="0.25">
      <c r="A1409" t="s">
        <v>33</v>
      </c>
      <c r="D1409" t="s">
        <v>2847</v>
      </c>
      <c r="E1409" t="s">
        <v>2848</v>
      </c>
      <c r="F1409" t="s">
        <v>87</v>
      </c>
      <c r="G1409" t="s">
        <v>3361</v>
      </c>
      <c r="H1409" t="s">
        <v>143</v>
      </c>
      <c r="I1409" t="s">
        <v>90</v>
      </c>
      <c r="J1409" t="s">
        <v>145</v>
      </c>
      <c r="K1409" t="s">
        <v>146</v>
      </c>
      <c r="L1409" t="s">
        <v>3362</v>
      </c>
      <c r="M1409" t="s">
        <v>840</v>
      </c>
      <c r="N1409" t="s">
        <v>3363</v>
      </c>
      <c r="O1409" t="s">
        <v>380</v>
      </c>
      <c r="R1409" t="s">
        <v>3377</v>
      </c>
      <c r="S1409" t="s">
        <v>2854</v>
      </c>
      <c r="V1409" t="s">
        <v>2855</v>
      </c>
      <c r="W1409" t="s">
        <v>2856</v>
      </c>
      <c r="AD1409" t="s">
        <v>3376</v>
      </c>
    </row>
    <row r="1410" spans="1:30" x14ac:dyDescent="0.25">
      <c r="A1410" t="s">
        <v>33</v>
      </c>
      <c r="D1410" t="s">
        <v>2847</v>
      </c>
      <c r="E1410" t="s">
        <v>2848</v>
      </c>
      <c r="F1410" t="s">
        <v>87</v>
      </c>
      <c r="G1410" t="s">
        <v>3361</v>
      </c>
      <c r="H1410" t="s">
        <v>38</v>
      </c>
      <c r="I1410" t="s">
        <v>106</v>
      </c>
      <c r="J1410" t="s">
        <v>40</v>
      </c>
      <c r="K1410" t="s">
        <v>41</v>
      </c>
      <c r="L1410" t="s">
        <v>3362</v>
      </c>
      <c r="M1410" t="s">
        <v>840</v>
      </c>
      <c r="N1410" t="s">
        <v>3363</v>
      </c>
      <c r="O1410" t="s">
        <v>109</v>
      </c>
      <c r="R1410" t="s">
        <v>3378</v>
      </c>
      <c r="S1410" t="s">
        <v>2854</v>
      </c>
      <c r="V1410" t="s">
        <v>2855</v>
      </c>
      <c r="W1410" t="s">
        <v>2856</v>
      </c>
      <c r="AD1410" t="s">
        <v>3379</v>
      </c>
    </row>
    <row r="1411" spans="1:30" x14ac:dyDescent="0.25">
      <c r="A1411" t="s">
        <v>33</v>
      </c>
      <c r="D1411" t="s">
        <v>2847</v>
      </c>
      <c r="E1411" t="s">
        <v>2848</v>
      </c>
      <c r="F1411" t="s">
        <v>87</v>
      </c>
      <c r="G1411" t="s">
        <v>3361</v>
      </c>
      <c r="H1411" t="s">
        <v>38</v>
      </c>
      <c r="I1411" t="s">
        <v>25</v>
      </c>
      <c r="J1411" t="s">
        <v>69</v>
      </c>
      <c r="K1411" t="s">
        <v>41</v>
      </c>
      <c r="L1411" t="s">
        <v>3362</v>
      </c>
      <c r="M1411" t="s">
        <v>840</v>
      </c>
      <c r="N1411" t="s">
        <v>3363</v>
      </c>
      <c r="O1411" t="s">
        <v>512</v>
      </c>
      <c r="R1411" t="s">
        <v>553</v>
      </c>
      <c r="S1411" t="s">
        <v>2854</v>
      </c>
      <c r="V1411" t="s">
        <v>2855</v>
      </c>
      <c r="W1411" t="s">
        <v>2856</v>
      </c>
      <c r="AD1411" t="s">
        <v>3380</v>
      </c>
    </row>
    <row r="1412" spans="1:30" x14ac:dyDescent="0.25">
      <c r="A1412" t="s">
        <v>33</v>
      </c>
      <c r="D1412" t="s">
        <v>2847</v>
      </c>
      <c r="E1412" t="s">
        <v>2848</v>
      </c>
      <c r="F1412" t="s">
        <v>87</v>
      </c>
      <c r="G1412" t="s">
        <v>3361</v>
      </c>
      <c r="H1412" t="s">
        <v>38</v>
      </c>
      <c r="I1412" t="s">
        <v>24</v>
      </c>
      <c r="J1412" t="s">
        <v>69</v>
      </c>
      <c r="K1412" t="s">
        <v>41</v>
      </c>
      <c r="L1412" t="s">
        <v>3362</v>
      </c>
      <c r="M1412" t="s">
        <v>840</v>
      </c>
      <c r="N1412" t="s">
        <v>3363</v>
      </c>
      <c r="O1412" t="s">
        <v>509</v>
      </c>
      <c r="R1412" t="s">
        <v>551</v>
      </c>
      <c r="S1412" t="s">
        <v>2854</v>
      </c>
      <c r="V1412" t="s">
        <v>2855</v>
      </c>
      <c r="W1412" t="s">
        <v>2856</v>
      </c>
      <c r="AD1412" t="s">
        <v>3381</v>
      </c>
    </row>
    <row r="1413" spans="1:30" x14ac:dyDescent="0.25">
      <c r="A1413" t="s">
        <v>33</v>
      </c>
      <c r="D1413" t="s">
        <v>2847</v>
      </c>
      <c r="E1413" t="s">
        <v>2848</v>
      </c>
      <c r="F1413" t="s">
        <v>87</v>
      </c>
      <c r="G1413" t="s">
        <v>3382</v>
      </c>
      <c r="H1413" t="s">
        <v>153</v>
      </c>
      <c r="I1413" t="s">
        <v>144</v>
      </c>
      <c r="J1413" t="s">
        <v>154</v>
      </c>
      <c r="K1413" t="s">
        <v>155</v>
      </c>
      <c r="L1413" t="s">
        <v>3383</v>
      </c>
      <c r="N1413" t="s">
        <v>3384</v>
      </c>
      <c r="O1413" t="s">
        <v>156</v>
      </c>
      <c r="R1413" t="s">
        <v>3385</v>
      </c>
      <c r="S1413" t="s">
        <v>2854</v>
      </c>
      <c r="V1413" t="s">
        <v>2855</v>
      </c>
      <c r="W1413" t="s">
        <v>2856</v>
      </c>
      <c r="AD1413" t="s">
        <v>3386</v>
      </c>
    </row>
    <row r="1414" spans="1:30" x14ac:dyDescent="0.25">
      <c r="A1414" t="s">
        <v>33</v>
      </c>
      <c r="D1414" t="s">
        <v>2847</v>
      </c>
      <c r="E1414" t="s">
        <v>2848</v>
      </c>
      <c r="F1414" t="s">
        <v>87</v>
      </c>
      <c r="G1414" t="s">
        <v>3382</v>
      </c>
      <c r="H1414" t="s">
        <v>89</v>
      </c>
      <c r="I1414" t="s">
        <v>144</v>
      </c>
      <c r="J1414" t="s">
        <v>91</v>
      </c>
      <c r="K1414" t="s">
        <v>92</v>
      </c>
      <c r="L1414" t="s">
        <v>3383</v>
      </c>
      <c r="M1414" t="s">
        <v>94</v>
      </c>
      <c r="N1414" t="s">
        <v>3384</v>
      </c>
      <c r="O1414" t="s">
        <v>150</v>
      </c>
      <c r="P1414">
        <v>1E-3</v>
      </c>
      <c r="R1414" t="s">
        <v>3387</v>
      </c>
      <c r="S1414" t="s">
        <v>2854</v>
      </c>
      <c r="V1414" t="s">
        <v>2855</v>
      </c>
      <c r="W1414" t="s">
        <v>2856</v>
      </c>
      <c r="AD1414" t="s">
        <v>3388</v>
      </c>
    </row>
    <row r="1415" spans="1:30" x14ac:dyDescent="0.25">
      <c r="A1415" t="s">
        <v>33</v>
      </c>
      <c r="D1415" t="s">
        <v>2847</v>
      </c>
      <c r="E1415" t="s">
        <v>2848</v>
      </c>
      <c r="F1415" t="s">
        <v>87</v>
      </c>
      <c r="G1415" t="s">
        <v>3382</v>
      </c>
      <c r="H1415" t="s">
        <v>143</v>
      </c>
      <c r="I1415" t="s">
        <v>144</v>
      </c>
      <c r="J1415" t="s">
        <v>145</v>
      </c>
      <c r="K1415" t="s">
        <v>146</v>
      </c>
      <c r="L1415" t="s">
        <v>3383</v>
      </c>
      <c r="M1415" t="s">
        <v>252</v>
      </c>
      <c r="N1415" t="s">
        <v>3384</v>
      </c>
      <c r="O1415" t="s">
        <v>147</v>
      </c>
      <c r="R1415" t="s">
        <v>3389</v>
      </c>
      <c r="S1415" t="s">
        <v>2854</v>
      </c>
      <c r="V1415" t="s">
        <v>2855</v>
      </c>
      <c r="W1415" t="s">
        <v>2856</v>
      </c>
      <c r="AD1415" t="s">
        <v>3390</v>
      </c>
    </row>
    <row r="1416" spans="1:30" x14ac:dyDescent="0.25">
      <c r="A1416" t="s">
        <v>33</v>
      </c>
      <c r="D1416" t="s">
        <v>2847</v>
      </c>
      <c r="E1416" t="s">
        <v>2848</v>
      </c>
      <c r="F1416" t="s">
        <v>87</v>
      </c>
      <c r="G1416" t="s">
        <v>3382</v>
      </c>
      <c r="H1416" t="s">
        <v>143</v>
      </c>
      <c r="I1416" t="s">
        <v>144</v>
      </c>
      <c r="J1416" t="s">
        <v>145</v>
      </c>
      <c r="K1416" t="s">
        <v>262</v>
      </c>
      <c r="L1416" t="s">
        <v>3383</v>
      </c>
      <c r="M1416" t="s">
        <v>252</v>
      </c>
      <c r="N1416" t="s">
        <v>3384</v>
      </c>
      <c r="O1416" t="s">
        <v>147</v>
      </c>
      <c r="R1416" t="s">
        <v>3391</v>
      </c>
      <c r="S1416" t="s">
        <v>2854</v>
      </c>
      <c r="V1416" t="s">
        <v>2855</v>
      </c>
      <c r="W1416" t="s">
        <v>2856</v>
      </c>
      <c r="AD1416" t="s">
        <v>3390</v>
      </c>
    </row>
    <row r="1417" spans="1:30" x14ac:dyDescent="0.25">
      <c r="A1417" t="s">
        <v>33</v>
      </c>
      <c r="D1417" t="s">
        <v>2847</v>
      </c>
      <c r="E1417" t="s">
        <v>2848</v>
      </c>
      <c r="F1417" t="s">
        <v>87</v>
      </c>
      <c r="G1417" t="s">
        <v>3382</v>
      </c>
      <c r="H1417" t="s">
        <v>153</v>
      </c>
      <c r="I1417" t="s">
        <v>90</v>
      </c>
      <c r="J1417" t="s">
        <v>154</v>
      </c>
      <c r="K1417" t="s">
        <v>155</v>
      </c>
      <c r="L1417" t="s">
        <v>3383</v>
      </c>
      <c r="N1417" t="s">
        <v>3384</v>
      </c>
      <c r="O1417" t="s">
        <v>386</v>
      </c>
      <c r="R1417" t="s">
        <v>3392</v>
      </c>
      <c r="S1417" t="s">
        <v>2854</v>
      </c>
      <c r="V1417" t="s">
        <v>2855</v>
      </c>
      <c r="W1417" t="s">
        <v>2856</v>
      </c>
      <c r="AD1417" t="s">
        <v>3393</v>
      </c>
    </row>
    <row r="1418" spans="1:30" x14ac:dyDescent="0.25">
      <c r="A1418" t="s">
        <v>33</v>
      </c>
      <c r="D1418" t="s">
        <v>2847</v>
      </c>
      <c r="E1418" t="s">
        <v>2848</v>
      </c>
      <c r="F1418" t="s">
        <v>87</v>
      </c>
      <c r="G1418" t="s">
        <v>3382</v>
      </c>
      <c r="H1418" t="s">
        <v>89</v>
      </c>
      <c r="I1418" t="s">
        <v>90</v>
      </c>
      <c r="J1418" t="s">
        <v>91</v>
      </c>
      <c r="K1418" t="s">
        <v>92</v>
      </c>
      <c r="L1418" t="s">
        <v>3383</v>
      </c>
      <c r="M1418" t="s">
        <v>94</v>
      </c>
      <c r="N1418" t="s">
        <v>3384</v>
      </c>
      <c r="O1418" t="s">
        <v>383</v>
      </c>
      <c r="P1418">
        <v>1E-3</v>
      </c>
      <c r="R1418" t="s">
        <v>3394</v>
      </c>
      <c r="S1418" t="s">
        <v>2854</v>
      </c>
      <c r="V1418" t="s">
        <v>2855</v>
      </c>
      <c r="W1418" t="s">
        <v>2856</v>
      </c>
      <c r="AD1418" t="s">
        <v>3395</v>
      </c>
    </row>
    <row r="1419" spans="1:30" x14ac:dyDescent="0.25">
      <c r="A1419" t="s">
        <v>33</v>
      </c>
      <c r="D1419" t="s">
        <v>2847</v>
      </c>
      <c r="E1419" t="s">
        <v>2848</v>
      </c>
      <c r="F1419" t="s">
        <v>87</v>
      </c>
      <c r="G1419" t="s">
        <v>3382</v>
      </c>
      <c r="H1419" t="s">
        <v>143</v>
      </c>
      <c r="I1419" t="s">
        <v>90</v>
      </c>
      <c r="J1419" t="s">
        <v>145</v>
      </c>
      <c r="K1419" t="s">
        <v>262</v>
      </c>
      <c r="L1419" t="s">
        <v>3383</v>
      </c>
      <c r="M1419" t="s">
        <v>252</v>
      </c>
      <c r="N1419" t="s">
        <v>3384</v>
      </c>
      <c r="O1419" t="s">
        <v>380</v>
      </c>
      <c r="R1419" t="s">
        <v>3396</v>
      </c>
      <c r="S1419" t="s">
        <v>2854</v>
      </c>
      <c r="V1419" t="s">
        <v>2855</v>
      </c>
      <c r="W1419" t="s">
        <v>2856</v>
      </c>
      <c r="AD1419" t="s">
        <v>3397</v>
      </c>
    </row>
    <row r="1420" spans="1:30" x14ac:dyDescent="0.25">
      <c r="A1420" t="s">
        <v>33</v>
      </c>
      <c r="D1420" t="s">
        <v>2847</v>
      </c>
      <c r="E1420" t="s">
        <v>2848</v>
      </c>
      <c r="F1420" t="s">
        <v>87</v>
      </c>
      <c r="G1420" t="s">
        <v>3382</v>
      </c>
      <c r="H1420" t="s">
        <v>143</v>
      </c>
      <c r="I1420" t="s">
        <v>90</v>
      </c>
      <c r="J1420" t="s">
        <v>145</v>
      </c>
      <c r="K1420" t="s">
        <v>146</v>
      </c>
      <c r="L1420" t="s">
        <v>3383</v>
      </c>
      <c r="M1420" t="s">
        <v>252</v>
      </c>
      <c r="N1420" t="s">
        <v>3384</v>
      </c>
      <c r="O1420" t="s">
        <v>380</v>
      </c>
      <c r="R1420" t="s">
        <v>3398</v>
      </c>
      <c r="S1420" t="s">
        <v>2854</v>
      </c>
      <c r="V1420" t="s">
        <v>2855</v>
      </c>
      <c r="W1420" t="s">
        <v>2856</v>
      </c>
      <c r="AD1420" t="s">
        <v>3397</v>
      </c>
    </row>
    <row r="1421" spans="1:30" x14ac:dyDescent="0.25">
      <c r="A1421" t="s">
        <v>33</v>
      </c>
      <c r="D1421" t="s">
        <v>2847</v>
      </c>
      <c r="E1421" t="s">
        <v>2848</v>
      </c>
      <c r="F1421" t="s">
        <v>87</v>
      </c>
      <c r="G1421" t="s">
        <v>3382</v>
      </c>
      <c r="H1421" t="s">
        <v>153</v>
      </c>
      <c r="I1421" t="s">
        <v>180</v>
      </c>
      <c r="J1421" t="s">
        <v>154</v>
      </c>
      <c r="K1421" t="s">
        <v>155</v>
      </c>
      <c r="L1421" t="s">
        <v>3383</v>
      </c>
      <c r="N1421" t="s">
        <v>3384</v>
      </c>
      <c r="O1421" t="s">
        <v>187</v>
      </c>
      <c r="R1421" t="s">
        <v>3399</v>
      </c>
      <c r="S1421" t="s">
        <v>2854</v>
      </c>
      <c r="V1421" t="s">
        <v>2855</v>
      </c>
      <c r="W1421" t="s">
        <v>2856</v>
      </c>
      <c r="AD1421" t="s">
        <v>3400</v>
      </c>
    </row>
    <row r="1422" spans="1:30" x14ac:dyDescent="0.25">
      <c r="A1422" t="s">
        <v>33</v>
      </c>
      <c r="D1422" t="s">
        <v>2847</v>
      </c>
      <c r="E1422" t="s">
        <v>2848</v>
      </c>
      <c r="F1422" t="s">
        <v>87</v>
      </c>
      <c r="G1422" t="s">
        <v>3382</v>
      </c>
      <c r="H1422" t="s">
        <v>89</v>
      </c>
      <c r="I1422" t="s">
        <v>180</v>
      </c>
      <c r="J1422" t="s">
        <v>91</v>
      </c>
      <c r="K1422" t="s">
        <v>92</v>
      </c>
      <c r="L1422" t="s">
        <v>3383</v>
      </c>
      <c r="M1422" t="s">
        <v>94</v>
      </c>
      <c r="N1422" t="s">
        <v>3384</v>
      </c>
      <c r="O1422" t="s">
        <v>184</v>
      </c>
      <c r="P1422">
        <v>1E-3</v>
      </c>
      <c r="R1422" t="s">
        <v>3401</v>
      </c>
      <c r="S1422" t="s">
        <v>2854</v>
      </c>
      <c r="V1422" t="s">
        <v>2855</v>
      </c>
      <c r="W1422" t="s">
        <v>2856</v>
      </c>
      <c r="AD1422" t="s">
        <v>3402</v>
      </c>
    </row>
    <row r="1423" spans="1:30" x14ac:dyDescent="0.25">
      <c r="A1423" t="s">
        <v>33</v>
      </c>
      <c r="D1423" t="s">
        <v>2847</v>
      </c>
      <c r="E1423" t="s">
        <v>2859</v>
      </c>
      <c r="F1423" t="s">
        <v>866</v>
      </c>
      <c r="G1423" t="s">
        <v>3403</v>
      </c>
      <c r="H1423" t="s">
        <v>280</v>
      </c>
      <c r="I1423" t="s">
        <v>3404</v>
      </c>
      <c r="J1423" t="s">
        <v>282</v>
      </c>
      <c r="K1423" t="s">
        <v>283</v>
      </c>
      <c r="L1423" t="s">
        <v>3405</v>
      </c>
      <c r="N1423" t="s">
        <v>3406</v>
      </c>
      <c r="O1423" t="s">
        <v>3407</v>
      </c>
      <c r="Q1423" t="s">
        <v>3408</v>
      </c>
      <c r="R1423" t="s">
        <v>3409</v>
      </c>
      <c r="S1423" t="s">
        <v>2864</v>
      </c>
      <c r="V1423" t="s">
        <v>2855</v>
      </c>
      <c r="W1423" t="s">
        <v>2865</v>
      </c>
      <c r="AD1423" t="s">
        <v>3410</v>
      </c>
    </row>
    <row r="1424" spans="1:30" x14ac:dyDescent="0.25">
      <c r="A1424" t="s">
        <v>33</v>
      </c>
      <c r="D1424" t="s">
        <v>2847</v>
      </c>
      <c r="E1424" t="s">
        <v>2848</v>
      </c>
      <c r="F1424" t="s">
        <v>87</v>
      </c>
      <c r="G1424" t="s">
        <v>3382</v>
      </c>
      <c r="H1424" t="s">
        <v>143</v>
      </c>
      <c r="I1424" t="s">
        <v>180</v>
      </c>
      <c r="J1424" t="s">
        <v>145</v>
      </c>
      <c r="K1424" t="s">
        <v>146</v>
      </c>
      <c r="L1424" t="s">
        <v>3383</v>
      </c>
      <c r="M1424" t="s">
        <v>252</v>
      </c>
      <c r="N1424" t="s">
        <v>3384</v>
      </c>
      <c r="O1424" t="s">
        <v>181</v>
      </c>
      <c r="R1424" t="s">
        <v>3411</v>
      </c>
      <c r="S1424" t="s">
        <v>2854</v>
      </c>
      <c r="V1424" t="s">
        <v>2855</v>
      </c>
      <c r="W1424" t="s">
        <v>2856</v>
      </c>
      <c r="AD1424" t="s">
        <v>3412</v>
      </c>
    </row>
    <row r="1425" spans="1:30" x14ac:dyDescent="0.25">
      <c r="A1425" t="s">
        <v>947</v>
      </c>
      <c r="B1425" t="s">
        <v>1948</v>
      </c>
      <c r="C1425" t="s">
        <v>949</v>
      </c>
      <c r="D1425" t="s">
        <v>2847</v>
      </c>
      <c r="E1425" t="s">
        <v>2859</v>
      </c>
      <c r="F1425" t="s">
        <v>866</v>
      </c>
      <c r="G1425" t="s">
        <v>3403</v>
      </c>
      <c r="H1425" t="s">
        <v>166</v>
      </c>
      <c r="I1425" t="s">
        <v>3413</v>
      </c>
      <c r="J1425" t="s">
        <v>167</v>
      </c>
      <c r="K1425" t="s">
        <v>41</v>
      </c>
      <c r="L1425" t="s">
        <v>3405</v>
      </c>
      <c r="N1425" t="s">
        <v>3406</v>
      </c>
      <c r="O1425" t="s">
        <v>3414</v>
      </c>
      <c r="Q1425" t="s">
        <v>3415</v>
      </c>
      <c r="R1425" t="s">
        <v>3416</v>
      </c>
      <c r="S1425" t="s">
        <v>2864</v>
      </c>
      <c r="V1425" t="s">
        <v>2855</v>
      </c>
      <c r="W1425" t="s">
        <v>2865</v>
      </c>
      <c r="AD1425" t="s">
        <v>3417</v>
      </c>
    </row>
    <row r="1426" spans="1:30" x14ac:dyDescent="0.25">
      <c r="A1426" t="s">
        <v>33</v>
      </c>
      <c r="D1426" t="s">
        <v>2847</v>
      </c>
      <c r="E1426" t="s">
        <v>2848</v>
      </c>
      <c r="F1426" t="s">
        <v>87</v>
      </c>
      <c r="G1426" t="s">
        <v>3382</v>
      </c>
      <c r="H1426" t="s">
        <v>143</v>
      </c>
      <c r="I1426" t="s">
        <v>180</v>
      </c>
      <c r="J1426" t="s">
        <v>145</v>
      </c>
      <c r="K1426" t="s">
        <v>262</v>
      </c>
      <c r="L1426" t="s">
        <v>3383</v>
      </c>
      <c r="M1426" t="s">
        <v>252</v>
      </c>
      <c r="N1426" t="s">
        <v>3384</v>
      </c>
      <c r="O1426" t="s">
        <v>181</v>
      </c>
      <c r="R1426" t="s">
        <v>3418</v>
      </c>
      <c r="S1426" t="s">
        <v>2854</v>
      </c>
      <c r="V1426" t="s">
        <v>2855</v>
      </c>
      <c r="W1426" t="s">
        <v>2856</v>
      </c>
      <c r="AD1426" t="s">
        <v>3412</v>
      </c>
    </row>
    <row r="1427" spans="1:30" x14ac:dyDescent="0.25">
      <c r="A1427" t="s">
        <v>33</v>
      </c>
      <c r="D1427" t="s">
        <v>2847</v>
      </c>
      <c r="E1427" t="s">
        <v>2859</v>
      </c>
      <c r="F1427" t="s">
        <v>78</v>
      </c>
      <c r="G1427" t="s">
        <v>2288</v>
      </c>
      <c r="H1427" t="s">
        <v>153</v>
      </c>
      <c r="I1427" t="s">
        <v>160</v>
      </c>
      <c r="J1427" t="s">
        <v>154</v>
      </c>
      <c r="K1427" t="s">
        <v>155</v>
      </c>
      <c r="L1427" t="s">
        <v>2289</v>
      </c>
      <c r="N1427" t="s">
        <v>3419</v>
      </c>
      <c r="O1427" t="s">
        <v>163</v>
      </c>
      <c r="R1427" t="s">
        <v>3420</v>
      </c>
      <c r="S1427" t="s">
        <v>2864</v>
      </c>
      <c r="V1427" t="s">
        <v>2855</v>
      </c>
      <c r="W1427" t="s">
        <v>2865</v>
      </c>
      <c r="AD1427" t="s">
        <v>3421</v>
      </c>
    </row>
    <row r="1428" spans="1:30" x14ac:dyDescent="0.25">
      <c r="A1428" t="s">
        <v>33</v>
      </c>
      <c r="D1428" t="s">
        <v>2847</v>
      </c>
      <c r="E1428" t="s">
        <v>2848</v>
      </c>
      <c r="F1428" t="s">
        <v>87</v>
      </c>
      <c r="G1428" t="s">
        <v>3382</v>
      </c>
      <c r="H1428" t="s">
        <v>153</v>
      </c>
      <c r="I1428" t="s">
        <v>100</v>
      </c>
      <c r="J1428" t="s">
        <v>154</v>
      </c>
      <c r="K1428" t="s">
        <v>155</v>
      </c>
      <c r="L1428" t="s">
        <v>3383</v>
      </c>
      <c r="N1428" t="s">
        <v>3384</v>
      </c>
      <c r="O1428" t="s">
        <v>448</v>
      </c>
      <c r="R1428" t="s">
        <v>3422</v>
      </c>
      <c r="S1428" t="s">
        <v>2854</v>
      </c>
      <c r="V1428" t="s">
        <v>2855</v>
      </c>
      <c r="W1428" t="s">
        <v>2856</v>
      </c>
      <c r="AD1428" t="s">
        <v>3423</v>
      </c>
    </row>
    <row r="1429" spans="1:30" x14ac:dyDescent="0.25">
      <c r="A1429" t="s">
        <v>33</v>
      </c>
      <c r="D1429" t="s">
        <v>2847</v>
      </c>
      <c r="E1429" t="s">
        <v>2859</v>
      </c>
      <c r="F1429" t="s">
        <v>866</v>
      </c>
      <c r="G1429" t="s">
        <v>3403</v>
      </c>
      <c r="H1429" t="s">
        <v>166</v>
      </c>
      <c r="I1429" t="s">
        <v>281</v>
      </c>
      <c r="J1429" t="s">
        <v>167</v>
      </c>
      <c r="K1429" t="s">
        <v>41</v>
      </c>
      <c r="L1429" t="s">
        <v>3405</v>
      </c>
      <c r="N1429" t="s">
        <v>3406</v>
      </c>
      <c r="O1429" t="s">
        <v>858</v>
      </c>
      <c r="Q1429" t="s">
        <v>2536</v>
      </c>
      <c r="R1429" t="s">
        <v>3424</v>
      </c>
      <c r="S1429" t="s">
        <v>2864</v>
      </c>
      <c r="V1429" t="s">
        <v>2855</v>
      </c>
      <c r="W1429" t="s">
        <v>2865</v>
      </c>
      <c r="AD1429" t="s">
        <v>3425</v>
      </c>
    </row>
    <row r="1430" spans="1:30" x14ac:dyDescent="0.25">
      <c r="A1430" t="s">
        <v>33</v>
      </c>
      <c r="D1430" t="s">
        <v>2847</v>
      </c>
      <c r="E1430" t="s">
        <v>2848</v>
      </c>
      <c r="F1430" t="s">
        <v>87</v>
      </c>
      <c r="G1430" t="s">
        <v>3382</v>
      </c>
      <c r="H1430" t="s">
        <v>89</v>
      </c>
      <c r="I1430" t="s">
        <v>100</v>
      </c>
      <c r="J1430" t="s">
        <v>91</v>
      </c>
      <c r="K1430" t="s">
        <v>92</v>
      </c>
      <c r="L1430" t="s">
        <v>3383</v>
      </c>
      <c r="M1430" t="s">
        <v>94</v>
      </c>
      <c r="N1430" t="s">
        <v>3384</v>
      </c>
      <c r="O1430" t="s">
        <v>445</v>
      </c>
      <c r="P1430">
        <v>1E-3</v>
      </c>
      <c r="R1430" t="s">
        <v>3426</v>
      </c>
      <c r="S1430" t="s">
        <v>2854</v>
      </c>
      <c r="V1430" t="s">
        <v>2855</v>
      </c>
      <c r="W1430" t="s">
        <v>2856</v>
      </c>
      <c r="AD1430" t="s">
        <v>3427</v>
      </c>
    </row>
    <row r="1431" spans="1:30" x14ac:dyDescent="0.25">
      <c r="A1431" t="s">
        <v>33</v>
      </c>
      <c r="D1431" t="s">
        <v>2847</v>
      </c>
      <c r="E1431" t="s">
        <v>2869</v>
      </c>
      <c r="F1431" t="s">
        <v>2870</v>
      </c>
      <c r="G1431" t="s">
        <v>2871</v>
      </c>
      <c r="H1431" t="s">
        <v>153</v>
      </c>
      <c r="I1431" t="s">
        <v>479</v>
      </c>
      <c r="J1431" t="s">
        <v>154</v>
      </c>
      <c r="K1431" t="s">
        <v>155</v>
      </c>
      <c r="L1431" t="s">
        <v>2873</v>
      </c>
      <c r="N1431" t="s">
        <v>2874</v>
      </c>
      <c r="O1431" t="s">
        <v>480</v>
      </c>
      <c r="Q1431" t="s">
        <v>3428</v>
      </c>
      <c r="R1431" t="s">
        <v>3429</v>
      </c>
      <c r="S1431" t="s">
        <v>2864</v>
      </c>
      <c r="V1431" t="s">
        <v>2855</v>
      </c>
      <c r="W1431" t="s">
        <v>2865</v>
      </c>
      <c r="AD1431" t="s">
        <v>3430</v>
      </c>
    </row>
    <row r="1432" spans="1:30" x14ac:dyDescent="0.25">
      <c r="A1432" t="s">
        <v>33</v>
      </c>
      <c r="D1432" t="s">
        <v>2847</v>
      </c>
      <c r="E1432" t="s">
        <v>2848</v>
      </c>
      <c r="F1432" t="s">
        <v>87</v>
      </c>
      <c r="G1432" t="s">
        <v>3382</v>
      </c>
      <c r="H1432" t="s">
        <v>143</v>
      </c>
      <c r="I1432" t="s">
        <v>100</v>
      </c>
      <c r="J1432" t="s">
        <v>145</v>
      </c>
      <c r="K1432" t="s">
        <v>262</v>
      </c>
      <c r="L1432" t="s">
        <v>3383</v>
      </c>
      <c r="M1432" t="s">
        <v>252</v>
      </c>
      <c r="N1432" t="s">
        <v>3384</v>
      </c>
      <c r="O1432" t="s">
        <v>442</v>
      </c>
      <c r="R1432" t="s">
        <v>3431</v>
      </c>
      <c r="S1432" t="s">
        <v>2854</v>
      </c>
      <c r="V1432" t="s">
        <v>2855</v>
      </c>
      <c r="W1432" t="s">
        <v>2856</v>
      </c>
      <c r="AD1432" t="s">
        <v>3432</v>
      </c>
    </row>
    <row r="1433" spans="1:30" x14ac:dyDescent="0.25">
      <c r="A1433" t="s">
        <v>33</v>
      </c>
      <c r="D1433" t="s">
        <v>2847</v>
      </c>
      <c r="E1433" t="s">
        <v>2848</v>
      </c>
      <c r="F1433" t="s">
        <v>87</v>
      </c>
      <c r="G1433" t="s">
        <v>3382</v>
      </c>
      <c r="H1433" t="s">
        <v>143</v>
      </c>
      <c r="I1433" t="s">
        <v>100</v>
      </c>
      <c r="J1433" t="s">
        <v>145</v>
      </c>
      <c r="K1433" t="s">
        <v>146</v>
      </c>
      <c r="L1433" t="s">
        <v>3383</v>
      </c>
      <c r="M1433" t="s">
        <v>252</v>
      </c>
      <c r="N1433" t="s">
        <v>3384</v>
      </c>
      <c r="O1433" t="s">
        <v>442</v>
      </c>
      <c r="R1433" t="s">
        <v>3433</v>
      </c>
      <c r="S1433" t="s">
        <v>2854</v>
      </c>
      <c r="V1433" t="s">
        <v>2855</v>
      </c>
      <c r="W1433" t="s">
        <v>2856</v>
      </c>
      <c r="AD1433" t="s">
        <v>3432</v>
      </c>
    </row>
    <row r="1434" spans="1:30" x14ac:dyDescent="0.25">
      <c r="A1434" t="s">
        <v>33</v>
      </c>
      <c r="D1434" t="s">
        <v>2847</v>
      </c>
      <c r="E1434" t="s">
        <v>2848</v>
      </c>
      <c r="F1434" t="s">
        <v>87</v>
      </c>
      <c r="G1434" t="s">
        <v>3382</v>
      </c>
      <c r="H1434" t="s">
        <v>38</v>
      </c>
      <c r="I1434" t="s">
        <v>106</v>
      </c>
      <c r="J1434" t="s">
        <v>40</v>
      </c>
      <c r="K1434" t="s">
        <v>41</v>
      </c>
      <c r="L1434" t="s">
        <v>3383</v>
      </c>
      <c r="M1434" t="s">
        <v>252</v>
      </c>
      <c r="N1434" t="s">
        <v>3384</v>
      </c>
      <c r="O1434" t="s">
        <v>109</v>
      </c>
      <c r="R1434" t="s">
        <v>3434</v>
      </c>
      <c r="S1434" t="s">
        <v>2854</v>
      </c>
      <c r="V1434" t="s">
        <v>2855</v>
      </c>
      <c r="W1434" t="s">
        <v>2856</v>
      </c>
      <c r="AD1434" t="s">
        <v>3435</v>
      </c>
    </row>
    <row r="1435" spans="1:30" x14ac:dyDescent="0.25">
      <c r="A1435" t="s">
        <v>33</v>
      </c>
      <c r="D1435" t="s">
        <v>2847</v>
      </c>
      <c r="E1435" t="s">
        <v>2848</v>
      </c>
      <c r="F1435" t="s">
        <v>87</v>
      </c>
      <c r="G1435" t="s">
        <v>3382</v>
      </c>
      <c r="H1435" t="s">
        <v>38</v>
      </c>
      <c r="I1435" t="s">
        <v>25</v>
      </c>
      <c r="J1435" t="s">
        <v>69</v>
      </c>
      <c r="K1435" t="s">
        <v>41</v>
      </c>
      <c r="L1435" t="s">
        <v>3383</v>
      </c>
      <c r="M1435" t="s">
        <v>252</v>
      </c>
      <c r="N1435" t="s">
        <v>3384</v>
      </c>
      <c r="O1435" t="s">
        <v>512</v>
      </c>
      <c r="R1435" t="s">
        <v>3436</v>
      </c>
      <c r="S1435" t="s">
        <v>2854</v>
      </c>
      <c r="V1435" t="s">
        <v>2855</v>
      </c>
      <c r="W1435" t="s">
        <v>2856</v>
      </c>
      <c r="AD1435" t="s">
        <v>3437</v>
      </c>
    </row>
    <row r="1436" spans="1:30" x14ac:dyDescent="0.25">
      <c r="A1436" t="s">
        <v>33</v>
      </c>
      <c r="D1436" t="s">
        <v>2847</v>
      </c>
      <c r="E1436" t="s">
        <v>2848</v>
      </c>
      <c r="F1436" t="s">
        <v>87</v>
      </c>
      <c r="G1436" t="s">
        <v>3382</v>
      </c>
      <c r="H1436" t="s">
        <v>38</v>
      </c>
      <c r="I1436" t="s">
        <v>24</v>
      </c>
      <c r="J1436" t="s">
        <v>69</v>
      </c>
      <c r="K1436" t="s">
        <v>41</v>
      </c>
      <c r="L1436" t="s">
        <v>3383</v>
      </c>
      <c r="M1436" t="s">
        <v>252</v>
      </c>
      <c r="N1436" t="s">
        <v>3384</v>
      </c>
      <c r="O1436" t="s">
        <v>509</v>
      </c>
      <c r="R1436" t="s">
        <v>3438</v>
      </c>
      <c r="S1436" t="s">
        <v>2854</v>
      </c>
      <c r="V1436" t="s">
        <v>2855</v>
      </c>
      <c r="W1436" t="s">
        <v>2856</v>
      </c>
      <c r="AD1436" t="s">
        <v>3439</v>
      </c>
    </row>
    <row r="1437" spans="1:30" x14ac:dyDescent="0.25">
      <c r="A1437" t="s">
        <v>33</v>
      </c>
      <c r="D1437" t="s">
        <v>2847</v>
      </c>
      <c r="E1437" t="s">
        <v>2848</v>
      </c>
      <c r="F1437" t="s">
        <v>87</v>
      </c>
      <c r="G1437" t="s">
        <v>3440</v>
      </c>
      <c r="H1437" t="s">
        <v>153</v>
      </c>
      <c r="I1437" t="s">
        <v>144</v>
      </c>
      <c r="J1437" t="s">
        <v>154</v>
      </c>
      <c r="K1437" t="s">
        <v>155</v>
      </c>
      <c r="L1437" t="s">
        <v>3441</v>
      </c>
      <c r="N1437" t="s">
        <v>3442</v>
      </c>
      <c r="O1437" t="s">
        <v>156</v>
      </c>
      <c r="R1437" t="s">
        <v>3443</v>
      </c>
      <c r="S1437" t="s">
        <v>2854</v>
      </c>
      <c r="V1437" t="s">
        <v>2855</v>
      </c>
      <c r="W1437" t="s">
        <v>2856</v>
      </c>
      <c r="AD1437" t="s">
        <v>3444</v>
      </c>
    </row>
    <row r="1438" spans="1:30" x14ac:dyDescent="0.25">
      <c r="A1438" t="s">
        <v>33</v>
      </c>
      <c r="D1438" t="s">
        <v>2847</v>
      </c>
      <c r="E1438" t="s">
        <v>2848</v>
      </c>
      <c r="F1438" t="s">
        <v>87</v>
      </c>
      <c r="G1438" t="s">
        <v>3440</v>
      </c>
      <c r="H1438" t="s">
        <v>89</v>
      </c>
      <c r="I1438" t="s">
        <v>144</v>
      </c>
      <c r="J1438" t="s">
        <v>91</v>
      </c>
      <c r="K1438" t="s">
        <v>92</v>
      </c>
      <c r="L1438" t="s">
        <v>3441</v>
      </c>
      <c r="M1438" t="s">
        <v>94</v>
      </c>
      <c r="N1438" t="s">
        <v>3442</v>
      </c>
      <c r="O1438" t="s">
        <v>150</v>
      </c>
      <c r="P1438">
        <v>1E-3</v>
      </c>
      <c r="R1438" t="s">
        <v>3445</v>
      </c>
      <c r="S1438" t="s">
        <v>2854</v>
      </c>
      <c r="V1438" t="s">
        <v>2855</v>
      </c>
      <c r="W1438" t="s">
        <v>2856</v>
      </c>
      <c r="AD1438" t="s">
        <v>3446</v>
      </c>
    </row>
    <row r="1439" spans="1:30" x14ac:dyDescent="0.25">
      <c r="A1439" t="s">
        <v>33</v>
      </c>
      <c r="D1439" t="s">
        <v>2847</v>
      </c>
      <c r="E1439" t="s">
        <v>2848</v>
      </c>
      <c r="F1439" t="s">
        <v>87</v>
      </c>
      <c r="G1439" t="s">
        <v>3440</v>
      </c>
      <c r="H1439" t="s">
        <v>143</v>
      </c>
      <c r="I1439" t="s">
        <v>144</v>
      </c>
      <c r="J1439" t="s">
        <v>145</v>
      </c>
      <c r="K1439" t="s">
        <v>146</v>
      </c>
      <c r="L1439" t="s">
        <v>3441</v>
      </c>
      <c r="M1439" t="s">
        <v>252</v>
      </c>
      <c r="N1439" t="s">
        <v>3442</v>
      </c>
      <c r="O1439" t="s">
        <v>147</v>
      </c>
      <c r="R1439" t="s">
        <v>3447</v>
      </c>
      <c r="S1439" t="s">
        <v>2854</v>
      </c>
      <c r="V1439" t="s">
        <v>2855</v>
      </c>
      <c r="W1439" t="s">
        <v>2856</v>
      </c>
      <c r="AD1439" t="s">
        <v>3448</v>
      </c>
    </row>
    <row r="1440" spans="1:30" x14ac:dyDescent="0.25">
      <c r="A1440" t="s">
        <v>33</v>
      </c>
      <c r="D1440" t="s">
        <v>2847</v>
      </c>
      <c r="E1440" t="s">
        <v>2859</v>
      </c>
      <c r="F1440" t="s">
        <v>78</v>
      </c>
      <c r="G1440" t="s">
        <v>2288</v>
      </c>
      <c r="H1440" t="s">
        <v>166</v>
      </c>
      <c r="I1440" t="s">
        <v>80</v>
      </c>
      <c r="J1440" t="s">
        <v>167</v>
      </c>
      <c r="K1440" t="s">
        <v>41</v>
      </c>
      <c r="L1440" t="s">
        <v>2289</v>
      </c>
      <c r="N1440" t="s">
        <v>3419</v>
      </c>
      <c r="O1440" t="s">
        <v>84</v>
      </c>
      <c r="Q1440" t="s">
        <v>1161</v>
      </c>
      <c r="R1440" t="s">
        <v>3449</v>
      </c>
      <c r="S1440" t="s">
        <v>2864</v>
      </c>
      <c r="V1440" t="s">
        <v>2855</v>
      </c>
      <c r="W1440" t="s">
        <v>2865</v>
      </c>
      <c r="AD1440" t="s">
        <v>3450</v>
      </c>
    </row>
    <row r="1441" spans="1:30" x14ac:dyDescent="0.25">
      <c r="A1441" t="s">
        <v>33</v>
      </c>
      <c r="D1441" t="s">
        <v>2847</v>
      </c>
      <c r="E1441" t="s">
        <v>2869</v>
      </c>
      <c r="F1441" t="s">
        <v>2870</v>
      </c>
      <c r="G1441" t="s">
        <v>2871</v>
      </c>
      <c r="H1441" t="s">
        <v>153</v>
      </c>
      <c r="I1441" t="s">
        <v>3451</v>
      </c>
      <c r="J1441" t="s">
        <v>154</v>
      </c>
      <c r="K1441" t="s">
        <v>155</v>
      </c>
      <c r="L1441" t="s">
        <v>2873</v>
      </c>
      <c r="N1441" t="s">
        <v>2874</v>
      </c>
      <c r="O1441" t="s">
        <v>3452</v>
      </c>
      <c r="R1441" t="s">
        <v>3453</v>
      </c>
      <c r="S1441" t="s">
        <v>2864</v>
      </c>
      <c r="V1441" t="s">
        <v>2855</v>
      </c>
      <c r="W1441" t="s">
        <v>2865</v>
      </c>
      <c r="AD1441" t="s">
        <v>3454</v>
      </c>
    </row>
    <row r="1442" spans="1:30" x14ac:dyDescent="0.25">
      <c r="A1442" t="s">
        <v>33</v>
      </c>
      <c r="D1442" t="s">
        <v>2847</v>
      </c>
      <c r="E1442" t="s">
        <v>2859</v>
      </c>
      <c r="F1442" t="s">
        <v>866</v>
      </c>
      <c r="G1442" t="s">
        <v>3403</v>
      </c>
      <c r="H1442" t="s">
        <v>166</v>
      </c>
      <c r="I1442" t="s">
        <v>80</v>
      </c>
      <c r="J1442" t="s">
        <v>167</v>
      </c>
      <c r="K1442" t="s">
        <v>41</v>
      </c>
      <c r="L1442" t="s">
        <v>3405</v>
      </c>
      <c r="N1442" t="s">
        <v>3406</v>
      </c>
      <c r="O1442" t="s">
        <v>862</v>
      </c>
      <c r="Q1442" t="s">
        <v>863</v>
      </c>
      <c r="R1442" t="s">
        <v>3455</v>
      </c>
      <c r="S1442" t="s">
        <v>2864</v>
      </c>
      <c r="V1442" t="s">
        <v>2855</v>
      </c>
      <c r="W1442" t="s">
        <v>2865</v>
      </c>
      <c r="AD1442" t="s">
        <v>3456</v>
      </c>
    </row>
    <row r="1443" spans="1:30" x14ac:dyDescent="0.25">
      <c r="A1443" t="s">
        <v>33</v>
      </c>
      <c r="D1443" t="s">
        <v>2847</v>
      </c>
      <c r="E1443" t="s">
        <v>2869</v>
      </c>
      <c r="F1443" t="s">
        <v>2870</v>
      </c>
      <c r="G1443" t="s">
        <v>2871</v>
      </c>
      <c r="H1443" t="s">
        <v>280</v>
      </c>
      <c r="I1443" t="s">
        <v>504</v>
      </c>
      <c r="J1443" t="s">
        <v>282</v>
      </c>
      <c r="K1443" t="s">
        <v>283</v>
      </c>
      <c r="L1443" t="s">
        <v>2873</v>
      </c>
      <c r="N1443" t="s">
        <v>2874</v>
      </c>
      <c r="O1443" t="s">
        <v>505</v>
      </c>
      <c r="Q1443" t="s">
        <v>3457</v>
      </c>
      <c r="R1443" t="s">
        <v>3458</v>
      </c>
      <c r="S1443" t="s">
        <v>2864</v>
      </c>
      <c r="V1443" t="s">
        <v>2855</v>
      </c>
      <c r="W1443" t="s">
        <v>2865</v>
      </c>
      <c r="AD1443" t="s">
        <v>3459</v>
      </c>
    </row>
    <row r="1444" spans="1:30" x14ac:dyDescent="0.25">
      <c r="A1444" t="s">
        <v>33</v>
      </c>
      <c r="D1444" t="s">
        <v>2847</v>
      </c>
      <c r="E1444" t="s">
        <v>2859</v>
      </c>
      <c r="F1444" t="s">
        <v>866</v>
      </c>
      <c r="G1444" t="s">
        <v>3403</v>
      </c>
      <c r="H1444" t="s">
        <v>166</v>
      </c>
      <c r="I1444" t="s">
        <v>216</v>
      </c>
      <c r="J1444" t="s">
        <v>167</v>
      </c>
      <c r="K1444" t="s">
        <v>41</v>
      </c>
      <c r="L1444" t="s">
        <v>3405</v>
      </c>
      <c r="N1444" t="s">
        <v>3406</v>
      </c>
      <c r="O1444" t="s">
        <v>872</v>
      </c>
      <c r="Q1444" t="s">
        <v>1275</v>
      </c>
      <c r="R1444" t="s">
        <v>3460</v>
      </c>
      <c r="S1444" t="s">
        <v>2864</v>
      </c>
      <c r="V1444" t="s">
        <v>2855</v>
      </c>
      <c r="W1444" t="s">
        <v>2865</v>
      </c>
      <c r="AD1444" t="s">
        <v>3461</v>
      </c>
    </row>
    <row r="1445" spans="1:30" x14ac:dyDescent="0.25">
      <c r="A1445" t="s">
        <v>33</v>
      </c>
      <c r="D1445" t="s">
        <v>2847</v>
      </c>
      <c r="E1445" t="s">
        <v>2859</v>
      </c>
      <c r="F1445" t="s">
        <v>866</v>
      </c>
      <c r="G1445" t="s">
        <v>3403</v>
      </c>
      <c r="H1445" t="s">
        <v>143</v>
      </c>
      <c r="I1445" t="s">
        <v>1147</v>
      </c>
      <c r="J1445" t="s">
        <v>145</v>
      </c>
      <c r="K1445" t="s">
        <v>262</v>
      </c>
      <c r="L1445" t="s">
        <v>3405</v>
      </c>
      <c r="M1445" t="s">
        <v>3327</v>
      </c>
      <c r="N1445" t="s">
        <v>3406</v>
      </c>
      <c r="O1445" t="s">
        <v>2091</v>
      </c>
      <c r="R1445" t="s">
        <v>3462</v>
      </c>
      <c r="S1445" t="s">
        <v>2864</v>
      </c>
      <c r="V1445" t="s">
        <v>2855</v>
      </c>
      <c r="W1445" t="s">
        <v>2865</v>
      </c>
      <c r="X1445" t="s">
        <v>1193</v>
      </c>
      <c r="AD1445" t="s">
        <v>3463</v>
      </c>
    </row>
    <row r="1446" spans="1:30" x14ac:dyDescent="0.25">
      <c r="A1446" t="s">
        <v>33</v>
      </c>
      <c r="D1446" t="s">
        <v>2847</v>
      </c>
      <c r="E1446" t="s">
        <v>2859</v>
      </c>
      <c r="F1446" t="s">
        <v>866</v>
      </c>
      <c r="G1446" t="s">
        <v>3403</v>
      </c>
      <c r="H1446" t="s">
        <v>143</v>
      </c>
      <c r="I1446" t="s">
        <v>2087</v>
      </c>
      <c r="J1446" t="s">
        <v>145</v>
      </c>
      <c r="K1446" t="s">
        <v>262</v>
      </c>
      <c r="L1446" t="s">
        <v>3405</v>
      </c>
      <c r="M1446" t="s">
        <v>3327</v>
      </c>
      <c r="N1446" t="s">
        <v>3406</v>
      </c>
      <c r="O1446" t="s">
        <v>2088</v>
      </c>
      <c r="R1446" t="s">
        <v>3464</v>
      </c>
      <c r="S1446" t="s">
        <v>2864</v>
      </c>
      <c r="V1446" t="s">
        <v>2855</v>
      </c>
      <c r="W1446" t="s">
        <v>2865</v>
      </c>
      <c r="X1446" t="s">
        <v>1193</v>
      </c>
      <c r="AD1446" t="s">
        <v>3465</v>
      </c>
    </row>
    <row r="1447" spans="1:30" x14ac:dyDescent="0.25">
      <c r="A1447" t="s">
        <v>33</v>
      </c>
      <c r="D1447" t="s">
        <v>2847</v>
      </c>
      <c r="E1447" t="s">
        <v>2859</v>
      </c>
      <c r="F1447" t="s">
        <v>866</v>
      </c>
      <c r="G1447" t="s">
        <v>3403</v>
      </c>
      <c r="H1447" t="s">
        <v>153</v>
      </c>
      <c r="I1447" t="s">
        <v>598</v>
      </c>
      <c r="J1447" t="s">
        <v>154</v>
      </c>
      <c r="K1447" t="s">
        <v>155</v>
      </c>
      <c r="L1447" t="s">
        <v>3405</v>
      </c>
      <c r="N1447" t="s">
        <v>3406</v>
      </c>
      <c r="O1447" t="s">
        <v>599</v>
      </c>
      <c r="R1447" t="s">
        <v>3466</v>
      </c>
      <c r="S1447" t="s">
        <v>2864</v>
      </c>
      <c r="V1447" t="s">
        <v>2855</v>
      </c>
      <c r="W1447" t="s">
        <v>2865</v>
      </c>
      <c r="AD1447" t="s">
        <v>3467</v>
      </c>
    </row>
    <row r="1448" spans="1:30" x14ac:dyDescent="0.25">
      <c r="A1448" t="s">
        <v>33</v>
      </c>
      <c r="D1448" t="s">
        <v>2847</v>
      </c>
      <c r="E1448" t="s">
        <v>2859</v>
      </c>
      <c r="F1448" t="s">
        <v>866</v>
      </c>
      <c r="G1448" t="s">
        <v>3403</v>
      </c>
      <c r="H1448" t="s">
        <v>143</v>
      </c>
      <c r="I1448" t="s">
        <v>2087</v>
      </c>
      <c r="J1448" t="s">
        <v>145</v>
      </c>
      <c r="K1448" t="s">
        <v>146</v>
      </c>
      <c r="L1448" t="s">
        <v>3405</v>
      </c>
      <c r="M1448" t="s">
        <v>3327</v>
      </c>
      <c r="N1448" t="s">
        <v>3406</v>
      </c>
      <c r="O1448" t="s">
        <v>2088</v>
      </c>
      <c r="R1448" t="s">
        <v>3468</v>
      </c>
      <c r="S1448" t="s">
        <v>2864</v>
      </c>
      <c r="V1448" t="s">
        <v>2855</v>
      </c>
      <c r="W1448" t="s">
        <v>2865</v>
      </c>
      <c r="X1448" t="s">
        <v>1193</v>
      </c>
      <c r="AD1448" t="s">
        <v>3465</v>
      </c>
    </row>
    <row r="1449" spans="1:30" x14ac:dyDescent="0.25">
      <c r="A1449" t="s">
        <v>33</v>
      </c>
      <c r="D1449" t="s">
        <v>2847</v>
      </c>
      <c r="E1449" t="s">
        <v>2859</v>
      </c>
      <c r="F1449" t="s">
        <v>866</v>
      </c>
      <c r="G1449" t="s">
        <v>3403</v>
      </c>
      <c r="H1449" t="s">
        <v>143</v>
      </c>
      <c r="I1449" t="s">
        <v>1147</v>
      </c>
      <c r="J1449" t="s">
        <v>145</v>
      </c>
      <c r="K1449" t="s">
        <v>146</v>
      </c>
      <c r="L1449" t="s">
        <v>3405</v>
      </c>
      <c r="M1449" t="s">
        <v>3327</v>
      </c>
      <c r="N1449" t="s">
        <v>3406</v>
      </c>
      <c r="O1449" t="s">
        <v>2091</v>
      </c>
      <c r="R1449" t="s">
        <v>3469</v>
      </c>
      <c r="S1449" t="s">
        <v>2864</v>
      </c>
      <c r="V1449" t="s">
        <v>2855</v>
      </c>
      <c r="W1449" t="s">
        <v>2865</v>
      </c>
      <c r="X1449" t="s">
        <v>1193</v>
      </c>
      <c r="AD1449" t="s">
        <v>3463</v>
      </c>
    </row>
    <row r="1450" spans="1:30" x14ac:dyDescent="0.25">
      <c r="A1450" t="s">
        <v>33</v>
      </c>
      <c r="D1450" t="s">
        <v>2847</v>
      </c>
      <c r="E1450" t="s">
        <v>2859</v>
      </c>
      <c r="F1450" t="s">
        <v>866</v>
      </c>
      <c r="G1450" t="s">
        <v>3403</v>
      </c>
      <c r="H1450" t="s">
        <v>280</v>
      </c>
      <c r="I1450" t="s">
        <v>3311</v>
      </c>
      <c r="J1450" t="s">
        <v>282</v>
      </c>
      <c r="K1450" t="s">
        <v>283</v>
      </c>
      <c r="L1450" t="s">
        <v>3405</v>
      </c>
      <c r="N1450" t="s">
        <v>3406</v>
      </c>
      <c r="O1450" t="s">
        <v>3312</v>
      </c>
      <c r="Q1450" t="s">
        <v>3313</v>
      </c>
      <c r="R1450" t="s">
        <v>3470</v>
      </c>
      <c r="S1450" t="s">
        <v>2864</v>
      </c>
      <c r="V1450" t="s">
        <v>2855</v>
      </c>
      <c r="W1450" t="s">
        <v>2865</v>
      </c>
      <c r="AD1450" t="s">
        <v>3471</v>
      </c>
    </row>
    <row r="1451" spans="1:30" x14ac:dyDescent="0.25">
      <c r="A1451" t="s">
        <v>947</v>
      </c>
      <c r="B1451" t="s">
        <v>1948</v>
      </c>
      <c r="C1451" t="s">
        <v>949</v>
      </c>
      <c r="D1451" t="s">
        <v>2847</v>
      </c>
      <c r="E1451" t="s">
        <v>2859</v>
      </c>
      <c r="F1451" t="s">
        <v>866</v>
      </c>
      <c r="G1451" t="s">
        <v>3403</v>
      </c>
      <c r="H1451" t="s">
        <v>143</v>
      </c>
      <c r="I1451" t="s">
        <v>3472</v>
      </c>
      <c r="J1451" t="s">
        <v>145</v>
      </c>
      <c r="K1451" t="s">
        <v>146</v>
      </c>
      <c r="L1451" t="s">
        <v>3405</v>
      </c>
      <c r="M1451" t="s">
        <v>960</v>
      </c>
      <c r="N1451" t="s">
        <v>3406</v>
      </c>
      <c r="O1451" t="s">
        <v>3473</v>
      </c>
      <c r="R1451" t="s">
        <v>3474</v>
      </c>
      <c r="S1451" t="s">
        <v>2864</v>
      </c>
      <c r="V1451" t="s">
        <v>2855</v>
      </c>
      <c r="W1451" t="s">
        <v>2865</v>
      </c>
      <c r="X1451" t="s">
        <v>963</v>
      </c>
      <c r="AD1451" t="s">
        <v>3475</v>
      </c>
    </row>
    <row r="1452" spans="1:30" x14ac:dyDescent="0.25">
      <c r="A1452" t="s">
        <v>33</v>
      </c>
      <c r="D1452" t="s">
        <v>2847</v>
      </c>
      <c r="E1452" t="s">
        <v>2848</v>
      </c>
      <c r="F1452" t="s">
        <v>87</v>
      </c>
      <c r="G1452" t="s">
        <v>3440</v>
      </c>
      <c r="H1452" t="s">
        <v>143</v>
      </c>
      <c r="I1452" t="s">
        <v>144</v>
      </c>
      <c r="J1452" t="s">
        <v>145</v>
      </c>
      <c r="K1452" t="s">
        <v>262</v>
      </c>
      <c r="L1452" t="s">
        <v>3441</v>
      </c>
      <c r="M1452" t="s">
        <v>252</v>
      </c>
      <c r="N1452" t="s">
        <v>3442</v>
      </c>
      <c r="O1452" t="s">
        <v>147</v>
      </c>
      <c r="R1452" t="s">
        <v>3476</v>
      </c>
      <c r="S1452" t="s">
        <v>2854</v>
      </c>
      <c r="V1452" t="s">
        <v>2855</v>
      </c>
      <c r="W1452" t="s">
        <v>2856</v>
      </c>
      <c r="AD1452" t="s">
        <v>3448</v>
      </c>
    </row>
    <row r="1453" spans="1:30" x14ac:dyDescent="0.25">
      <c r="A1453" t="s">
        <v>33</v>
      </c>
      <c r="D1453" t="s">
        <v>2847</v>
      </c>
      <c r="E1453" t="s">
        <v>2848</v>
      </c>
      <c r="F1453" t="s">
        <v>87</v>
      </c>
      <c r="G1453" t="s">
        <v>3440</v>
      </c>
      <c r="H1453" t="s">
        <v>153</v>
      </c>
      <c r="I1453" t="s">
        <v>90</v>
      </c>
      <c r="J1453" t="s">
        <v>154</v>
      </c>
      <c r="K1453" t="s">
        <v>155</v>
      </c>
      <c r="L1453" t="s">
        <v>3441</v>
      </c>
      <c r="N1453" t="s">
        <v>3442</v>
      </c>
      <c r="O1453" t="s">
        <v>386</v>
      </c>
      <c r="R1453" t="s">
        <v>3477</v>
      </c>
      <c r="S1453" t="s">
        <v>2854</v>
      </c>
      <c r="V1453" t="s">
        <v>2855</v>
      </c>
      <c r="W1453" t="s">
        <v>2856</v>
      </c>
      <c r="AD1453" t="s">
        <v>3478</v>
      </c>
    </row>
    <row r="1454" spans="1:30" x14ac:dyDescent="0.25">
      <c r="A1454" t="s">
        <v>33</v>
      </c>
      <c r="D1454" t="s">
        <v>2847</v>
      </c>
      <c r="E1454" t="s">
        <v>2859</v>
      </c>
      <c r="F1454" t="s">
        <v>78</v>
      </c>
      <c r="G1454" t="s">
        <v>2288</v>
      </c>
      <c r="H1454" t="s">
        <v>166</v>
      </c>
      <c r="I1454" t="s">
        <v>160</v>
      </c>
      <c r="J1454" t="s">
        <v>167</v>
      </c>
      <c r="K1454" t="s">
        <v>41</v>
      </c>
      <c r="L1454" t="s">
        <v>2289</v>
      </c>
      <c r="N1454" t="s">
        <v>3419</v>
      </c>
      <c r="O1454" t="s">
        <v>168</v>
      </c>
      <c r="Q1454" t="s">
        <v>169</v>
      </c>
      <c r="R1454" t="s">
        <v>3479</v>
      </c>
      <c r="S1454" t="s">
        <v>2864</v>
      </c>
      <c r="V1454" t="s">
        <v>2855</v>
      </c>
      <c r="W1454" t="s">
        <v>2865</v>
      </c>
      <c r="AD1454" t="s">
        <v>3480</v>
      </c>
    </row>
    <row r="1455" spans="1:30" x14ac:dyDescent="0.25">
      <c r="A1455" t="s">
        <v>33</v>
      </c>
      <c r="D1455" t="s">
        <v>2847</v>
      </c>
      <c r="E1455" t="s">
        <v>2859</v>
      </c>
      <c r="F1455" t="s">
        <v>36</v>
      </c>
      <c r="G1455" t="s">
        <v>2921</v>
      </c>
      <c r="H1455" t="s">
        <v>89</v>
      </c>
      <c r="I1455" t="s">
        <v>180</v>
      </c>
      <c r="J1455" t="s">
        <v>91</v>
      </c>
      <c r="K1455" t="s">
        <v>92</v>
      </c>
      <c r="L1455" t="s">
        <v>2922</v>
      </c>
      <c r="M1455" t="s">
        <v>94</v>
      </c>
      <c r="N1455" t="s">
        <v>2923</v>
      </c>
      <c r="O1455" t="s">
        <v>184</v>
      </c>
      <c r="P1455">
        <v>1E-3</v>
      </c>
      <c r="R1455" t="s">
        <v>3481</v>
      </c>
      <c r="S1455" t="s">
        <v>2864</v>
      </c>
      <c r="V1455" t="s">
        <v>2855</v>
      </c>
      <c r="W1455" t="s">
        <v>2865</v>
      </c>
      <c r="AD1455" t="s">
        <v>3482</v>
      </c>
    </row>
    <row r="1456" spans="1:30" x14ac:dyDescent="0.25">
      <c r="A1456" t="s">
        <v>33</v>
      </c>
      <c r="D1456" t="s">
        <v>2847</v>
      </c>
      <c r="E1456" t="s">
        <v>2859</v>
      </c>
      <c r="F1456" t="s">
        <v>36</v>
      </c>
      <c r="G1456" t="s">
        <v>2921</v>
      </c>
      <c r="H1456" t="s">
        <v>143</v>
      </c>
      <c r="I1456" t="s">
        <v>180</v>
      </c>
      <c r="J1456" t="s">
        <v>145</v>
      </c>
      <c r="K1456" t="s">
        <v>146</v>
      </c>
      <c r="L1456" t="s">
        <v>2922</v>
      </c>
      <c r="M1456" t="s">
        <v>3483</v>
      </c>
      <c r="N1456" t="s">
        <v>2923</v>
      </c>
      <c r="O1456" t="s">
        <v>181</v>
      </c>
      <c r="R1456" t="s">
        <v>3484</v>
      </c>
      <c r="S1456" t="s">
        <v>2864</v>
      </c>
      <c r="V1456" t="s">
        <v>2855</v>
      </c>
      <c r="W1456" t="s">
        <v>2865</v>
      </c>
      <c r="X1456" t="s">
        <v>963</v>
      </c>
      <c r="AD1456" t="s">
        <v>3485</v>
      </c>
    </row>
    <row r="1457" spans="1:32" x14ac:dyDescent="0.25">
      <c r="A1457" t="s">
        <v>33</v>
      </c>
      <c r="D1457" t="s">
        <v>2847</v>
      </c>
      <c r="E1457" t="s">
        <v>2859</v>
      </c>
      <c r="F1457" t="s">
        <v>36</v>
      </c>
      <c r="G1457" t="s">
        <v>2921</v>
      </c>
      <c r="H1457" t="s">
        <v>38</v>
      </c>
      <c r="I1457" t="s">
        <v>63</v>
      </c>
      <c r="J1457" t="s">
        <v>40</v>
      </c>
      <c r="K1457" t="s">
        <v>41</v>
      </c>
      <c r="L1457" t="s">
        <v>2922</v>
      </c>
      <c r="M1457" t="s">
        <v>3483</v>
      </c>
      <c r="N1457" t="s">
        <v>2923</v>
      </c>
      <c r="O1457" t="s">
        <v>65</v>
      </c>
      <c r="R1457" t="s">
        <v>3486</v>
      </c>
      <c r="S1457" t="s">
        <v>2864</v>
      </c>
      <c r="V1457" t="s">
        <v>2855</v>
      </c>
      <c r="W1457" t="s">
        <v>2865</v>
      </c>
      <c r="X1457" t="s">
        <v>963</v>
      </c>
      <c r="AD1457" t="s">
        <v>3487</v>
      </c>
    </row>
    <row r="1458" spans="1:32" x14ac:dyDescent="0.25">
      <c r="A1458" t="s">
        <v>33</v>
      </c>
      <c r="D1458" t="s">
        <v>2847</v>
      </c>
      <c r="E1458" t="s">
        <v>2859</v>
      </c>
      <c r="F1458" t="s">
        <v>36</v>
      </c>
      <c r="G1458" t="s">
        <v>3488</v>
      </c>
      <c r="H1458" t="s">
        <v>38</v>
      </c>
      <c r="I1458" t="s">
        <v>74</v>
      </c>
      <c r="J1458" t="s">
        <v>69</v>
      </c>
      <c r="K1458" t="s">
        <v>41</v>
      </c>
      <c r="L1458" t="s">
        <v>3489</v>
      </c>
      <c r="M1458" t="s">
        <v>960</v>
      </c>
      <c r="N1458" t="s">
        <v>3490</v>
      </c>
      <c r="O1458" t="s">
        <v>75</v>
      </c>
      <c r="R1458" t="s">
        <v>3491</v>
      </c>
      <c r="S1458" t="s">
        <v>2864</v>
      </c>
      <c r="V1458" t="s">
        <v>2855</v>
      </c>
      <c r="W1458" t="s">
        <v>2865</v>
      </c>
      <c r="X1458" t="s">
        <v>963</v>
      </c>
      <c r="AD1458" t="s">
        <v>3492</v>
      </c>
    </row>
    <row r="1459" spans="1:32" x14ac:dyDescent="0.25">
      <c r="A1459" t="s">
        <v>33</v>
      </c>
      <c r="D1459" t="s">
        <v>2847</v>
      </c>
      <c r="E1459" t="s">
        <v>2859</v>
      </c>
      <c r="F1459" t="s">
        <v>36</v>
      </c>
      <c r="G1459" t="s">
        <v>3488</v>
      </c>
      <c r="H1459" t="s">
        <v>38</v>
      </c>
      <c r="I1459" t="s">
        <v>68</v>
      </c>
      <c r="J1459" t="s">
        <v>69</v>
      </c>
      <c r="K1459" t="s">
        <v>41</v>
      </c>
      <c r="L1459" t="s">
        <v>3489</v>
      </c>
      <c r="M1459" t="s">
        <v>960</v>
      </c>
      <c r="N1459" t="s">
        <v>3490</v>
      </c>
      <c r="O1459" t="s">
        <v>71</v>
      </c>
      <c r="R1459" t="s">
        <v>3493</v>
      </c>
      <c r="S1459" t="s">
        <v>2864</v>
      </c>
      <c r="V1459" t="s">
        <v>2855</v>
      </c>
      <c r="W1459" t="s">
        <v>2865</v>
      </c>
      <c r="X1459" t="s">
        <v>963</v>
      </c>
      <c r="AD1459" t="s">
        <v>3494</v>
      </c>
    </row>
    <row r="1460" spans="1:32" x14ac:dyDescent="0.25">
      <c r="A1460" t="s">
        <v>33</v>
      </c>
      <c r="D1460" t="s">
        <v>2847</v>
      </c>
      <c r="E1460" t="s">
        <v>2893</v>
      </c>
      <c r="F1460" t="s">
        <v>36</v>
      </c>
      <c r="G1460" t="s">
        <v>3495</v>
      </c>
      <c r="H1460" t="s">
        <v>38</v>
      </c>
      <c r="I1460" t="s">
        <v>63</v>
      </c>
      <c r="J1460" t="s">
        <v>40</v>
      </c>
      <c r="K1460" t="s">
        <v>41</v>
      </c>
      <c r="L1460" t="s">
        <v>3496</v>
      </c>
      <c r="M1460" t="s">
        <v>3483</v>
      </c>
      <c r="N1460" t="s">
        <v>3497</v>
      </c>
      <c r="O1460" t="s">
        <v>65</v>
      </c>
      <c r="R1460" t="s">
        <v>3498</v>
      </c>
      <c r="S1460" t="s">
        <v>2864</v>
      </c>
      <c r="V1460" t="s">
        <v>2855</v>
      </c>
      <c r="W1460" t="s">
        <v>2898</v>
      </c>
      <c r="X1460" t="s">
        <v>963</v>
      </c>
      <c r="AD1460" t="s">
        <v>3499</v>
      </c>
    </row>
    <row r="1461" spans="1:32" x14ac:dyDescent="0.25">
      <c r="A1461" t="s">
        <v>33</v>
      </c>
      <c r="D1461" t="s">
        <v>2847</v>
      </c>
      <c r="E1461" t="s">
        <v>2893</v>
      </c>
      <c r="F1461" t="s">
        <v>36</v>
      </c>
      <c r="G1461" t="s">
        <v>3500</v>
      </c>
      <c r="H1461" t="s">
        <v>153</v>
      </c>
      <c r="I1461" t="s">
        <v>144</v>
      </c>
      <c r="J1461" t="s">
        <v>154</v>
      </c>
      <c r="K1461" t="s">
        <v>155</v>
      </c>
      <c r="L1461" t="s">
        <v>3501</v>
      </c>
      <c r="N1461" t="s">
        <v>3502</v>
      </c>
      <c r="O1461" t="s">
        <v>156</v>
      </c>
      <c r="R1461" t="s">
        <v>3503</v>
      </c>
      <c r="S1461" t="s">
        <v>2864</v>
      </c>
      <c r="V1461" t="s">
        <v>2855</v>
      </c>
      <c r="W1461" t="s">
        <v>2898</v>
      </c>
      <c r="AD1461" t="s">
        <v>3504</v>
      </c>
    </row>
    <row r="1462" spans="1:32" x14ac:dyDescent="0.25">
      <c r="A1462" t="s">
        <v>33</v>
      </c>
      <c r="D1462" t="s">
        <v>2847</v>
      </c>
      <c r="E1462" t="s">
        <v>2893</v>
      </c>
      <c r="F1462" t="s">
        <v>36</v>
      </c>
      <c r="G1462" t="s">
        <v>3500</v>
      </c>
      <c r="H1462" t="s">
        <v>153</v>
      </c>
      <c r="I1462" t="s">
        <v>90</v>
      </c>
      <c r="J1462" t="s">
        <v>154</v>
      </c>
      <c r="K1462" t="s">
        <v>155</v>
      </c>
      <c r="L1462" t="s">
        <v>3501</v>
      </c>
      <c r="N1462" t="s">
        <v>3502</v>
      </c>
      <c r="O1462" t="s">
        <v>386</v>
      </c>
      <c r="R1462" t="s">
        <v>3505</v>
      </c>
      <c r="S1462" t="s">
        <v>2864</v>
      </c>
      <c r="V1462" t="s">
        <v>2855</v>
      </c>
      <c r="W1462" t="s">
        <v>2898</v>
      </c>
      <c r="AC1462" t="s">
        <v>3506</v>
      </c>
      <c r="AD1462" t="s">
        <v>3507</v>
      </c>
      <c r="AE1462" t="s">
        <v>3508</v>
      </c>
      <c r="AF1462">
        <v>2</v>
      </c>
    </row>
    <row r="1463" spans="1:32" x14ac:dyDescent="0.25">
      <c r="A1463" t="s">
        <v>33</v>
      </c>
      <c r="D1463" t="s">
        <v>2847</v>
      </c>
      <c r="E1463" t="s">
        <v>2893</v>
      </c>
      <c r="F1463" t="s">
        <v>36</v>
      </c>
      <c r="G1463" t="s">
        <v>3500</v>
      </c>
      <c r="H1463" t="s">
        <v>89</v>
      </c>
      <c r="I1463" t="s">
        <v>90</v>
      </c>
      <c r="J1463" t="s">
        <v>91</v>
      </c>
      <c r="K1463" t="s">
        <v>92</v>
      </c>
      <c r="L1463" t="s">
        <v>3501</v>
      </c>
      <c r="M1463" t="s">
        <v>94</v>
      </c>
      <c r="N1463" t="s">
        <v>3502</v>
      </c>
      <c r="O1463" t="s">
        <v>383</v>
      </c>
      <c r="P1463">
        <v>1E-3</v>
      </c>
      <c r="R1463" t="s">
        <v>3509</v>
      </c>
      <c r="S1463" t="s">
        <v>2864</v>
      </c>
      <c r="V1463" t="s">
        <v>2855</v>
      </c>
      <c r="W1463" t="s">
        <v>2898</v>
      </c>
      <c r="AD1463" t="s">
        <v>3510</v>
      </c>
    </row>
    <row r="1464" spans="1:32" x14ac:dyDescent="0.25">
      <c r="A1464" t="s">
        <v>33</v>
      </c>
      <c r="D1464" t="s">
        <v>2847</v>
      </c>
      <c r="E1464" t="s">
        <v>2893</v>
      </c>
      <c r="F1464" t="s">
        <v>36</v>
      </c>
      <c r="G1464" t="s">
        <v>3500</v>
      </c>
      <c r="H1464" t="s">
        <v>89</v>
      </c>
      <c r="I1464" t="s">
        <v>144</v>
      </c>
      <c r="J1464" t="s">
        <v>91</v>
      </c>
      <c r="K1464" t="s">
        <v>92</v>
      </c>
      <c r="L1464" t="s">
        <v>3501</v>
      </c>
      <c r="M1464" t="s">
        <v>94</v>
      </c>
      <c r="N1464" t="s">
        <v>3502</v>
      </c>
      <c r="O1464" t="s">
        <v>150</v>
      </c>
      <c r="P1464">
        <v>1E-3</v>
      </c>
      <c r="R1464" t="s">
        <v>3511</v>
      </c>
      <c r="S1464" t="s">
        <v>2864</v>
      </c>
      <c r="V1464" t="s">
        <v>2855</v>
      </c>
      <c r="W1464" t="s">
        <v>2898</v>
      </c>
      <c r="AD1464" t="s">
        <v>3512</v>
      </c>
    </row>
    <row r="1465" spans="1:32" x14ac:dyDescent="0.25">
      <c r="A1465" t="s">
        <v>33</v>
      </c>
      <c r="D1465" t="s">
        <v>2847</v>
      </c>
      <c r="E1465" t="s">
        <v>2893</v>
      </c>
      <c r="F1465" t="s">
        <v>36</v>
      </c>
      <c r="G1465" t="s">
        <v>3500</v>
      </c>
      <c r="H1465" t="s">
        <v>153</v>
      </c>
      <c r="I1465" t="s">
        <v>180</v>
      </c>
      <c r="J1465" t="s">
        <v>154</v>
      </c>
      <c r="K1465" t="s">
        <v>155</v>
      </c>
      <c r="L1465" t="s">
        <v>3501</v>
      </c>
      <c r="N1465" t="s">
        <v>3502</v>
      </c>
      <c r="O1465" t="s">
        <v>187</v>
      </c>
      <c r="R1465" t="s">
        <v>3513</v>
      </c>
      <c r="S1465" t="s">
        <v>2864</v>
      </c>
      <c r="V1465" t="s">
        <v>2855</v>
      </c>
      <c r="W1465" t="s">
        <v>2898</v>
      </c>
      <c r="AD1465" t="s">
        <v>3514</v>
      </c>
    </row>
    <row r="1466" spans="1:32" x14ac:dyDescent="0.25">
      <c r="A1466" t="s">
        <v>33</v>
      </c>
      <c r="D1466" t="s">
        <v>2847</v>
      </c>
      <c r="E1466" t="s">
        <v>2893</v>
      </c>
      <c r="F1466" t="s">
        <v>36</v>
      </c>
      <c r="G1466" t="s">
        <v>3500</v>
      </c>
      <c r="H1466" t="s">
        <v>153</v>
      </c>
      <c r="I1466" t="s">
        <v>100</v>
      </c>
      <c r="J1466" t="s">
        <v>154</v>
      </c>
      <c r="K1466" t="s">
        <v>155</v>
      </c>
      <c r="L1466" t="s">
        <v>3501</v>
      </c>
      <c r="N1466" t="s">
        <v>3502</v>
      </c>
      <c r="O1466" t="s">
        <v>448</v>
      </c>
      <c r="R1466" t="s">
        <v>3515</v>
      </c>
      <c r="S1466" t="s">
        <v>2864</v>
      </c>
      <c r="V1466" t="s">
        <v>2855</v>
      </c>
      <c r="W1466" t="s">
        <v>2898</v>
      </c>
      <c r="AC1466" t="s">
        <v>3516</v>
      </c>
      <c r="AD1466" t="s">
        <v>3517</v>
      </c>
      <c r="AE1466" t="s">
        <v>3508</v>
      </c>
      <c r="AF1466">
        <v>3</v>
      </c>
    </row>
    <row r="1467" spans="1:32" x14ac:dyDescent="0.25">
      <c r="A1467" t="s">
        <v>33</v>
      </c>
      <c r="D1467" t="s">
        <v>2847</v>
      </c>
      <c r="E1467" t="s">
        <v>2893</v>
      </c>
      <c r="F1467" t="s">
        <v>36</v>
      </c>
      <c r="G1467" t="s">
        <v>3500</v>
      </c>
      <c r="H1467" t="s">
        <v>89</v>
      </c>
      <c r="I1467" t="s">
        <v>100</v>
      </c>
      <c r="J1467" t="s">
        <v>91</v>
      </c>
      <c r="K1467" t="s">
        <v>92</v>
      </c>
      <c r="L1467" t="s">
        <v>3501</v>
      </c>
      <c r="M1467" t="s">
        <v>94</v>
      </c>
      <c r="N1467" t="s">
        <v>3502</v>
      </c>
      <c r="O1467" t="s">
        <v>445</v>
      </c>
      <c r="P1467">
        <v>1E-3</v>
      </c>
      <c r="R1467" t="s">
        <v>3518</v>
      </c>
      <c r="S1467" t="s">
        <v>2864</v>
      </c>
      <c r="V1467" t="s">
        <v>2855</v>
      </c>
      <c r="W1467" t="s">
        <v>2898</v>
      </c>
      <c r="AD1467" t="s">
        <v>3519</v>
      </c>
    </row>
    <row r="1468" spans="1:32" x14ac:dyDescent="0.25">
      <c r="A1468" t="s">
        <v>33</v>
      </c>
      <c r="D1468" t="s">
        <v>2847</v>
      </c>
      <c r="E1468" t="s">
        <v>2893</v>
      </c>
      <c r="F1468" t="s">
        <v>36</v>
      </c>
      <c r="G1468" t="s">
        <v>3500</v>
      </c>
      <c r="H1468" t="s">
        <v>89</v>
      </c>
      <c r="I1468" t="s">
        <v>180</v>
      </c>
      <c r="J1468" t="s">
        <v>91</v>
      </c>
      <c r="K1468" t="s">
        <v>92</v>
      </c>
      <c r="L1468" t="s">
        <v>3501</v>
      </c>
      <c r="M1468" t="s">
        <v>94</v>
      </c>
      <c r="N1468" t="s">
        <v>3502</v>
      </c>
      <c r="O1468" t="s">
        <v>184</v>
      </c>
      <c r="P1468">
        <v>1E-3</v>
      </c>
      <c r="R1468" t="s">
        <v>3520</v>
      </c>
      <c r="S1468" t="s">
        <v>2864</v>
      </c>
      <c r="V1468" t="s">
        <v>2855</v>
      </c>
      <c r="W1468" t="s">
        <v>2898</v>
      </c>
      <c r="AD1468" t="s">
        <v>3521</v>
      </c>
    </row>
    <row r="1469" spans="1:32" x14ac:dyDescent="0.25">
      <c r="A1469" t="s">
        <v>33</v>
      </c>
      <c r="D1469" t="s">
        <v>2847</v>
      </c>
      <c r="E1469" t="s">
        <v>2893</v>
      </c>
      <c r="F1469" t="s">
        <v>36</v>
      </c>
      <c r="G1469" t="s">
        <v>3500</v>
      </c>
      <c r="H1469" t="s">
        <v>38</v>
      </c>
      <c r="I1469" t="s">
        <v>63</v>
      </c>
      <c r="J1469" t="s">
        <v>40</v>
      </c>
      <c r="K1469" t="s">
        <v>41</v>
      </c>
      <c r="L1469" t="s">
        <v>3501</v>
      </c>
      <c r="M1469" t="s">
        <v>3483</v>
      </c>
      <c r="N1469" t="s">
        <v>3502</v>
      </c>
      <c r="O1469" t="s">
        <v>65</v>
      </c>
      <c r="R1469" t="s">
        <v>3522</v>
      </c>
      <c r="S1469" t="s">
        <v>2864</v>
      </c>
      <c r="V1469" t="s">
        <v>2855</v>
      </c>
      <c r="W1469" t="s">
        <v>2898</v>
      </c>
      <c r="X1469" t="s">
        <v>963</v>
      </c>
      <c r="AD1469" t="s">
        <v>3523</v>
      </c>
    </row>
    <row r="1470" spans="1:32" x14ac:dyDescent="0.25">
      <c r="A1470" t="s">
        <v>33</v>
      </c>
      <c r="D1470" t="s">
        <v>2847</v>
      </c>
      <c r="E1470" t="s">
        <v>2893</v>
      </c>
      <c r="F1470" t="s">
        <v>36</v>
      </c>
      <c r="G1470" t="s">
        <v>3524</v>
      </c>
      <c r="H1470" t="s">
        <v>153</v>
      </c>
      <c r="I1470" t="s">
        <v>144</v>
      </c>
      <c r="J1470" t="s">
        <v>154</v>
      </c>
      <c r="K1470" t="s">
        <v>155</v>
      </c>
      <c r="L1470" t="s">
        <v>3525</v>
      </c>
      <c r="N1470" t="s">
        <v>3526</v>
      </c>
      <c r="O1470" t="s">
        <v>156</v>
      </c>
      <c r="R1470" t="s">
        <v>3527</v>
      </c>
      <c r="S1470" t="s">
        <v>2864</v>
      </c>
      <c r="V1470" t="s">
        <v>2855</v>
      </c>
      <c r="W1470" t="s">
        <v>2898</v>
      </c>
      <c r="AD1470" t="s">
        <v>3528</v>
      </c>
    </row>
    <row r="1471" spans="1:32" x14ac:dyDescent="0.25">
      <c r="A1471" t="s">
        <v>33</v>
      </c>
      <c r="D1471" t="s">
        <v>2847</v>
      </c>
      <c r="E1471" t="s">
        <v>2893</v>
      </c>
      <c r="F1471" t="s">
        <v>36</v>
      </c>
      <c r="G1471" t="s">
        <v>3524</v>
      </c>
      <c r="H1471" t="s">
        <v>153</v>
      </c>
      <c r="I1471" t="s">
        <v>90</v>
      </c>
      <c r="J1471" t="s">
        <v>154</v>
      </c>
      <c r="K1471" t="s">
        <v>155</v>
      </c>
      <c r="L1471" t="s">
        <v>3525</v>
      </c>
      <c r="N1471" t="s">
        <v>3526</v>
      </c>
      <c r="O1471" t="s">
        <v>386</v>
      </c>
      <c r="R1471" t="s">
        <v>3529</v>
      </c>
      <c r="S1471" t="s">
        <v>2864</v>
      </c>
      <c r="V1471" t="s">
        <v>2855</v>
      </c>
      <c r="W1471" t="s">
        <v>2898</v>
      </c>
      <c r="AC1471" t="s">
        <v>3530</v>
      </c>
      <c r="AD1471" t="s">
        <v>3531</v>
      </c>
      <c r="AE1471" t="s">
        <v>3532</v>
      </c>
      <c r="AF1471">
        <v>1</v>
      </c>
    </row>
    <row r="1472" spans="1:32" x14ac:dyDescent="0.25">
      <c r="A1472" t="s">
        <v>33</v>
      </c>
      <c r="D1472" t="s">
        <v>2847</v>
      </c>
      <c r="E1472" t="s">
        <v>2893</v>
      </c>
      <c r="F1472" t="s">
        <v>36</v>
      </c>
      <c r="G1472" t="s">
        <v>3524</v>
      </c>
      <c r="H1472" t="s">
        <v>89</v>
      </c>
      <c r="I1472" t="s">
        <v>90</v>
      </c>
      <c r="J1472" t="s">
        <v>91</v>
      </c>
      <c r="K1472" t="s">
        <v>92</v>
      </c>
      <c r="L1472" t="s">
        <v>3525</v>
      </c>
      <c r="M1472" t="s">
        <v>94</v>
      </c>
      <c r="N1472" t="s">
        <v>3526</v>
      </c>
      <c r="O1472" t="s">
        <v>383</v>
      </c>
      <c r="P1472">
        <v>1E-3</v>
      </c>
      <c r="R1472" t="s">
        <v>3533</v>
      </c>
      <c r="S1472" t="s">
        <v>2864</v>
      </c>
      <c r="V1472" t="s">
        <v>2855</v>
      </c>
      <c r="W1472" t="s">
        <v>2898</v>
      </c>
      <c r="AD1472" t="s">
        <v>3534</v>
      </c>
    </row>
    <row r="1473" spans="1:32" x14ac:dyDescent="0.25">
      <c r="A1473" t="s">
        <v>33</v>
      </c>
      <c r="D1473" t="s">
        <v>2847</v>
      </c>
      <c r="E1473" t="s">
        <v>2893</v>
      </c>
      <c r="F1473" t="s">
        <v>36</v>
      </c>
      <c r="G1473" t="s">
        <v>3524</v>
      </c>
      <c r="H1473" t="s">
        <v>89</v>
      </c>
      <c r="I1473" t="s">
        <v>144</v>
      </c>
      <c r="J1473" t="s">
        <v>91</v>
      </c>
      <c r="K1473" t="s">
        <v>92</v>
      </c>
      <c r="L1473" t="s">
        <v>3525</v>
      </c>
      <c r="M1473" t="s">
        <v>94</v>
      </c>
      <c r="N1473" t="s">
        <v>3526</v>
      </c>
      <c r="O1473" t="s">
        <v>150</v>
      </c>
      <c r="P1473">
        <v>1E-3</v>
      </c>
      <c r="R1473" t="s">
        <v>3535</v>
      </c>
      <c r="S1473" t="s">
        <v>2864</v>
      </c>
      <c r="V1473" t="s">
        <v>2855</v>
      </c>
      <c r="W1473" t="s">
        <v>2898</v>
      </c>
      <c r="AD1473" t="s">
        <v>3536</v>
      </c>
    </row>
    <row r="1474" spans="1:32" x14ac:dyDescent="0.25">
      <c r="A1474" t="s">
        <v>33</v>
      </c>
      <c r="D1474" t="s">
        <v>2847</v>
      </c>
      <c r="E1474" t="s">
        <v>2893</v>
      </c>
      <c r="F1474" t="s">
        <v>36</v>
      </c>
      <c r="G1474" t="s">
        <v>3524</v>
      </c>
      <c r="H1474" t="s">
        <v>153</v>
      </c>
      <c r="I1474" t="s">
        <v>180</v>
      </c>
      <c r="J1474" t="s">
        <v>154</v>
      </c>
      <c r="K1474" t="s">
        <v>155</v>
      </c>
      <c r="L1474" t="s">
        <v>3525</v>
      </c>
      <c r="N1474" t="s">
        <v>3526</v>
      </c>
      <c r="O1474" t="s">
        <v>187</v>
      </c>
      <c r="R1474" t="s">
        <v>3537</v>
      </c>
      <c r="S1474" t="s">
        <v>2864</v>
      </c>
      <c r="V1474" t="s">
        <v>2855</v>
      </c>
      <c r="W1474" t="s">
        <v>2898</v>
      </c>
      <c r="AD1474" t="s">
        <v>3538</v>
      </c>
    </row>
    <row r="1475" spans="1:32" x14ac:dyDescent="0.25">
      <c r="A1475" t="s">
        <v>33</v>
      </c>
      <c r="D1475" t="s">
        <v>2847</v>
      </c>
      <c r="E1475" t="s">
        <v>2893</v>
      </c>
      <c r="F1475" t="s">
        <v>36</v>
      </c>
      <c r="G1475" t="s">
        <v>3524</v>
      </c>
      <c r="H1475" t="s">
        <v>153</v>
      </c>
      <c r="I1475" t="s">
        <v>100</v>
      </c>
      <c r="J1475" t="s">
        <v>154</v>
      </c>
      <c r="K1475" t="s">
        <v>155</v>
      </c>
      <c r="L1475" t="s">
        <v>3525</v>
      </c>
      <c r="N1475" t="s">
        <v>3526</v>
      </c>
      <c r="O1475" t="s">
        <v>448</v>
      </c>
      <c r="R1475" t="s">
        <v>3539</v>
      </c>
      <c r="S1475" t="s">
        <v>2864</v>
      </c>
      <c r="V1475" t="s">
        <v>2855</v>
      </c>
      <c r="W1475" t="s">
        <v>2898</v>
      </c>
      <c r="AC1475" t="s">
        <v>3540</v>
      </c>
      <c r="AD1475" t="s">
        <v>3541</v>
      </c>
      <c r="AE1475" t="s">
        <v>3532</v>
      </c>
      <c r="AF1475">
        <v>2</v>
      </c>
    </row>
    <row r="1476" spans="1:32" x14ac:dyDescent="0.25">
      <c r="A1476" t="s">
        <v>33</v>
      </c>
      <c r="D1476" t="s">
        <v>2847</v>
      </c>
      <c r="E1476" t="s">
        <v>2893</v>
      </c>
      <c r="F1476" t="s">
        <v>36</v>
      </c>
      <c r="G1476" t="s">
        <v>3524</v>
      </c>
      <c r="H1476" t="s">
        <v>89</v>
      </c>
      <c r="I1476" t="s">
        <v>100</v>
      </c>
      <c r="J1476" t="s">
        <v>91</v>
      </c>
      <c r="K1476" t="s">
        <v>92</v>
      </c>
      <c r="L1476" t="s">
        <v>3525</v>
      </c>
      <c r="M1476" t="s">
        <v>94</v>
      </c>
      <c r="N1476" t="s">
        <v>3526</v>
      </c>
      <c r="O1476" t="s">
        <v>445</v>
      </c>
      <c r="P1476">
        <v>1E-3</v>
      </c>
      <c r="R1476" t="s">
        <v>3542</v>
      </c>
      <c r="S1476" t="s">
        <v>2864</v>
      </c>
      <c r="V1476" t="s">
        <v>2855</v>
      </c>
      <c r="W1476" t="s">
        <v>2898</v>
      </c>
      <c r="AD1476" t="s">
        <v>3543</v>
      </c>
    </row>
    <row r="1477" spans="1:32" x14ac:dyDescent="0.25">
      <c r="A1477" t="s">
        <v>33</v>
      </c>
      <c r="D1477" t="s">
        <v>2847</v>
      </c>
      <c r="E1477" t="s">
        <v>2893</v>
      </c>
      <c r="F1477" t="s">
        <v>36</v>
      </c>
      <c r="G1477" t="s">
        <v>3524</v>
      </c>
      <c r="H1477" t="s">
        <v>89</v>
      </c>
      <c r="I1477" t="s">
        <v>180</v>
      </c>
      <c r="J1477" t="s">
        <v>91</v>
      </c>
      <c r="K1477" t="s">
        <v>92</v>
      </c>
      <c r="L1477" t="s">
        <v>3525</v>
      </c>
      <c r="M1477" t="s">
        <v>94</v>
      </c>
      <c r="N1477" t="s">
        <v>3526</v>
      </c>
      <c r="O1477" t="s">
        <v>184</v>
      </c>
      <c r="P1477">
        <v>1E-3</v>
      </c>
      <c r="R1477" t="s">
        <v>3544</v>
      </c>
      <c r="S1477" t="s">
        <v>2864</v>
      </c>
      <c r="V1477" t="s">
        <v>2855</v>
      </c>
      <c r="W1477" t="s">
        <v>2898</v>
      </c>
      <c r="AD1477" t="s">
        <v>3545</v>
      </c>
    </row>
    <row r="1478" spans="1:32" x14ac:dyDescent="0.25">
      <c r="A1478" t="s">
        <v>33</v>
      </c>
      <c r="D1478" t="s">
        <v>2847</v>
      </c>
      <c r="E1478" t="s">
        <v>2893</v>
      </c>
      <c r="F1478" t="s">
        <v>36</v>
      </c>
      <c r="G1478" t="s">
        <v>3524</v>
      </c>
      <c r="H1478" t="s">
        <v>38</v>
      </c>
      <c r="I1478" t="s">
        <v>63</v>
      </c>
      <c r="J1478" t="s">
        <v>40</v>
      </c>
      <c r="K1478" t="s">
        <v>41</v>
      </c>
      <c r="L1478" t="s">
        <v>3525</v>
      </c>
      <c r="M1478" t="s">
        <v>3483</v>
      </c>
      <c r="N1478" t="s">
        <v>3526</v>
      </c>
      <c r="O1478" t="s">
        <v>65</v>
      </c>
      <c r="R1478" t="s">
        <v>3546</v>
      </c>
      <c r="S1478" t="s">
        <v>2864</v>
      </c>
      <c r="V1478" t="s">
        <v>2855</v>
      </c>
      <c r="W1478" t="s">
        <v>2898</v>
      </c>
      <c r="X1478" t="s">
        <v>963</v>
      </c>
      <c r="AD1478" t="s">
        <v>3547</v>
      </c>
    </row>
    <row r="1479" spans="1:32" x14ac:dyDescent="0.25">
      <c r="A1479" t="s">
        <v>33</v>
      </c>
      <c r="D1479" t="s">
        <v>2847</v>
      </c>
      <c r="E1479" t="s">
        <v>2893</v>
      </c>
      <c r="F1479" t="s">
        <v>36</v>
      </c>
      <c r="G1479" t="s">
        <v>3548</v>
      </c>
      <c r="H1479" t="s">
        <v>153</v>
      </c>
      <c r="I1479" t="s">
        <v>144</v>
      </c>
      <c r="J1479" t="s">
        <v>154</v>
      </c>
      <c r="K1479" t="s">
        <v>155</v>
      </c>
      <c r="L1479" t="s">
        <v>3549</v>
      </c>
      <c r="N1479" t="s">
        <v>3550</v>
      </c>
      <c r="O1479" t="s">
        <v>156</v>
      </c>
      <c r="R1479" t="s">
        <v>3551</v>
      </c>
      <c r="S1479" t="s">
        <v>2864</v>
      </c>
      <c r="V1479" t="s">
        <v>2855</v>
      </c>
      <c r="W1479" t="s">
        <v>2898</v>
      </c>
      <c r="AD1479" t="s">
        <v>3552</v>
      </c>
    </row>
    <row r="1480" spans="1:32" x14ac:dyDescent="0.25">
      <c r="A1480" t="s">
        <v>33</v>
      </c>
      <c r="D1480" t="s">
        <v>2847</v>
      </c>
      <c r="E1480" t="s">
        <v>2893</v>
      </c>
      <c r="F1480" t="s">
        <v>36</v>
      </c>
      <c r="G1480" t="s">
        <v>3548</v>
      </c>
      <c r="H1480" t="s">
        <v>153</v>
      </c>
      <c r="I1480" t="s">
        <v>90</v>
      </c>
      <c r="J1480" t="s">
        <v>154</v>
      </c>
      <c r="K1480" t="s">
        <v>155</v>
      </c>
      <c r="L1480" t="s">
        <v>3549</v>
      </c>
      <c r="N1480" t="s">
        <v>3550</v>
      </c>
      <c r="O1480" t="s">
        <v>386</v>
      </c>
      <c r="R1480" t="s">
        <v>3553</v>
      </c>
      <c r="S1480" t="s">
        <v>2864</v>
      </c>
      <c r="V1480" t="s">
        <v>2855</v>
      </c>
      <c r="W1480" t="s">
        <v>2898</v>
      </c>
      <c r="AC1480" t="s">
        <v>3554</v>
      </c>
      <c r="AD1480" t="s">
        <v>3555</v>
      </c>
      <c r="AE1480" t="s">
        <v>3556</v>
      </c>
      <c r="AF1480">
        <v>1</v>
      </c>
    </row>
    <row r="1481" spans="1:32" x14ac:dyDescent="0.25">
      <c r="A1481" t="s">
        <v>33</v>
      </c>
      <c r="D1481" t="s">
        <v>2847</v>
      </c>
      <c r="E1481" t="s">
        <v>2893</v>
      </c>
      <c r="F1481" t="s">
        <v>36</v>
      </c>
      <c r="G1481" t="s">
        <v>3548</v>
      </c>
      <c r="H1481" t="s">
        <v>89</v>
      </c>
      <c r="I1481" t="s">
        <v>90</v>
      </c>
      <c r="J1481" t="s">
        <v>91</v>
      </c>
      <c r="K1481" t="s">
        <v>92</v>
      </c>
      <c r="L1481" t="s">
        <v>3549</v>
      </c>
      <c r="M1481" t="s">
        <v>94</v>
      </c>
      <c r="N1481" t="s">
        <v>3550</v>
      </c>
      <c r="O1481" t="s">
        <v>383</v>
      </c>
      <c r="P1481">
        <v>1E-3</v>
      </c>
      <c r="R1481" t="s">
        <v>3557</v>
      </c>
      <c r="S1481" t="s">
        <v>2864</v>
      </c>
      <c r="V1481" t="s">
        <v>2855</v>
      </c>
      <c r="W1481" t="s">
        <v>2898</v>
      </c>
      <c r="AD1481" t="s">
        <v>3558</v>
      </c>
    </row>
    <row r="1482" spans="1:32" x14ac:dyDescent="0.25">
      <c r="A1482" t="s">
        <v>33</v>
      </c>
      <c r="D1482" t="s">
        <v>2847</v>
      </c>
      <c r="E1482" t="s">
        <v>2893</v>
      </c>
      <c r="F1482" t="s">
        <v>36</v>
      </c>
      <c r="G1482" t="s">
        <v>3548</v>
      </c>
      <c r="H1482" t="s">
        <v>89</v>
      </c>
      <c r="I1482" t="s">
        <v>144</v>
      </c>
      <c r="J1482" t="s">
        <v>91</v>
      </c>
      <c r="K1482" t="s">
        <v>92</v>
      </c>
      <c r="L1482" t="s">
        <v>3549</v>
      </c>
      <c r="M1482" t="s">
        <v>94</v>
      </c>
      <c r="N1482" t="s">
        <v>3550</v>
      </c>
      <c r="O1482" t="s">
        <v>150</v>
      </c>
      <c r="P1482">
        <v>1E-3</v>
      </c>
      <c r="R1482" t="s">
        <v>3559</v>
      </c>
      <c r="S1482" t="s">
        <v>2864</v>
      </c>
      <c r="V1482" t="s">
        <v>2855</v>
      </c>
      <c r="W1482" t="s">
        <v>2898</v>
      </c>
      <c r="AD1482" t="s">
        <v>3560</v>
      </c>
    </row>
    <row r="1483" spans="1:32" x14ac:dyDescent="0.25">
      <c r="A1483" t="s">
        <v>33</v>
      </c>
      <c r="D1483" t="s">
        <v>2847</v>
      </c>
      <c r="E1483" t="s">
        <v>2893</v>
      </c>
      <c r="F1483" t="s">
        <v>36</v>
      </c>
      <c r="G1483" t="s">
        <v>3548</v>
      </c>
      <c r="H1483" t="s">
        <v>153</v>
      </c>
      <c r="I1483" t="s">
        <v>180</v>
      </c>
      <c r="J1483" t="s">
        <v>154</v>
      </c>
      <c r="K1483" t="s">
        <v>155</v>
      </c>
      <c r="L1483" t="s">
        <v>3549</v>
      </c>
      <c r="N1483" t="s">
        <v>3550</v>
      </c>
      <c r="O1483" t="s">
        <v>187</v>
      </c>
      <c r="R1483" t="s">
        <v>3561</v>
      </c>
      <c r="S1483" t="s">
        <v>2864</v>
      </c>
      <c r="V1483" t="s">
        <v>2855</v>
      </c>
      <c r="W1483" t="s">
        <v>2898</v>
      </c>
      <c r="AD1483" t="s">
        <v>3562</v>
      </c>
    </row>
    <row r="1484" spans="1:32" x14ac:dyDescent="0.25">
      <c r="A1484" t="s">
        <v>33</v>
      </c>
      <c r="D1484" t="s">
        <v>2847</v>
      </c>
      <c r="E1484" t="s">
        <v>2893</v>
      </c>
      <c r="F1484" t="s">
        <v>36</v>
      </c>
      <c r="G1484" t="s">
        <v>3548</v>
      </c>
      <c r="H1484" t="s">
        <v>153</v>
      </c>
      <c r="I1484" t="s">
        <v>100</v>
      </c>
      <c r="J1484" t="s">
        <v>154</v>
      </c>
      <c r="K1484" t="s">
        <v>155</v>
      </c>
      <c r="L1484" t="s">
        <v>3549</v>
      </c>
      <c r="N1484" t="s">
        <v>3550</v>
      </c>
      <c r="O1484" t="s">
        <v>448</v>
      </c>
      <c r="R1484" t="s">
        <v>3563</v>
      </c>
      <c r="S1484" t="s">
        <v>2864</v>
      </c>
      <c r="V1484" t="s">
        <v>2855</v>
      </c>
      <c r="W1484" t="s">
        <v>2898</v>
      </c>
      <c r="AC1484" t="s">
        <v>3564</v>
      </c>
      <c r="AD1484" t="s">
        <v>3565</v>
      </c>
      <c r="AE1484" t="s">
        <v>3556</v>
      </c>
      <c r="AF1484">
        <v>2</v>
      </c>
    </row>
    <row r="1485" spans="1:32" x14ac:dyDescent="0.25">
      <c r="A1485" t="s">
        <v>33</v>
      </c>
      <c r="D1485" t="s">
        <v>2847</v>
      </c>
      <c r="E1485" t="s">
        <v>2893</v>
      </c>
      <c r="F1485" t="s">
        <v>36</v>
      </c>
      <c r="G1485" t="s">
        <v>3548</v>
      </c>
      <c r="H1485" t="s">
        <v>89</v>
      </c>
      <c r="I1485" t="s">
        <v>100</v>
      </c>
      <c r="J1485" t="s">
        <v>91</v>
      </c>
      <c r="K1485" t="s">
        <v>92</v>
      </c>
      <c r="L1485" t="s">
        <v>3549</v>
      </c>
      <c r="M1485" t="s">
        <v>94</v>
      </c>
      <c r="N1485" t="s">
        <v>3550</v>
      </c>
      <c r="O1485" t="s">
        <v>445</v>
      </c>
      <c r="P1485">
        <v>1E-3</v>
      </c>
      <c r="R1485" t="s">
        <v>3566</v>
      </c>
      <c r="S1485" t="s">
        <v>2864</v>
      </c>
      <c r="V1485" t="s">
        <v>2855</v>
      </c>
      <c r="W1485" t="s">
        <v>2898</v>
      </c>
      <c r="AD1485" t="s">
        <v>3567</v>
      </c>
    </row>
    <row r="1486" spans="1:32" x14ac:dyDescent="0.25">
      <c r="A1486" t="s">
        <v>33</v>
      </c>
      <c r="D1486" t="s">
        <v>2847</v>
      </c>
      <c r="E1486" t="s">
        <v>2893</v>
      </c>
      <c r="F1486" t="s">
        <v>36</v>
      </c>
      <c r="G1486" t="s">
        <v>3548</v>
      </c>
      <c r="H1486" t="s">
        <v>89</v>
      </c>
      <c r="I1486" t="s">
        <v>180</v>
      </c>
      <c r="J1486" t="s">
        <v>91</v>
      </c>
      <c r="K1486" t="s">
        <v>92</v>
      </c>
      <c r="L1486" t="s">
        <v>3549</v>
      </c>
      <c r="M1486" t="s">
        <v>94</v>
      </c>
      <c r="N1486" t="s">
        <v>3550</v>
      </c>
      <c r="O1486" t="s">
        <v>184</v>
      </c>
      <c r="P1486">
        <v>1E-3</v>
      </c>
      <c r="R1486" t="s">
        <v>3568</v>
      </c>
      <c r="S1486" t="s">
        <v>2864</v>
      </c>
      <c r="V1486" t="s">
        <v>2855</v>
      </c>
      <c r="W1486" t="s">
        <v>2898</v>
      </c>
      <c r="AD1486" t="s">
        <v>3569</v>
      </c>
    </row>
    <row r="1487" spans="1:32" x14ac:dyDescent="0.25">
      <c r="A1487" t="s">
        <v>33</v>
      </c>
      <c r="D1487" t="s">
        <v>2847</v>
      </c>
      <c r="E1487" t="s">
        <v>2893</v>
      </c>
      <c r="F1487" t="s">
        <v>36</v>
      </c>
      <c r="G1487" t="s">
        <v>3548</v>
      </c>
      <c r="H1487" t="s">
        <v>38</v>
      </c>
      <c r="I1487" t="s">
        <v>63</v>
      </c>
      <c r="J1487" t="s">
        <v>40</v>
      </c>
      <c r="K1487" t="s">
        <v>41</v>
      </c>
      <c r="L1487" t="s">
        <v>3549</v>
      </c>
      <c r="M1487" t="s">
        <v>3483</v>
      </c>
      <c r="N1487" t="s">
        <v>3550</v>
      </c>
      <c r="O1487" t="s">
        <v>65</v>
      </c>
      <c r="R1487" t="s">
        <v>3570</v>
      </c>
      <c r="S1487" t="s">
        <v>2864</v>
      </c>
      <c r="V1487" t="s">
        <v>2855</v>
      </c>
      <c r="W1487" t="s">
        <v>2898</v>
      </c>
      <c r="X1487" t="s">
        <v>963</v>
      </c>
      <c r="AD1487" t="s">
        <v>3571</v>
      </c>
    </row>
    <row r="1488" spans="1:32" x14ac:dyDescent="0.25">
      <c r="A1488" t="s">
        <v>33</v>
      </c>
      <c r="D1488" t="s">
        <v>2847</v>
      </c>
      <c r="E1488" t="s">
        <v>2893</v>
      </c>
      <c r="F1488" t="s">
        <v>36</v>
      </c>
      <c r="G1488" t="s">
        <v>3572</v>
      </c>
      <c r="H1488" t="s">
        <v>153</v>
      </c>
      <c r="I1488" t="s">
        <v>144</v>
      </c>
      <c r="J1488" t="s">
        <v>154</v>
      </c>
      <c r="K1488" t="s">
        <v>155</v>
      </c>
      <c r="L1488" t="s">
        <v>3573</v>
      </c>
      <c r="N1488" t="s">
        <v>3574</v>
      </c>
      <c r="O1488" t="s">
        <v>156</v>
      </c>
      <c r="R1488" t="s">
        <v>3575</v>
      </c>
      <c r="S1488" t="s">
        <v>2864</v>
      </c>
      <c r="V1488" t="s">
        <v>2855</v>
      </c>
      <c r="W1488" t="s">
        <v>2865</v>
      </c>
      <c r="AD1488" t="s">
        <v>3576</v>
      </c>
    </row>
    <row r="1489" spans="1:32" x14ac:dyDescent="0.25">
      <c r="A1489" t="s">
        <v>33</v>
      </c>
      <c r="D1489" t="s">
        <v>2847</v>
      </c>
      <c r="E1489" t="s">
        <v>2893</v>
      </c>
      <c r="F1489" t="s">
        <v>36</v>
      </c>
      <c r="G1489" t="s">
        <v>3572</v>
      </c>
      <c r="H1489" t="s">
        <v>153</v>
      </c>
      <c r="I1489" t="s">
        <v>90</v>
      </c>
      <c r="J1489" t="s">
        <v>154</v>
      </c>
      <c r="K1489" t="s">
        <v>155</v>
      </c>
      <c r="L1489" t="s">
        <v>3573</v>
      </c>
      <c r="N1489" t="s">
        <v>3574</v>
      </c>
      <c r="O1489" t="s">
        <v>386</v>
      </c>
      <c r="R1489" t="s">
        <v>3577</v>
      </c>
      <c r="S1489" t="s">
        <v>2864</v>
      </c>
      <c r="V1489" t="s">
        <v>2855</v>
      </c>
      <c r="W1489" t="s">
        <v>2865</v>
      </c>
      <c r="AC1489" t="s">
        <v>3578</v>
      </c>
      <c r="AD1489" t="s">
        <v>3579</v>
      </c>
      <c r="AE1489" t="s">
        <v>3580</v>
      </c>
      <c r="AF1489">
        <v>1</v>
      </c>
    </row>
    <row r="1490" spans="1:32" x14ac:dyDescent="0.25">
      <c r="A1490" t="s">
        <v>33</v>
      </c>
      <c r="D1490" t="s">
        <v>2847</v>
      </c>
      <c r="E1490" t="s">
        <v>2893</v>
      </c>
      <c r="F1490" t="s">
        <v>36</v>
      </c>
      <c r="G1490" t="s">
        <v>3572</v>
      </c>
      <c r="H1490" t="s">
        <v>89</v>
      </c>
      <c r="I1490" t="s">
        <v>90</v>
      </c>
      <c r="J1490" t="s">
        <v>91</v>
      </c>
      <c r="K1490" t="s">
        <v>92</v>
      </c>
      <c r="L1490" t="s">
        <v>3573</v>
      </c>
      <c r="M1490" t="s">
        <v>94</v>
      </c>
      <c r="N1490" t="s">
        <v>3574</v>
      </c>
      <c r="O1490" t="s">
        <v>383</v>
      </c>
      <c r="P1490">
        <v>1E-3</v>
      </c>
      <c r="R1490" t="s">
        <v>3581</v>
      </c>
      <c r="S1490" t="s">
        <v>2864</v>
      </c>
      <c r="V1490" t="s">
        <v>2855</v>
      </c>
      <c r="W1490" t="s">
        <v>2865</v>
      </c>
      <c r="AD1490" t="s">
        <v>3582</v>
      </c>
    </row>
    <row r="1491" spans="1:32" x14ac:dyDescent="0.25">
      <c r="A1491" t="s">
        <v>33</v>
      </c>
      <c r="D1491" t="s">
        <v>2847</v>
      </c>
      <c r="E1491" t="s">
        <v>2893</v>
      </c>
      <c r="F1491" t="s">
        <v>36</v>
      </c>
      <c r="G1491" t="s">
        <v>3572</v>
      </c>
      <c r="H1491" t="s">
        <v>89</v>
      </c>
      <c r="I1491" t="s">
        <v>144</v>
      </c>
      <c r="J1491" t="s">
        <v>91</v>
      </c>
      <c r="K1491" t="s">
        <v>92</v>
      </c>
      <c r="L1491" t="s">
        <v>3573</v>
      </c>
      <c r="M1491" t="s">
        <v>94</v>
      </c>
      <c r="N1491" t="s">
        <v>3574</v>
      </c>
      <c r="O1491" t="s">
        <v>150</v>
      </c>
      <c r="P1491">
        <v>1E-3</v>
      </c>
      <c r="R1491" t="s">
        <v>3583</v>
      </c>
      <c r="S1491" t="s">
        <v>2864</v>
      </c>
      <c r="V1491" t="s">
        <v>2855</v>
      </c>
      <c r="W1491" t="s">
        <v>2865</v>
      </c>
      <c r="AD1491" t="s">
        <v>3584</v>
      </c>
    </row>
    <row r="1492" spans="1:32" x14ac:dyDescent="0.25">
      <c r="A1492" t="s">
        <v>33</v>
      </c>
      <c r="D1492" t="s">
        <v>2847</v>
      </c>
      <c r="E1492" t="s">
        <v>2893</v>
      </c>
      <c r="F1492" t="s">
        <v>36</v>
      </c>
      <c r="G1492" t="s">
        <v>3572</v>
      </c>
      <c r="H1492" t="s">
        <v>153</v>
      </c>
      <c r="I1492" t="s">
        <v>180</v>
      </c>
      <c r="J1492" t="s">
        <v>154</v>
      </c>
      <c r="K1492" t="s">
        <v>155</v>
      </c>
      <c r="L1492" t="s">
        <v>3573</v>
      </c>
      <c r="N1492" t="s">
        <v>3574</v>
      </c>
      <c r="O1492" t="s">
        <v>187</v>
      </c>
      <c r="R1492" t="s">
        <v>3585</v>
      </c>
      <c r="S1492" t="s">
        <v>2864</v>
      </c>
      <c r="V1492" t="s">
        <v>2855</v>
      </c>
      <c r="W1492" t="s">
        <v>2865</v>
      </c>
      <c r="AD1492" t="s">
        <v>3586</v>
      </c>
    </row>
    <row r="1493" spans="1:32" x14ac:dyDescent="0.25">
      <c r="A1493" t="s">
        <v>33</v>
      </c>
      <c r="D1493" t="s">
        <v>2847</v>
      </c>
      <c r="E1493" t="s">
        <v>2893</v>
      </c>
      <c r="F1493" t="s">
        <v>36</v>
      </c>
      <c r="G1493" t="s">
        <v>3572</v>
      </c>
      <c r="H1493" t="s">
        <v>89</v>
      </c>
      <c r="I1493" t="s">
        <v>180</v>
      </c>
      <c r="J1493" t="s">
        <v>91</v>
      </c>
      <c r="K1493" t="s">
        <v>92</v>
      </c>
      <c r="L1493" t="s">
        <v>3573</v>
      </c>
      <c r="M1493" t="s">
        <v>94</v>
      </c>
      <c r="N1493" t="s">
        <v>3574</v>
      </c>
      <c r="O1493" t="s">
        <v>184</v>
      </c>
      <c r="P1493">
        <v>1E-3</v>
      </c>
      <c r="R1493" t="s">
        <v>3587</v>
      </c>
      <c r="S1493" t="s">
        <v>2864</v>
      </c>
      <c r="V1493" t="s">
        <v>2855</v>
      </c>
      <c r="W1493" t="s">
        <v>2865</v>
      </c>
      <c r="AD1493" t="s">
        <v>3588</v>
      </c>
    </row>
    <row r="1494" spans="1:32" x14ac:dyDescent="0.25">
      <c r="A1494" t="s">
        <v>33</v>
      </c>
      <c r="D1494" t="s">
        <v>2847</v>
      </c>
      <c r="E1494" t="s">
        <v>2893</v>
      </c>
      <c r="F1494" t="s">
        <v>36</v>
      </c>
      <c r="G1494" t="s">
        <v>3572</v>
      </c>
      <c r="H1494" t="s">
        <v>38</v>
      </c>
      <c r="I1494" t="s">
        <v>63</v>
      </c>
      <c r="J1494" t="s">
        <v>40</v>
      </c>
      <c r="K1494" t="s">
        <v>41</v>
      </c>
      <c r="L1494" t="s">
        <v>3573</v>
      </c>
      <c r="M1494" t="s">
        <v>3483</v>
      </c>
      <c r="N1494" t="s">
        <v>3574</v>
      </c>
      <c r="O1494" t="s">
        <v>65</v>
      </c>
      <c r="R1494" t="s">
        <v>3589</v>
      </c>
      <c r="S1494" t="s">
        <v>2864</v>
      </c>
      <c r="V1494" t="s">
        <v>2855</v>
      </c>
      <c r="W1494" t="s">
        <v>2865</v>
      </c>
      <c r="X1494" t="s">
        <v>963</v>
      </c>
      <c r="AD1494" t="s">
        <v>3590</v>
      </c>
    </row>
    <row r="1495" spans="1:32" x14ac:dyDescent="0.25">
      <c r="A1495" t="s">
        <v>33</v>
      </c>
      <c r="D1495" t="s">
        <v>2847</v>
      </c>
      <c r="E1495" t="s">
        <v>2893</v>
      </c>
      <c r="F1495" t="s">
        <v>36</v>
      </c>
      <c r="G1495" t="s">
        <v>3495</v>
      </c>
      <c r="H1495" t="s">
        <v>153</v>
      </c>
      <c r="I1495" t="s">
        <v>144</v>
      </c>
      <c r="J1495" t="s">
        <v>154</v>
      </c>
      <c r="K1495" t="s">
        <v>155</v>
      </c>
      <c r="L1495" t="s">
        <v>3496</v>
      </c>
      <c r="N1495" t="s">
        <v>3497</v>
      </c>
      <c r="O1495" t="s">
        <v>156</v>
      </c>
      <c r="R1495" t="s">
        <v>3591</v>
      </c>
      <c r="S1495" t="s">
        <v>2864</v>
      </c>
      <c r="V1495" t="s">
        <v>2855</v>
      </c>
      <c r="W1495" t="s">
        <v>2898</v>
      </c>
      <c r="AD1495" t="s">
        <v>3592</v>
      </c>
    </row>
    <row r="1496" spans="1:32" x14ac:dyDescent="0.25">
      <c r="A1496" t="s">
        <v>33</v>
      </c>
      <c r="D1496" t="s">
        <v>2847</v>
      </c>
      <c r="E1496" t="s">
        <v>2893</v>
      </c>
      <c r="F1496" t="s">
        <v>36</v>
      </c>
      <c r="G1496" t="s">
        <v>3495</v>
      </c>
      <c r="H1496" t="s">
        <v>153</v>
      </c>
      <c r="I1496" t="s">
        <v>90</v>
      </c>
      <c r="J1496" t="s">
        <v>154</v>
      </c>
      <c r="K1496" t="s">
        <v>155</v>
      </c>
      <c r="L1496" t="s">
        <v>3496</v>
      </c>
      <c r="N1496" t="s">
        <v>3497</v>
      </c>
      <c r="O1496" t="s">
        <v>386</v>
      </c>
      <c r="R1496" t="s">
        <v>3593</v>
      </c>
      <c r="S1496" t="s">
        <v>2864</v>
      </c>
      <c r="V1496" t="s">
        <v>2855</v>
      </c>
      <c r="W1496" t="s">
        <v>2898</v>
      </c>
      <c r="AC1496" t="s">
        <v>3594</v>
      </c>
      <c r="AD1496" t="s">
        <v>3595</v>
      </c>
      <c r="AE1496" t="s">
        <v>3596</v>
      </c>
      <c r="AF1496">
        <v>1</v>
      </c>
    </row>
    <row r="1497" spans="1:32" x14ac:dyDescent="0.25">
      <c r="A1497" t="s">
        <v>33</v>
      </c>
      <c r="D1497" t="s">
        <v>2847</v>
      </c>
      <c r="E1497" t="s">
        <v>2893</v>
      </c>
      <c r="F1497" t="s">
        <v>36</v>
      </c>
      <c r="G1497" t="s">
        <v>3495</v>
      </c>
      <c r="H1497" t="s">
        <v>89</v>
      </c>
      <c r="I1497" t="s">
        <v>90</v>
      </c>
      <c r="J1497" t="s">
        <v>91</v>
      </c>
      <c r="K1497" t="s">
        <v>92</v>
      </c>
      <c r="L1497" t="s">
        <v>3496</v>
      </c>
      <c r="M1497" t="s">
        <v>94</v>
      </c>
      <c r="N1497" t="s">
        <v>3497</v>
      </c>
      <c r="O1497" t="s">
        <v>383</v>
      </c>
      <c r="P1497">
        <v>1E-3</v>
      </c>
      <c r="R1497" t="s">
        <v>3597</v>
      </c>
      <c r="S1497" t="s">
        <v>2864</v>
      </c>
      <c r="V1497" t="s">
        <v>2855</v>
      </c>
      <c r="W1497" t="s">
        <v>2898</v>
      </c>
      <c r="AD1497" t="s">
        <v>3598</v>
      </c>
    </row>
    <row r="1498" spans="1:32" x14ac:dyDescent="0.25">
      <c r="A1498" t="s">
        <v>33</v>
      </c>
      <c r="D1498" t="s">
        <v>2847</v>
      </c>
      <c r="E1498" t="s">
        <v>2893</v>
      </c>
      <c r="F1498" t="s">
        <v>36</v>
      </c>
      <c r="G1498" t="s">
        <v>3495</v>
      </c>
      <c r="H1498" t="s">
        <v>89</v>
      </c>
      <c r="I1498" t="s">
        <v>144</v>
      </c>
      <c r="J1498" t="s">
        <v>91</v>
      </c>
      <c r="K1498" t="s">
        <v>92</v>
      </c>
      <c r="L1498" t="s">
        <v>3496</v>
      </c>
      <c r="M1498" t="s">
        <v>94</v>
      </c>
      <c r="N1498" t="s">
        <v>3497</v>
      </c>
      <c r="O1498" t="s">
        <v>150</v>
      </c>
      <c r="P1498">
        <v>1E-3</v>
      </c>
      <c r="R1498" t="s">
        <v>3599</v>
      </c>
      <c r="S1498" t="s">
        <v>2864</v>
      </c>
      <c r="V1498" t="s">
        <v>2855</v>
      </c>
      <c r="W1498" t="s">
        <v>2898</v>
      </c>
      <c r="AD1498" t="s">
        <v>3600</v>
      </c>
    </row>
    <row r="1499" spans="1:32" x14ac:dyDescent="0.25">
      <c r="A1499" t="s">
        <v>33</v>
      </c>
      <c r="D1499" t="s">
        <v>2847</v>
      </c>
      <c r="E1499" t="s">
        <v>2893</v>
      </c>
      <c r="F1499" t="s">
        <v>36</v>
      </c>
      <c r="G1499" t="s">
        <v>3495</v>
      </c>
      <c r="H1499" t="s">
        <v>153</v>
      </c>
      <c r="I1499" t="s">
        <v>180</v>
      </c>
      <c r="J1499" t="s">
        <v>154</v>
      </c>
      <c r="K1499" t="s">
        <v>155</v>
      </c>
      <c r="L1499" t="s">
        <v>3496</v>
      </c>
      <c r="N1499" t="s">
        <v>3497</v>
      </c>
      <c r="O1499" t="s">
        <v>187</v>
      </c>
      <c r="R1499" t="s">
        <v>3601</v>
      </c>
      <c r="S1499" t="s">
        <v>2864</v>
      </c>
      <c r="V1499" t="s">
        <v>2855</v>
      </c>
      <c r="W1499" t="s">
        <v>2898</v>
      </c>
      <c r="AD1499" t="s">
        <v>3602</v>
      </c>
    </row>
    <row r="1500" spans="1:32" x14ac:dyDescent="0.25">
      <c r="A1500" t="s">
        <v>33</v>
      </c>
      <c r="D1500" t="s">
        <v>2847</v>
      </c>
      <c r="E1500" t="s">
        <v>2893</v>
      </c>
      <c r="F1500" t="s">
        <v>36</v>
      </c>
      <c r="G1500" t="s">
        <v>3495</v>
      </c>
      <c r="H1500" t="s">
        <v>153</v>
      </c>
      <c r="I1500" t="s">
        <v>100</v>
      </c>
      <c r="J1500" t="s">
        <v>154</v>
      </c>
      <c r="K1500" t="s">
        <v>155</v>
      </c>
      <c r="L1500" t="s">
        <v>3496</v>
      </c>
      <c r="N1500" t="s">
        <v>3497</v>
      </c>
      <c r="O1500" t="s">
        <v>448</v>
      </c>
      <c r="R1500" t="s">
        <v>3603</v>
      </c>
      <c r="S1500" t="s">
        <v>2864</v>
      </c>
      <c r="V1500" t="s">
        <v>2855</v>
      </c>
      <c r="W1500" t="s">
        <v>2898</v>
      </c>
      <c r="AC1500" t="s">
        <v>3604</v>
      </c>
      <c r="AD1500" t="s">
        <v>3605</v>
      </c>
      <c r="AE1500" t="s">
        <v>3596</v>
      </c>
      <c r="AF1500">
        <v>2</v>
      </c>
    </row>
    <row r="1501" spans="1:32" x14ac:dyDescent="0.25">
      <c r="A1501" t="s">
        <v>33</v>
      </c>
      <c r="D1501" t="s">
        <v>2847</v>
      </c>
      <c r="E1501" t="s">
        <v>2893</v>
      </c>
      <c r="F1501" t="s">
        <v>36</v>
      </c>
      <c r="G1501" t="s">
        <v>3495</v>
      </c>
      <c r="H1501" t="s">
        <v>89</v>
      </c>
      <c r="I1501" t="s">
        <v>100</v>
      </c>
      <c r="J1501" t="s">
        <v>91</v>
      </c>
      <c r="K1501" t="s">
        <v>92</v>
      </c>
      <c r="L1501" t="s">
        <v>3496</v>
      </c>
      <c r="M1501" t="s">
        <v>94</v>
      </c>
      <c r="N1501" t="s">
        <v>3497</v>
      </c>
      <c r="O1501" t="s">
        <v>445</v>
      </c>
      <c r="P1501">
        <v>1E-3</v>
      </c>
      <c r="R1501" t="s">
        <v>3606</v>
      </c>
      <c r="S1501" t="s">
        <v>2864</v>
      </c>
      <c r="V1501" t="s">
        <v>2855</v>
      </c>
      <c r="W1501" t="s">
        <v>2898</v>
      </c>
      <c r="AD1501" t="s">
        <v>3607</v>
      </c>
    </row>
    <row r="1502" spans="1:32" x14ac:dyDescent="0.25">
      <c r="A1502" t="s">
        <v>33</v>
      </c>
      <c r="D1502" t="s">
        <v>2847</v>
      </c>
      <c r="E1502" t="s">
        <v>2893</v>
      </c>
      <c r="F1502" t="s">
        <v>36</v>
      </c>
      <c r="G1502" t="s">
        <v>3495</v>
      </c>
      <c r="H1502" t="s">
        <v>89</v>
      </c>
      <c r="I1502" t="s">
        <v>180</v>
      </c>
      <c r="J1502" t="s">
        <v>91</v>
      </c>
      <c r="K1502" t="s">
        <v>92</v>
      </c>
      <c r="L1502" t="s">
        <v>3496</v>
      </c>
      <c r="M1502" t="s">
        <v>94</v>
      </c>
      <c r="N1502" t="s">
        <v>3497</v>
      </c>
      <c r="O1502" t="s">
        <v>184</v>
      </c>
      <c r="P1502">
        <v>1E-3</v>
      </c>
      <c r="R1502" t="s">
        <v>3608</v>
      </c>
      <c r="S1502" t="s">
        <v>2864</v>
      </c>
      <c r="V1502" t="s">
        <v>2855</v>
      </c>
      <c r="W1502" t="s">
        <v>2898</v>
      </c>
      <c r="AD1502" t="s">
        <v>3609</v>
      </c>
    </row>
    <row r="1503" spans="1:32" x14ac:dyDescent="0.25">
      <c r="A1503" t="s">
        <v>33</v>
      </c>
      <c r="D1503" t="s">
        <v>2847</v>
      </c>
      <c r="E1503" t="s">
        <v>2893</v>
      </c>
      <c r="F1503" t="s">
        <v>36</v>
      </c>
      <c r="G1503" t="s">
        <v>3610</v>
      </c>
      <c r="H1503" t="s">
        <v>153</v>
      </c>
      <c r="I1503" t="s">
        <v>144</v>
      </c>
      <c r="J1503" t="s">
        <v>154</v>
      </c>
      <c r="K1503" t="s">
        <v>155</v>
      </c>
      <c r="L1503" t="s">
        <v>3611</v>
      </c>
      <c r="N1503" t="s">
        <v>3612</v>
      </c>
      <c r="O1503" t="s">
        <v>156</v>
      </c>
      <c r="R1503" t="s">
        <v>3613</v>
      </c>
      <c r="S1503" t="s">
        <v>2864</v>
      </c>
      <c r="V1503" t="s">
        <v>2855</v>
      </c>
      <c r="W1503" t="s">
        <v>2898</v>
      </c>
      <c r="AD1503" t="s">
        <v>3614</v>
      </c>
    </row>
    <row r="1504" spans="1:32" x14ac:dyDescent="0.25">
      <c r="A1504" t="s">
        <v>33</v>
      </c>
      <c r="D1504" t="s">
        <v>2847</v>
      </c>
      <c r="E1504" t="s">
        <v>2893</v>
      </c>
      <c r="F1504" t="s">
        <v>36</v>
      </c>
      <c r="G1504" t="s">
        <v>3610</v>
      </c>
      <c r="H1504" t="s">
        <v>89</v>
      </c>
      <c r="I1504" t="s">
        <v>144</v>
      </c>
      <c r="J1504" t="s">
        <v>91</v>
      </c>
      <c r="K1504" t="s">
        <v>92</v>
      </c>
      <c r="L1504" t="s">
        <v>3611</v>
      </c>
      <c r="M1504" t="s">
        <v>94</v>
      </c>
      <c r="N1504" t="s">
        <v>3612</v>
      </c>
      <c r="O1504" t="s">
        <v>150</v>
      </c>
      <c r="P1504">
        <v>1E-3</v>
      </c>
      <c r="R1504" t="s">
        <v>3615</v>
      </c>
      <c r="S1504" t="s">
        <v>2864</v>
      </c>
      <c r="V1504" t="s">
        <v>2855</v>
      </c>
      <c r="W1504" t="s">
        <v>2898</v>
      </c>
      <c r="AD1504" t="s">
        <v>3616</v>
      </c>
    </row>
    <row r="1505" spans="1:30" x14ac:dyDescent="0.25">
      <c r="A1505" t="s">
        <v>33</v>
      </c>
      <c r="D1505" t="s">
        <v>2847</v>
      </c>
      <c r="E1505" t="s">
        <v>2893</v>
      </c>
      <c r="F1505" t="s">
        <v>36</v>
      </c>
      <c r="G1505" t="s">
        <v>3610</v>
      </c>
      <c r="H1505" t="s">
        <v>153</v>
      </c>
      <c r="I1505" t="s">
        <v>180</v>
      </c>
      <c r="J1505" t="s">
        <v>154</v>
      </c>
      <c r="K1505" t="s">
        <v>155</v>
      </c>
      <c r="L1505" t="s">
        <v>3611</v>
      </c>
      <c r="N1505" t="s">
        <v>3612</v>
      </c>
      <c r="O1505" t="s">
        <v>187</v>
      </c>
      <c r="R1505" t="s">
        <v>3617</v>
      </c>
      <c r="S1505" t="s">
        <v>2864</v>
      </c>
      <c r="V1505" t="s">
        <v>2855</v>
      </c>
      <c r="W1505" t="s">
        <v>2898</v>
      </c>
      <c r="AD1505" t="s">
        <v>3618</v>
      </c>
    </row>
    <row r="1506" spans="1:30" x14ac:dyDescent="0.25">
      <c r="A1506" t="s">
        <v>33</v>
      </c>
      <c r="D1506" t="s">
        <v>2847</v>
      </c>
      <c r="E1506" t="s">
        <v>2893</v>
      </c>
      <c r="F1506" t="s">
        <v>36</v>
      </c>
      <c r="G1506" t="s">
        <v>3610</v>
      </c>
      <c r="H1506" t="s">
        <v>89</v>
      </c>
      <c r="I1506" t="s">
        <v>180</v>
      </c>
      <c r="J1506" t="s">
        <v>91</v>
      </c>
      <c r="K1506" t="s">
        <v>92</v>
      </c>
      <c r="L1506" t="s">
        <v>3611</v>
      </c>
      <c r="M1506" t="s">
        <v>94</v>
      </c>
      <c r="N1506" t="s">
        <v>3612</v>
      </c>
      <c r="O1506" t="s">
        <v>184</v>
      </c>
      <c r="P1506">
        <v>1E-3</v>
      </c>
      <c r="R1506" t="s">
        <v>3619</v>
      </c>
      <c r="S1506" t="s">
        <v>2864</v>
      </c>
      <c r="V1506" t="s">
        <v>2855</v>
      </c>
      <c r="W1506" t="s">
        <v>2898</v>
      </c>
      <c r="AD1506" t="s">
        <v>3620</v>
      </c>
    </row>
    <row r="1507" spans="1:30" x14ac:dyDescent="0.25">
      <c r="A1507" t="s">
        <v>33</v>
      </c>
      <c r="D1507" t="s">
        <v>2847</v>
      </c>
      <c r="E1507" t="s">
        <v>2893</v>
      </c>
      <c r="F1507" t="s">
        <v>36</v>
      </c>
      <c r="G1507" t="s">
        <v>3610</v>
      </c>
      <c r="H1507" t="s">
        <v>38</v>
      </c>
      <c r="I1507" t="s">
        <v>63</v>
      </c>
      <c r="J1507" t="s">
        <v>40</v>
      </c>
      <c r="K1507" t="s">
        <v>41</v>
      </c>
      <c r="L1507" t="s">
        <v>3611</v>
      </c>
      <c r="M1507" t="s">
        <v>3483</v>
      </c>
      <c r="N1507" t="s">
        <v>3612</v>
      </c>
      <c r="O1507" t="s">
        <v>65</v>
      </c>
      <c r="R1507" t="s">
        <v>3621</v>
      </c>
      <c r="S1507" t="s">
        <v>2864</v>
      </c>
      <c r="V1507" t="s">
        <v>2855</v>
      </c>
      <c r="W1507" t="s">
        <v>2898</v>
      </c>
      <c r="X1507" t="s">
        <v>963</v>
      </c>
      <c r="AD1507" t="s">
        <v>3622</v>
      </c>
    </row>
    <row r="1508" spans="1:30" x14ac:dyDescent="0.25">
      <c r="A1508" t="s">
        <v>33</v>
      </c>
      <c r="D1508" t="s">
        <v>2847</v>
      </c>
      <c r="E1508" t="s">
        <v>2893</v>
      </c>
      <c r="F1508" t="s">
        <v>36</v>
      </c>
      <c r="G1508" t="s">
        <v>3500</v>
      </c>
      <c r="H1508" t="s">
        <v>38</v>
      </c>
      <c r="I1508" t="s">
        <v>74</v>
      </c>
      <c r="J1508" t="s">
        <v>69</v>
      </c>
      <c r="K1508" t="s">
        <v>41</v>
      </c>
      <c r="L1508" t="s">
        <v>3501</v>
      </c>
      <c r="M1508" t="s">
        <v>960</v>
      </c>
      <c r="N1508" t="s">
        <v>3502</v>
      </c>
      <c r="O1508" t="s">
        <v>75</v>
      </c>
      <c r="R1508" t="s">
        <v>3623</v>
      </c>
      <c r="S1508" t="s">
        <v>2864</v>
      </c>
      <c r="V1508" t="s">
        <v>2855</v>
      </c>
      <c r="W1508" t="s">
        <v>2898</v>
      </c>
      <c r="X1508" t="s">
        <v>963</v>
      </c>
      <c r="AD1508" t="s">
        <v>3624</v>
      </c>
    </row>
    <row r="1509" spans="1:30" x14ac:dyDescent="0.25">
      <c r="A1509" t="s">
        <v>33</v>
      </c>
      <c r="D1509" t="s">
        <v>2847</v>
      </c>
      <c r="E1509" t="s">
        <v>2893</v>
      </c>
      <c r="F1509" t="s">
        <v>36</v>
      </c>
      <c r="G1509" t="s">
        <v>3500</v>
      </c>
      <c r="H1509" t="s">
        <v>38</v>
      </c>
      <c r="I1509" t="s">
        <v>68</v>
      </c>
      <c r="J1509" t="s">
        <v>69</v>
      </c>
      <c r="K1509" t="s">
        <v>41</v>
      </c>
      <c r="L1509" t="s">
        <v>3501</v>
      </c>
      <c r="M1509" t="s">
        <v>960</v>
      </c>
      <c r="N1509" t="s">
        <v>3502</v>
      </c>
      <c r="O1509" t="s">
        <v>71</v>
      </c>
      <c r="R1509" t="s">
        <v>3625</v>
      </c>
      <c r="S1509" t="s">
        <v>2864</v>
      </c>
      <c r="V1509" t="s">
        <v>2855</v>
      </c>
      <c r="W1509" t="s">
        <v>2898</v>
      </c>
      <c r="X1509" t="s">
        <v>963</v>
      </c>
      <c r="AD1509" t="s">
        <v>3626</v>
      </c>
    </row>
    <row r="1510" spans="1:30" x14ac:dyDescent="0.25">
      <c r="A1510" t="s">
        <v>33</v>
      </c>
      <c r="D1510" t="s">
        <v>2847</v>
      </c>
      <c r="E1510" t="s">
        <v>2859</v>
      </c>
      <c r="F1510" t="s">
        <v>36</v>
      </c>
      <c r="G1510" t="s">
        <v>2921</v>
      </c>
      <c r="H1510" t="s">
        <v>38</v>
      </c>
      <c r="I1510" t="s">
        <v>74</v>
      </c>
      <c r="J1510" t="s">
        <v>69</v>
      </c>
      <c r="K1510" t="s">
        <v>41</v>
      </c>
      <c r="L1510" t="s">
        <v>2922</v>
      </c>
      <c r="M1510" t="s">
        <v>960</v>
      </c>
      <c r="N1510" t="s">
        <v>2923</v>
      </c>
      <c r="O1510" t="s">
        <v>75</v>
      </c>
      <c r="R1510" t="s">
        <v>3627</v>
      </c>
      <c r="S1510" t="s">
        <v>2864</v>
      </c>
      <c r="V1510" t="s">
        <v>2855</v>
      </c>
      <c r="W1510" t="s">
        <v>2865</v>
      </c>
      <c r="X1510" t="s">
        <v>963</v>
      </c>
      <c r="AD1510" t="s">
        <v>3628</v>
      </c>
    </row>
    <row r="1511" spans="1:30" x14ac:dyDescent="0.25">
      <c r="A1511" t="s">
        <v>33</v>
      </c>
      <c r="D1511" t="s">
        <v>2847</v>
      </c>
      <c r="E1511" t="s">
        <v>2859</v>
      </c>
      <c r="F1511" t="s">
        <v>36</v>
      </c>
      <c r="G1511" t="s">
        <v>2921</v>
      </c>
      <c r="H1511" t="s">
        <v>38</v>
      </c>
      <c r="I1511" t="s">
        <v>68</v>
      </c>
      <c r="J1511" t="s">
        <v>69</v>
      </c>
      <c r="K1511" t="s">
        <v>41</v>
      </c>
      <c r="L1511" t="s">
        <v>2922</v>
      </c>
      <c r="M1511" t="s">
        <v>960</v>
      </c>
      <c r="N1511" t="s">
        <v>2923</v>
      </c>
      <c r="O1511" t="s">
        <v>71</v>
      </c>
      <c r="R1511" t="s">
        <v>3629</v>
      </c>
      <c r="S1511" t="s">
        <v>2864</v>
      </c>
      <c r="V1511" t="s">
        <v>2855</v>
      </c>
      <c r="W1511" t="s">
        <v>2865</v>
      </c>
      <c r="X1511" t="s">
        <v>963</v>
      </c>
      <c r="AD1511" t="s">
        <v>3630</v>
      </c>
    </row>
    <row r="1512" spans="1:30" x14ac:dyDescent="0.25">
      <c r="A1512" t="s">
        <v>33</v>
      </c>
      <c r="D1512" t="s">
        <v>2847</v>
      </c>
      <c r="E1512" t="s">
        <v>2859</v>
      </c>
      <c r="F1512" t="s">
        <v>78</v>
      </c>
      <c r="G1512" t="s">
        <v>2288</v>
      </c>
      <c r="H1512" t="s">
        <v>166</v>
      </c>
      <c r="I1512" t="s">
        <v>243</v>
      </c>
      <c r="J1512" t="s">
        <v>167</v>
      </c>
      <c r="K1512" t="s">
        <v>41</v>
      </c>
      <c r="L1512" t="s">
        <v>2289</v>
      </c>
      <c r="N1512" t="s">
        <v>3419</v>
      </c>
      <c r="O1512" t="s">
        <v>244</v>
      </c>
      <c r="Q1512" t="s">
        <v>2803</v>
      </c>
      <c r="R1512" t="s">
        <v>3631</v>
      </c>
      <c r="S1512" t="s">
        <v>2864</v>
      </c>
      <c r="V1512" t="s">
        <v>2855</v>
      </c>
      <c r="W1512" t="s">
        <v>2865</v>
      </c>
      <c r="AD1512" t="s">
        <v>3632</v>
      </c>
    </row>
    <row r="1513" spans="1:30" x14ac:dyDescent="0.25">
      <c r="A1513" t="s">
        <v>33</v>
      </c>
      <c r="D1513" t="s">
        <v>2847</v>
      </c>
      <c r="E1513" t="s">
        <v>2859</v>
      </c>
      <c r="F1513" t="s">
        <v>78</v>
      </c>
      <c r="G1513" t="s">
        <v>497</v>
      </c>
      <c r="H1513" t="s">
        <v>153</v>
      </c>
      <c r="I1513" t="s">
        <v>243</v>
      </c>
      <c r="J1513" t="s">
        <v>154</v>
      </c>
      <c r="K1513" t="s">
        <v>155</v>
      </c>
      <c r="L1513" t="s">
        <v>498</v>
      </c>
      <c r="N1513" t="s">
        <v>3633</v>
      </c>
      <c r="O1513" t="s">
        <v>824</v>
      </c>
      <c r="R1513" t="s">
        <v>3634</v>
      </c>
      <c r="S1513" t="s">
        <v>2864</v>
      </c>
      <c r="V1513" t="s">
        <v>2855</v>
      </c>
      <c r="W1513" t="s">
        <v>2865</v>
      </c>
      <c r="AD1513" t="s">
        <v>3635</v>
      </c>
    </row>
    <row r="1514" spans="1:30" x14ac:dyDescent="0.25">
      <c r="A1514" t="s">
        <v>33</v>
      </c>
      <c r="D1514" t="s">
        <v>2847</v>
      </c>
      <c r="E1514" t="s">
        <v>2859</v>
      </c>
      <c r="F1514" t="s">
        <v>78</v>
      </c>
      <c r="G1514" t="s">
        <v>497</v>
      </c>
      <c r="H1514" t="s">
        <v>166</v>
      </c>
      <c r="I1514" t="s">
        <v>80</v>
      </c>
      <c r="J1514" t="s">
        <v>167</v>
      </c>
      <c r="K1514" t="s">
        <v>41</v>
      </c>
      <c r="L1514" t="s">
        <v>498</v>
      </c>
      <c r="N1514" t="s">
        <v>3633</v>
      </c>
      <c r="O1514" t="s">
        <v>84</v>
      </c>
      <c r="Q1514" t="s">
        <v>1161</v>
      </c>
      <c r="R1514" t="s">
        <v>3636</v>
      </c>
      <c r="S1514" t="s">
        <v>2864</v>
      </c>
      <c r="V1514" t="s">
        <v>2855</v>
      </c>
      <c r="W1514" t="s">
        <v>2865</v>
      </c>
      <c r="AD1514" t="s">
        <v>3637</v>
      </c>
    </row>
    <row r="1515" spans="1:30" x14ac:dyDescent="0.25">
      <c r="A1515" t="s">
        <v>33</v>
      </c>
      <c r="D1515" t="s">
        <v>2847</v>
      </c>
      <c r="E1515" t="s">
        <v>2859</v>
      </c>
      <c r="F1515" t="s">
        <v>78</v>
      </c>
      <c r="G1515" t="s">
        <v>497</v>
      </c>
      <c r="H1515" t="s">
        <v>166</v>
      </c>
      <c r="I1515" t="s">
        <v>160</v>
      </c>
      <c r="J1515" t="s">
        <v>167</v>
      </c>
      <c r="K1515" t="s">
        <v>41</v>
      </c>
      <c r="L1515" t="s">
        <v>498</v>
      </c>
      <c r="N1515" t="s">
        <v>3633</v>
      </c>
      <c r="O1515" t="s">
        <v>168</v>
      </c>
      <c r="Q1515" t="s">
        <v>169</v>
      </c>
      <c r="R1515" t="s">
        <v>3638</v>
      </c>
      <c r="S1515" t="s">
        <v>2864</v>
      </c>
      <c r="V1515" t="s">
        <v>2855</v>
      </c>
      <c r="W1515" t="s">
        <v>2865</v>
      </c>
      <c r="AD1515" t="s">
        <v>3639</v>
      </c>
    </row>
    <row r="1516" spans="1:30" x14ac:dyDescent="0.25">
      <c r="A1516" t="s">
        <v>33</v>
      </c>
      <c r="D1516" t="s">
        <v>2847</v>
      </c>
      <c r="E1516" t="s">
        <v>2859</v>
      </c>
      <c r="F1516" t="s">
        <v>78</v>
      </c>
      <c r="G1516" t="s">
        <v>497</v>
      </c>
      <c r="H1516" t="s">
        <v>166</v>
      </c>
      <c r="I1516" t="s">
        <v>243</v>
      </c>
      <c r="J1516" t="s">
        <v>167</v>
      </c>
      <c r="K1516" t="s">
        <v>41</v>
      </c>
      <c r="L1516" t="s">
        <v>498</v>
      </c>
      <c r="N1516" t="s">
        <v>3633</v>
      </c>
      <c r="O1516" t="s">
        <v>244</v>
      </c>
      <c r="Q1516" t="s">
        <v>2803</v>
      </c>
      <c r="R1516" t="s">
        <v>3640</v>
      </c>
      <c r="S1516" t="s">
        <v>2864</v>
      </c>
      <c r="V1516" t="s">
        <v>2855</v>
      </c>
      <c r="W1516" t="s">
        <v>2865</v>
      </c>
      <c r="AD1516" t="s">
        <v>3641</v>
      </c>
    </row>
    <row r="1517" spans="1:30" x14ac:dyDescent="0.25">
      <c r="A1517" t="s">
        <v>33</v>
      </c>
      <c r="D1517" t="s">
        <v>2847</v>
      </c>
      <c r="E1517" t="s">
        <v>2848</v>
      </c>
      <c r="F1517" t="s">
        <v>87</v>
      </c>
      <c r="G1517" t="s">
        <v>3440</v>
      </c>
      <c r="H1517" t="s">
        <v>89</v>
      </c>
      <c r="I1517" t="s">
        <v>90</v>
      </c>
      <c r="J1517" t="s">
        <v>91</v>
      </c>
      <c r="K1517" t="s">
        <v>92</v>
      </c>
      <c r="L1517" t="s">
        <v>3441</v>
      </c>
      <c r="M1517" t="s">
        <v>94</v>
      </c>
      <c r="N1517" t="s">
        <v>3442</v>
      </c>
      <c r="O1517" t="s">
        <v>383</v>
      </c>
      <c r="P1517">
        <v>1E-3</v>
      </c>
      <c r="R1517" t="s">
        <v>3642</v>
      </c>
      <c r="S1517" t="s">
        <v>2854</v>
      </c>
      <c r="V1517" t="s">
        <v>2855</v>
      </c>
      <c r="W1517" t="s">
        <v>2856</v>
      </c>
      <c r="AD1517" t="s">
        <v>3643</v>
      </c>
    </row>
    <row r="1518" spans="1:30" x14ac:dyDescent="0.25">
      <c r="A1518" t="s">
        <v>33</v>
      </c>
      <c r="D1518" t="s">
        <v>2847</v>
      </c>
      <c r="E1518" t="s">
        <v>2848</v>
      </c>
      <c r="F1518" t="s">
        <v>87</v>
      </c>
      <c r="G1518" t="s">
        <v>3440</v>
      </c>
      <c r="H1518" t="s">
        <v>143</v>
      </c>
      <c r="I1518" t="s">
        <v>90</v>
      </c>
      <c r="J1518" t="s">
        <v>145</v>
      </c>
      <c r="K1518" t="s">
        <v>262</v>
      </c>
      <c r="L1518" t="s">
        <v>3441</v>
      </c>
      <c r="M1518" t="s">
        <v>252</v>
      </c>
      <c r="N1518" t="s">
        <v>3442</v>
      </c>
      <c r="O1518" t="s">
        <v>380</v>
      </c>
      <c r="R1518" t="s">
        <v>3644</v>
      </c>
      <c r="S1518" t="s">
        <v>2854</v>
      </c>
      <c r="V1518" t="s">
        <v>2855</v>
      </c>
      <c r="W1518" t="s">
        <v>2856</v>
      </c>
      <c r="AD1518" t="s">
        <v>3645</v>
      </c>
    </row>
    <row r="1519" spans="1:30" x14ac:dyDescent="0.25">
      <c r="A1519" t="s">
        <v>33</v>
      </c>
      <c r="D1519" t="s">
        <v>2847</v>
      </c>
      <c r="E1519" t="s">
        <v>2848</v>
      </c>
      <c r="F1519" t="s">
        <v>87</v>
      </c>
      <c r="G1519" t="s">
        <v>3440</v>
      </c>
      <c r="H1519" t="s">
        <v>143</v>
      </c>
      <c r="I1519" t="s">
        <v>90</v>
      </c>
      <c r="J1519" t="s">
        <v>145</v>
      </c>
      <c r="K1519" t="s">
        <v>146</v>
      </c>
      <c r="L1519" t="s">
        <v>3441</v>
      </c>
      <c r="M1519" t="s">
        <v>252</v>
      </c>
      <c r="N1519" t="s">
        <v>3442</v>
      </c>
      <c r="O1519" t="s">
        <v>380</v>
      </c>
      <c r="R1519" t="s">
        <v>3646</v>
      </c>
      <c r="S1519" t="s">
        <v>2854</v>
      </c>
      <c r="V1519" t="s">
        <v>2855</v>
      </c>
      <c r="W1519" t="s">
        <v>2856</v>
      </c>
      <c r="AD1519" t="s">
        <v>3645</v>
      </c>
    </row>
    <row r="1520" spans="1:30" x14ac:dyDescent="0.25">
      <c r="A1520" t="s">
        <v>33</v>
      </c>
      <c r="D1520" t="s">
        <v>2847</v>
      </c>
      <c r="E1520" t="s">
        <v>2848</v>
      </c>
      <c r="F1520" t="s">
        <v>87</v>
      </c>
      <c r="G1520" t="s">
        <v>3440</v>
      </c>
      <c r="H1520" t="s">
        <v>153</v>
      </c>
      <c r="I1520" t="s">
        <v>180</v>
      </c>
      <c r="J1520" t="s">
        <v>154</v>
      </c>
      <c r="K1520" t="s">
        <v>155</v>
      </c>
      <c r="L1520" t="s">
        <v>3441</v>
      </c>
      <c r="N1520" t="s">
        <v>3442</v>
      </c>
      <c r="O1520" t="s">
        <v>187</v>
      </c>
      <c r="R1520" t="s">
        <v>3647</v>
      </c>
      <c r="S1520" t="s">
        <v>2854</v>
      </c>
      <c r="V1520" t="s">
        <v>2855</v>
      </c>
      <c r="W1520" t="s">
        <v>2856</v>
      </c>
      <c r="AD1520" t="s">
        <v>3648</v>
      </c>
    </row>
    <row r="1521" spans="1:32" x14ac:dyDescent="0.25">
      <c r="A1521" t="s">
        <v>33</v>
      </c>
      <c r="D1521" t="s">
        <v>2847</v>
      </c>
      <c r="E1521" t="s">
        <v>2848</v>
      </c>
      <c r="F1521" t="s">
        <v>87</v>
      </c>
      <c r="G1521" t="s">
        <v>3440</v>
      </c>
      <c r="H1521" t="s">
        <v>89</v>
      </c>
      <c r="I1521" t="s">
        <v>180</v>
      </c>
      <c r="J1521" t="s">
        <v>91</v>
      </c>
      <c r="K1521" t="s">
        <v>92</v>
      </c>
      <c r="L1521" t="s">
        <v>3441</v>
      </c>
      <c r="M1521" t="s">
        <v>94</v>
      </c>
      <c r="N1521" t="s">
        <v>3442</v>
      </c>
      <c r="O1521" t="s">
        <v>184</v>
      </c>
      <c r="P1521">
        <v>1E-3</v>
      </c>
      <c r="R1521" t="s">
        <v>3649</v>
      </c>
      <c r="S1521" t="s">
        <v>2854</v>
      </c>
      <c r="V1521" t="s">
        <v>2855</v>
      </c>
      <c r="W1521" t="s">
        <v>2856</v>
      </c>
      <c r="AD1521" t="s">
        <v>3650</v>
      </c>
    </row>
    <row r="1522" spans="1:32" x14ac:dyDescent="0.25">
      <c r="A1522" t="s">
        <v>33</v>
      </c>
      <c r="D1522" t="s">
        <v>2847</v>
      </c>
      <c r="E1522" t="s">
        <v>2848</v>
      </c>
      <c r="F1522" t="s">
        <v>87</v>
      </c>
      <c r="G1522" t="s">
        <v>3440</v>
      </c>
      <c r="H1522" t="s">
        <v>143</v>
      </c>
      <c r="I1522" t="s">
        <v>180</v>
      </c>
      <c r="J1522" t="s">
        <v>145</v>
      </c>
      <c r="K1522" t="s">
        <v>146</v>
      </c>
      <c r="L1522" t="s">
        <v>3441</v>
      </c>
      <c r="M1522" t="s">
        <v>252</v>
      </c>
      <c r="N1522" t="s">
        <v>3442</v>
      </c>
      <c r="O1522" t="s">
        <v>181</v>
      </c>
      <c r="R1522" t="s">
        <v>3651</v>
      </c>
      <c r="S1522" t="s">
        <v>2854</v>
      </c>
      <c r="V1522" t="s">
        <v>2855</v>
      </c>
      <c r="W1522" t="s">
        <v>2856</v>
      </c>
      <c r="AD1522" t="s">
        <v>3652</v>
      </c>
    </row>
    <row r="1523" spans="1:32" x14ac:dyDescent="0.25">
      <c r="A1523" t="s">
        <v>33</v>
      </c>
      <c r="D1523" t="s">
        <v>2847</v>
      </c>
      <c r="E1523" t="s">
        <v>2848</v>
      </c>
      <c r="F1523" t="s">
        <v>87</v>
      </c>
      <c r="G1523" t="s">
        <v>3440</v>
      </c>
      <c r="H1523" t="s">
        <v>143</v>
      </c>
      <c r="I1523" t="s">
        <v>180</v>
      </c>
      <c r="J1523" t="s">
        <v>145</v>
      </c>
      <c r="K1523" t="s">
        <v>262</v>
      </c>
      <c r="L1523" t="s">
        <v>3441</v>
      </c>
      <c r="M1523" t="s">
        <v>252</v>
      </c>
      <c r="N1523" t="s">
        <v>3442</v>
      </c>
      <c r="O1523" t="s">
        <v>181</v>
      </c>
      <c r="R1523" t="s">
        <v>3653</v>
      </c>
      <c r="S1523" t="s">
        <v>2854</v>
      </c>
      <c r="V1523" t="s">
        <v>2855</v>
      </c>
      <c r="W1523" t="s">
        <v>2856</v>
      </c>
      <c r="AD1523" t="s">
        <v>3652</v>
      </c>
    </row>
    <row r="1524" spans="1:32" x14ac:dyDescent="0.25">
      <c r="A1524" t="s">
        <v>33</v>
      </c>
      <c r="D1524" t="s">
        <v>2847</v>
      </c>
      <c r="E1524" t="s">
        <v>2848</v>
      </c>
      <c r="F1524" t="s">
        <v>87</v>
      </c>
      <c r="G1524" t="s">
        <v>3440</v>
      </c>
      <c r="H1524" t="s">
        <v>153</v>
      </c>
      <c r="I1524" t="s">
        <v>100</v>
      </c>
      <c r="J1524" t="s">
        <v>154</v>
      </c>
      <c r="K1524" t="s">
        <v>155</v>
      </c>
      <c r="L1524" t="s">
        <v>3441</v>
      </c>
      <c r="N1524" t="s">
        <v>3442</v>
      </c>
      <c r="O1524" t="s">
        <v>448</v>
      </c>
      <c r="R1524" t="s">
        <v>3654</v>
      </c>
      <c r="S1524" t="s">
        <v>2854</v>
      </c>
      <c r="V1524" t="s">
        <v>2855</v>
      </c>
      <c r="W1524" t="s">
        <v>2856</v>
      </c>
      <c r="AC1524" t="s">
        <v>3655</v>
      </c>
      <c r="AD1524" t="s">
        <v>3656</v>
      </c>
      <c r="AE1524" t="s">
        <v>3034</v>
      </c>
      <c r="AF1524">
        <v>4</v>
      </c>
    </row>
    <row r="1525" spans="1:32" x14ac:dyDescent="0.25">
      <c r="A1525" t="s">
        <v>33</v>
      </c>
      <c r="D1525" t="s">
        <v>2847</v>
      </c>
      <c r="E1525" t="s">
        <v>2848</v>
      </c>
      <c r="F1525" t="s">
        <v>87</v>
      </c>
      <c r="G1525" t="s">
        <v>3440</v>
      </c>
      <c r="H1525" t="s">
        <v>89</v>
      </c>
      <c r="I1525" t="s">
        <v>100</v>
      </c>
      <c r="J1525" t="s">
        <v>91</v>
      </c>
      <c r="K1525" t="s">
        <v>92</v>
      </c>
      <c r="L1525" t="s">
        <v>3441</v>
      </c>
      <c r="M1525" t="s">
        <v>94</v>
      </c>
      <c r="N1525" t="s">
        <v>3442</v>
      </c>
      <c r="O1525" t="s">
        <v>445</v>
      </c>
      <c r="P1525">
        <v>1E-3</v>
      </c>
      <c r="R1525" t="s">
        <v>3657</v>
      </c>
      <c r="S1525" t="s">
        <v>2854</v>
      </c>
      <c r="V1525" t="s">
        <v>2855</v>
      </c>
      <c r="W1525" t="s">
        <v>2856</v>
      </c>
      <c r="AD1525" t="s">
        <v>3658</v>
      </c>
    </row>
    <row r="1526" spans="1:32" x14ac:dyDescent="0.25">
      <c r="A1526" t="s">
        <v>33</v>
      </c>
      <c r="D1526" t="s">
        <v>2847</v>
      </c>
      <c r="E1526" t="s">
        <v>2848</v>
      </c>
      <c r="F1526" t="s">
        <v>87</v>
      </c>
      <c r="G1526" t="s">
        <v>3440</v>
      </c>
      <c r="H1526" t="s">
        <v>143</v>
      </c>
      <c r="I1526" t="s">
        <v>100</v>
      </c>
      <c r="J1526" t="s">
        <v>145</v>
      </c>
      <c r="K1526" t="s">
        <v>262</v>
      </c>
      <c r="L1526" t="s">
        <v>3441</v>
      </c>
      <c r="M1526" t="s">
        <v>252</v>
      </c>
      <c r="N1526" t="s">
        <v>3442</v>
      </c>
      <c r="O1526" t="s">
        <v>442</v>
      </c>
      <c r="R1526" t="s">
        <v>3659</v>
      </c>
      <c r="S1526" t="s">
        <v>2854</v>
      </c>
      <c r="V1526" t="s">
        <v>2855</v>
      </c>
      <c r="W1526" t="s">
        <v>2856</v>
      </c>
      <c r="AD1526" t="s">
        <v>3660</v>
      </c>
    </row>
    <row r="1527" spans="1:32" x14ac:dyDescent="0.25">
      <c r="A1527" t="s">
        <v>33</v>
      </c>
      <c r="D1527" t="s">
        <v>2847</v>
      </c>
      <c r="E1527" t="s">
        <v>2848</v>
      </c>
      <c r="F1527" t="s">
        <v>87</v>
      </c>
      <c r="G1527" t="s">
        <v>3440</v>
      </c>
      <c r="H1527" t="s">
        <v>143</v>
      </c>
      <c r="I1527" t="s">
        <v>100</v>
      </c>
      <c r="J1527" t="s">
        <v>145</v>
      </c>
      <c r="K1527" t="s">
        <v>146</v>
      </c>
      <c r="L1527" t="s">
        <v>3441</v>
      </c>
      <c r="M1527" t="s">
        <v>252</v>
      </c>
      <c r="N1527" t="s">
        <v>3442</v>
      </c>
      <c r="O1527" t="s">
        <v>442</v>
      </c>
      <c r="R1527" t="s">
        <v>3661</v>
      </c>
      <c r="S1527" t="s">
        <v>2854</v>
      </c>
      <c r="V1527" t="s">
        <v>2855</v>
      </c>
      <c r="W1527" t="s">
        <v>2856</v>
      </c>
      <c r="AD1527" t="s">
        <v>3660</v>
      </c>
    </row>
    <row r="1528" spans="1:32" x14ac:dyDescent="0.25">
      <c r="A1528" t="s">
        <v>33</v>
      </c>
      <c r="D1528" t="s">
        <v>2847</v>
      </c>
      <c r="E1528" t="s">
        <v>2848</v>
      </c>
      <c r="F1528" t="s">
        <v>87</v>
      </c>
      <c r="G1528" t="s">
        <v>3440</v>
      </c>
      <c r="H1528" t="s">
        <v>38</v>
      </c>
      <c r="I1528" t="s">
        <v>106</v>
      </c>
      <c r="J1528" t="s">
        <v>40</v>
      </c>
      <c r="K1528" t="s">
        <v>41</v>
      </c>
      <c r="L1528" t="s">
        <v>3441</v>
      </c>
      <c r="M1528" t="s">
        <v>252</v>
      </c>
      <c r="N1528" t="s">
        <v>3442</v>
      </c>
      <c r="O1528" t="s">
        <v>109</v>
      </c>
      <c r="R1528" t="s">
        <v>3662</v>
      </c>
      <c r="S1528" t="s">
        <v>2854</v>
      </c>
      <c r="V1528" t="s">
        <v>2855</v>
      </c>
      <c r="W1528" t="s">
        <v>2856</v>
      </c>
      <c r="AD1528" t="s">
        <v>3663</v>
      </c>
    </row>
    <row r="1529" spans="1:32" x14ac:dyDescent="0.25">
      <c r="A1529" t="s">
        <v>33</v>
      </c>
      <c r="D1529" t="s">
        <v>2847</v>
      </c>
      <c r="E1529" t="s">
        <v>2848</v>
      </c>
      <c r="F1529" t="s">
        <v>87</v>
      </c>
      <c r="G1529" t="s">
        <v>3440</v>
      </c>
      <c r="H1529" t="s">
        <v>38</v>
      </c>
      <c r="I1529" t="s">
        <v>25</v>
      </c>
      <c r="J1529" t="s">
        <v>69</v>
      </c>
      <c r="K1529" t="s">
        <v>41</v>
      </c>
      <c r="L1529" t="s">
        <v>3441</v>
      </c>
      <c r="M1529" t="s">
        <v>252</v>
      </c>
      <c r="N1529" t="s">
        <v>3442</v>
      </c>
      <c r="O1529" t="s">
        <v>512</v>
      </c>
      <c r="R1529" t="s">
        <v>549</v>
      </c>
      <c r="S1529" t="s">
        <v>2854</v>
      </c>
      <c r="V1529" t="s">
        <v>2855</v>
      </c>
      <c r="W1529" t="s">
        <v>2856</v>
      </c>
      <c r="AD1529" t="s">
        <v>3664</v>
      </c>
    </row>
    <row r="1530" spans="1:32" x14ac:dyDescent="0.25">
      <c r="A1530" t="s">
        <v>33</v>
      </c>
      <c r="D1530" t="s">
        <v>2847</v>
      </c>
      <c r="E1530" t="s">
        <v>2848</v>
      </c>
      <c r="F1530" t="s">
        <v>87</v>
      </c>
      <c r="G1530" t="s">
        <v>3440</v>
      </c>
      <c r="H1530" t="s">
        <v>38</v>
      </c>
      <c r="I1530" t="s">
        <v>24</v>
      </c>
      <c r="J1530" t="s">
        <v>69</v>
      </c>
      <c r="K1530" t="s">
        <v>41</v>
      </c>
      <c r="L1530" t="s">
        <v>3441</v>
      </c>
      <c r="M1530" t="s">
        <v>252</v>
      </c>
      <c r="N1530" t="s">
        <v>3442</v>
      </c>
      <c r="O1530" t="s">
        <v>509</v>
      </c>
      <c r="R1530" t="s">
        <v>547</v>
      </c>
      <c r="S1530" t="s">
        <v>2854</v>
      </c>
      <c r="V1530" t="s">
        <v>2855</v>
      </c>
      <c r="W1530" t="s">
        <v>2856</v>
      </c>
      <c r="AD1530" t="s">
        <v>3665</v>
      </c>
    </row>
    <row r="1531" spans="1:32" x14ac:dyDescent="0.25">
      <c r="A1531" t="s">
        <v>33</v>
      </c>
      <c r="D1531" t="s">
        <v>2847</v>
      </c>
      <c r="E1531" t="s">
        <v>2848</v>
      </c>
      <c r="F1531" t="s">
        <v>87</v>
      </c>
      <c r="G1531" t="s">
        <v>3666</v>
      </c>
      <c r="H1531" t="s">
        <v>153</v>
      </c>
      <c r="I1531" t="s">
        <v>144</v>
      </c>
      <c r="J1531" t="s">
        <v>154</v>
      </c>
      <c r="K1531" t="s">
        <v>155</v>
      </c>
      <c r="L1531" t="s">
        <v>3667</v>
      </c>
      <c r="N1531" t="s">
        <v>3668</v>
      </c>
      <c r="O1531" t="s">
        <v>156</v>
      </c>
      <c r="R1531" t="s">
        <v>3669</v>
      </c>
      <c r="S1531" t="s">
        <v>2854</v>
      </c>
      <c r="V1531" t="s">
        <v>2855</v>
      </c>
      <c r="W1531" t="s">
        <v>2856</v>
      </c>
      <c r="AD1531" t="s">
        <v>3670</v>
      </c>
    </row>
    <row r="1532" spans="1:32" x14ac:dyDescent="0.25">
      <c r="A1532" t="s">
        <v>33</v>
      </c>
      <c r="D1532" t="s">
        <v>2847</v>
      </c>
      <c r="E1532" t="s">
        <v>2848</v>
      </c>
      <c r="F1532" t="s">
        <v>87</v>
      </c>
      <c r="G1532" t="s">
        <v>3666</v>
      </c>
      <c r="H1532" t="s">
        <v>89</v>
      </c>
      <c r="I1532" t="s">
        <v>144</v>
      </c>
      <c r="J1532" t="s">
        <v>91</v>
      </c>
      <c r="K1532" t="s">
        <v>92</v>
      </c>
      <c r="L1532" t="s">
        <v>3667</v>
      </c>
      <c r="M1532" t="s">
        <v>94</v>
      </c>
      <c r="N1532" t="s">
        <v>3668</v>
      </c>
      <c r="O1532" t="s">
        <v>150</v>
      </c>
      <c r="P1532">
        <v>1E-3</v>
      </c>
      <c r="R1532" t="s">
        <v>3671</v>
      </c>
      <c r="S1532" t="s">
        <v>2854</v>
      </c>
      <c r="V1532" t="s">
        <v>2855</v>
      </c>
      <c r="W1532" t="s">
        <v>2856</v>
      </c>
      <c r="AD1532" t="s">
        <v>3672</v>
      </c>
    </row>
    <row r="1533" spans="1:32" x14ac:dyDescent="0.25">
      <c r="A1533" t="s">
        <v>33</v>
      </c>
      <c r="D1533" t="s">
        <v>2847</v>
      </c>
      <c r="E1533" t="s">
        <v>2848</v>
      </c>
      <c r="F1533" t="s">
        <v>87</v>
      </c>
      <c r="G1533" t="s">
        <v>3666</v>
      </c>
      <c r="H1533" t="s">
        <v>143</v>
      </c>
      <c r="I1533" t="s">
        <v>144</v>
      </c>
      <c r="J1533" t="s">
        <v>145</v>
      </c>
      <c r="K1533" t="s">
        <v>146</v>
      </c>
      <c r="L1533" t="s">
        <v>3667</v>
      </c>
      <c r="M1533" t="s">
        <v>252</v>
      </c>
      <c r="N1533" t="s">
        <v>3668</v>
      </c>
      <c r="O1533" t="s">
        <v>147</v>
      </c>
      <c r="R1533" t="s">
        <v>3673</v>
      </c>
      <c r="S1533" t="s">
        <v>2854</v>
      </c>
      <c r="V1533" t="s">
        <v>2855</v>
      </c>
      <c r="W1533" t="s">
        <v>2856</v>
      </c>
      <c r="AD1533" t="s">
        <v>3674</v>
      </c>
    </row>
    <row r="1534" spans="1:32" x14ac:dyDescent="0.25">
      <c r="A1534" t="s">
        <v>33</v>
      </c>
      <c r="B1534" t="s">
        <v>2319</v>
      </c>
      <c r="D1534" t="s">
        <v>2847</v>
      </c>
      <c r="E1534" t="s">
        <v>2893</v>
      </c>
      <c r="F1534" t="s">
        <v>866</v>
      </c>
      <c r="G1534" t="s">
        <v>3675</v>
      </c>
      <c r="H1534" t="s">
        <v>166</v>
      </c>
      <c r="I1534" t="s">
        <v>1263</v>
      </c>
      <c r="J1534" t="s">
        <v>167</v>
      </c>
      <c r="K1534" t="s">
        <v>41</v>
      </c>
      <c r="L1534" t="s">
        <v>3676</v>
      </c>
      <c r="N1534" t="s">
        <v>3677</v>
      </c>
      <c r="O1534" t="s">
        <v>1264</v>
      </c>
      <c r="Q1534" t="s">
        <v>2541</v>
      </c>
      <c r="R1534" t="s">
        <v>1959</v>
      </c>
      <c r="S1534" t="s">
        <v>2864</v>
      </c>
      <c r="V1534" t="s">
        <v>2855</v>
      </c>
      <c r="W1534" t="s">
        <v>2898</v>
      </c>
      <c r="AD1534" t="s">
        <v>3678</v>
      </c>
    </row>
    <row r="1535" spans="1:32" x14ac:dyDescent="0.25">
      <c r="A1535" t="s">
        <v>33</v>
      </c>
      <c r="D1535" t="s">
        <v>2847</v>
      </c>
      <c r="E1535" t="s">
        <v>2893</v>
      </c>
      <c r="F1535" t="s">
        <v>1867</v>
      </c>
      <c r="G1535" t="s">
        <v>3679</v>
      </c>
      <c r="H1535" t="s">
        <v>280</v>
      </c>
      <c r="I1535" t="s">
        <v>3311</v>
      </c>
      <c r="J1535" t="s">
        <v>282</v>
      </c>
      <c r="K1535" t="s">
        <v>283</v>
      </c>
      <c r="L1535" t="s">
        <v>3680</v>
      </c>
      <c r="N1535" t="s">
        <v>3681</v>
      </c>
      <c r="O1535" t="s">
        <v>3312</v>
      </c>
      <c r="Q1535" t="s">
        <v>3682</v>
      </c>
      <c r="R1535" t="s">
        <v>3683</v>
      </c>
      <c r="S1535" t="s">
        <v>2864</v>
      </c>
      <c r="V1535" t="s">
        <v>2855</v>
      </c>
      <c r="W1535" t="s">
        <v>2898</v>
      </c>
      <c r="AD1535" t="s">
        <v>3684</v>
      </c>
      <c r="AE1535" t="s">
        <v>3685</v>
      </c>
      <c r="AF1535">
        <v>1</v>
      </c>
    </row>
    <row r="1536" spans="1:32" x14ac:dyDescent="0.25">
      <c r="A1536" t="s">
        <v>33</v>
      </c>
      <c r="D1536" t="s">
        <v>2847</v>
      </c>
      <c r="E1536" t="s">
        <v>2893</v>
      </c>
      <c r="F1536" t="s">
        <v>87</v>
      </c>
      <c r="G1536" t="s">
        <v>2906</v>
      </c>
      <c r="H1536" t="s">
        <v>89</v>
      </c>
      <c r="I1536" t="s">
        <v>144</v>
      </c>
      <c r="J1536" t="s">
        <v>91</v>
      </c>
      <c r="K1536" t="s">
        <v>92</v>
      </c>
      <c r="L1536" t="s">
        <v>2907</v>
      </c>
      <c r="M1536" t="s">
        <v>94</v>
      </c>
      <c r="N1536" t="s">
        <v>2195</v>
      </c>
      <c r="O1536" t="s">
        <v>150</v>
      </c>
      <c r="P1536">
        <v>1E-3</v>
      </c>
      <c r="R1536" t="s">
        <v>3686</v>
      </c>
      <c r="S1536" t="s">
        <v>2864</v>
      </c>
      <c r="V1536" t="s">
        <v>2855</v>
      </c>
      <c r="W1536" t="s">
        <v>2898</v>
      </c>
      <c r="AD1536" t="s">
        <v>2196</v>
      </c>
    </row>
    <row r="1537" spans="1:30" x14ac:dyDescent="0.25">
      <c r="A1537" t="s">
        <v>33</v>
      </c>
      <c r="D1537" t="s">
        <v>2847</v>
      </c>
      <c r="E1537" t="s">
        <v>2893</v>
      </c>
      <c r="F1537" t="s">
        <v>87</v>
      </c>
      <c r="G1537" t="s">
        <v>2906</v>
      </c>
      <c r="H1537" t="s">
        <v>143</v>
      </c>
      <c r="I1537" t="s">
        <v>144</v>
      </c>
      <c r="J1537" t="s">
        <v>145</v>
      </c>
      <c r="K1537" t="s">
        <v>146</v>
      </c>
      <c r="L1537" t="s">
        <v>2907</v>
      </c>
      <c r="M1537" t="s">
        <v>3327</v>
      </c>
      <c r="N1537" t="s">
        <v>2195</v>
      </c>
      <c r="O1537" t="s">
        <v>147</v>
      </c>
      <c r="R1537" t="s">
        <v>3687</v>
      </c>
      <c r="S1537" t="s">
        <v>2864</v>
      </c>
      <c r="V1537" t="s">
        <v>2855</v>
      </c>
      <c r="W1537" t="s">
        <v>2898</v>
      </c>
      <c r="X1537" t="s">
        <v>1193</v>
      </c>
      <c r="AD1537" t="s">
        <v>2198</v>
      </c>
    </row>
    <row r="1538" spans="1:30" x14ac:dyDescent="0.25">
      <c r="A1538" t="s">
        <v>33</v>
      </c>
      <c r="D1538" t="s">
        <v>2847</v>
      </c>
      <c r="E1538" t="s">
        <v>2859</v>
      </c>
      <c r="F1538" t="s">
        <v>87</v>
      </c>
      <c r="G1538" t="s">
        <v>2884</v>
      </c>
      <c r="H1538" t="s">
        <v>89</v>
      </c>
      <c r="I1538" t="s">
        <v>144</v>
      </c>
      <c r="J1538" t="s">
        <v>91</v>
      </c>
      <c r="K1538" t="s">
        <v>92</v>
      </c>
      <c r="L1538" t="s">
        <v>2885</v>
      </c>
      <c r="M1538" t="s">
        <v>94</v>
      </c>
      <c r="N1538" t="s">
        <v>2886</v>
      </c>
      <c r="O1538" t="s">
        <v>150</v>
      </c>
      <c r="P1538">
        <v>1E-3</v>
      </c>
      <c r="R1538" t="s">
        <v>3688</v>
      </c>
      <c r="S1538" t="s">
        <v>2864</v>
      </c>
      <c r="V1538" t="s">
        <v>2855</v>
      </c>
      <c r="W1538" t="s">
        <v>2865</v>
      </c>
      <c r="AD1538" t="s">
        <v>3689</v>
      </c>
    </row>
    <row r="1539" spans="1:30" x14ac:dyDescent="0.25">
      <c r="A1539" t="s">
        <v>33</v>
      </c>
      <c r="D1539" t="s">
        <v>2847</v>
      </c>
      <c r="E1539" t="s">
        <v>2893</v>
      </c>
      <c r="F1539" t="s">
        <v>87</v>
      </c>
      <c r="G1539" t="s">
        <v>2900</v>
      </c>
      <c r="H1539" t="s">
        <v>89</v>
      </c>
      <c r="I1539" t="s">
        <v>90</v>
      </c>
      <c r="J1539" t="s">
        <v>91</v>
      </c>
      <c r="K1539" t="s">
        <v>92</v>
      </c>
      <c r="L1539" t="s">
        <v>2901</v>
      </c>
      <c r="M1539" t="s">
        <v>94</v>
      </c>
      <c r="N1539" t="s">
        <v>2902</v>
      </c>
      <c r="O1539" t="s">
        <v>96</v>
      </c>
      <c r="P1539">
        <v>1E-3</v>
      </c>
      <c r="R1539" t="s">
        <v>3690</v>
      </c>
      <c r="S1539" t="s">
        <v>2864</v>
      </c>
      <c r="V1539" t="s">
        <v>2855</v>
      </c>
      <c r="W1539" t="s">
        <v>2898</v>
      </c>
      <c r="AD1539" t="s">
        <v>3691</v>
      </c>
    </row>
    <row r="1540" spans="1:30" x14ac:dyDescent="0.25">
      <c r="A1540" t="s">
        <v>33</v>
      </c>
      <c r="D1540" t="s">
        <v>2847</v>
      </c>
      <c r="E1540" t="s">
        <v>2859</v>
      </c>
      <c r="F1540" t="s">
        <v>87</v>
      </c>
      <c r="G1540" t="s">
        <v>2884</v>
      </c>
      <c r="H1540" t="s">
        <v>89</v>
      </c>
      <c r="I1540" t="s">
        <v>90</v>
      </c>
      <c r="J1540" t="s">
        <v>91</v>
      </c>
      <c r="K1540" t="s">
        <v>92</v>
      </c>
      <c r="L1540" t="s">
        <v>2885</v>
      </c>
      <c r="M1540" t="s">
        <v>94</v>
      </c>
      <c r="N1540" t="s">
        <v>2886</v>
      </c>
      <c r="O1540" t="s">
        <v>383</v>
      </c>
      <c r="P1540">
        <v>1E-3</v>
      </c>
      <c r="R1540" t="s">
        <v>3692</v>
      </c>
      <c r="S1540" t="s">
        <v>2864</v>
      </c>
      <c r="V1540" t="s">
        <v>2855</v>
      </c>
      <c r="W1540" t="s">
        <v>2865</v>
      </c>
      <c r="AD1540" t="s">
        <v>3693</v>
      </c>
    </row>
    <row r="1541" spans="1:30" x14ac:dyDescent="0.25">
      <c r="A1541" t="s">
        <v>33</v>
      </c>
      <c r="D1541" t="s">
        <v>2847</v>
      </c>
      <c r="E1541" t="s">
        <v>2859</v>
      </c>
      <c r="F1541" t="s">
        <v>87</v>
      </c>
      <c r="G1541" t="s">
        <v>2884</v>
      </c>
      <c r="H1541" t="s">
        <v>89</v>
      </c>
      <c r="I1541" t="s">
        <v>180</v>
      </c>
      <c r="J1541" t="s">
        <v>91</v>
      </c>
      <c r="K1541" t="s">
        <v>92</v>
      </c>
      <c r="L1541" t="s">
        <v>2885</v>
      </c>
      <c r="M1541" t="s">
        <v>94</v>
      </c>
      <c r="N1541" t="s">
        <v>2886</v>
      </c>
      <c r="O1541" t="s">
        <v>184</v>
      </c>
      <c r="P1541">
        <v>1E-3</v>
      </c>
      <c r="R1541" t="s">
        <v>3694</v>
      </c>
      <c r="S1541" t="s">
        <v>2864</v>
      </c>
      <c r="V1541" t="s">
        <v>2855</v>
      </c>
      <c r="W1541" t="s">
        <v>2865</v>
      </c>
      <c r="AD1541" t="s">
        <v>3695</v>
      </c>
    </row>
    <row r="1542" spans="1:30" x14ac:dyDescent="0.25">
      <c r="A1542" t="s">
        <v>33</v>
      </c>
      <c r="D1542" t="s">
        <v>2847</v>
      </c>
      <c r="E1542" t="s">
        <v>2893</v>
      </c>
      <c r="F1542" t="s">
        <v>87</v>
      </c>
      <c r="G1542" t="s">
        <v>2911</v>
      </c>
      <c r="H1542" t="s">
        <v>89</v>
      </c>
      <c r="I1542" t="s">
        <v>100</v>
      </c>
      <c r="J1542" t="s">
        <v>91</v>
      </c>
      <c r="K1542" t="s">
        <v>92</v>
      </c>
      <c r="L1542" t="s">
        <v>2912</v>
      </c>
      <c r="M1542" t="s">
        <v>94</v>
      </c>
      <c r="N1542" t="s">
        <v>2913</v>
      </c>
      <c r="O1542" t="s">
        <v>96</v>
      </c>
      <c r="P1542">
        <v>1E-3</v>
      </c>
      <c r="R1542" t="s">
        <v>3696</v>
      </c>
      <c r="S1542" t="s">
        <v>2864</v>
      </c>
      <c r="V1542" t="s">
        <v>2855</v>
      </c>
      <c r="W1542" t="s">
        <v>2898</v>
      </c>
      <c r="AD1542" t="s">
        <v>3697</v>
      </c>
    </row>
    <row r="1543" spans="1:30" x14ac:dyDescent="0.25">
      <c r="A1543" t="s">
        <v>33</v>
      </c>
      <c r="D1543" t="s">
        <v>2847</v>
      </c>
      <c r="E1543" t="s">
        <v>2859</v>
      </c>
      <c r="F1543" t="s">
        <v>87</v>
      </c>
      <c r="G1543" t="s">
        <v>2884</v>
      </c>
      <c r="H1543" t="s">
        <v>89</v>
      </c>
      <c r="I1543" t="s">
        <v>100</v>
      </c>
      <c r="J1543" t="s">
        <v>91</v>
      </c>
      <c r="K1543" t="s">
        <v>92</v>
      </c>
      <c r="L1543" t="s">
        <v>2885</v>
      </c>
      <c r="M1543" t="s">
        <v>94</v>
      </c>
      <c r="N1543" t="s">
        <v>2886</v>
      </c>
      <c r="O1543" t="s">
        <v>445</v>
      </c>
      <c r="P1543">
        <v>1E-3</v>
      </c>
      <c r="R1543" t="s">
        <v>3698</v>
      </c>
      <c r="S1543" t="s">
        <v>2864</v>
      </c>
      <c r="V1543" t="s">
        <v>2855</v>
      </c>
      <c r="W1543" t="s">
        <v>2865</v>
      </c>
      <c r="AD1543" t="s">
        <v>3699</v>
      </c>
    </row>
    <row r="1544" spans="1:30" x14ac:dyDescent="0.25">
      <c r="A1544" t="s">
        <v>33</v>
      </c>
      <c r="B1544" t="s">
        <v>2319</v>
      </c>
      <c r="D1544" t="s">
        <v>2847</v>
      </c>
      <c r="E1544" t="s">
        <v>2893</v>
      </c>
      <c r="F1544" t="s">
        <v>866</v>
      </c>
      <c r="G1544" t="s">
        <v>3700</v>
      </c>
      <c r="H1544" t="s">
        <v>166</v>
      </c>
      <c r="I1544" t="s">
        <v>1263</v>
      </c>
      <c r="J1544" t="s">
        <v>167</v>
      </c>
      <c r="K1544" t="s">
        <v>41</v>
      </c>
      <c r="L1544" t="s">
        <v>3701</v>
      </c>
      <c r="N1544" t="s">
        <v>3677</v>
      </c>
      <c r="O1544" t="s">
        <v>1264</v>
      </c>
      <c r="Q1544" t="s">
        <v>2541</v>
      </c>
      <c r="R1544" t="s">
        <v>1959</v>
      </c>
      <c r="S1544" t="s">
        <v>2864</v>
      </c>
      <c r="V1544" t="s">
        <v>2855</v>
      </c>
      <c r="W1544" t="s">
        <v>2898</v>
      </c>
      <c r="AD1544" t="s">
        <v>3678</v>
      </c>
    </row>
    <row r="1545" spans="1:30" x14ac:dyDescent="0.25">
      <c r="A1545" t="s">
        <v>33</v>
      </c>
      <c r="D1545" t="s">
        <v>2847</v>
      </c>
      <c r="E1545" t="s">
        <v>2893</v>
      </c>
      <c r="F1545" t="s">
        <v>87</v>
      </c>
      <c r="G1545" t="s">
        <v>3702</v>
      </c>
      <c r="H1545" t="s">
        <v>153</v>
      </c>
      <c r="I1545" t="s">
        <v>90</v>
      </c>
      <c r="J1545" t="s">
        <v>154</v>
      </c>
      <c r="K1545" t="s">
        <v>155</v>
      </c>
      <c r="L1545" t="s">
        <v>3703</v>
      </c>
      <c r="N1545" t="s">
        <v>3704</v>
      </c>
      <c r="O1545" t="s">
        <v>213</v>
      </c>
      <c r="R1545" t="s">
        <v>3705</v>
      </c>
      <c r="S1545" t="s">
        <v>2864</v>
      </c>
      <c r="V1545" t="s">
        <v>2855</v>
      </c>
      <c r="W1545" t="s">
        <v>2898</v>
      </c>
      <c r="AD1545" t="s">
        <v>3706</v>
      </c>
    </row>
    <row r="1546" spans="1:30" x14ac:dyDescent="0.25">
      <c r="A1546" t="s">
        <v>33</v>
      </c>
      <c r="D1546" t="s">
        <v>2847</v>
      </c>
      <c r="E1546" t="s">
        <v>2893</v>
      </c>
      <c r="F1546" t="s">
        <v>87</v>
      </c>
      <c r="G1546" t="s">
        <v>3702</v>
      </c>
      <c r="H1546" t="s">
        <v>89</v>
      </c>
      <c r="I1546" t="s">
        <v>90</v>
      </c>
      <c r="J1546" t="s">
        <v>91</v>
      </c>
      <c r="K1546" t="s">
        <v>92</v>
      </c>
      <c r="L1546" t="s">
        <v>3703</v>
      </c>
      <c r="M1546" t="s">
        <v>94</v>
      </c>
      <c r="N1546" t="s">
        <v>3704</v>
      </c>
      <c r="O1546" t="s">
        <v>96</v>
      </c>
      <c r="P1546">
        <v>1E-3</v>
      </c>
      <c r="R1546" t="s">
        <v>3707</v>
      </c>
      <c r="S1546" t="s">
        <v>2864</v>
      </c>
      <c r="V1546" t="s">
        <v>2855</v>
      </c>
      <c r="W1546" t="s">
        <v>2898</v>
      </c>
      <c r="AD1546" t="s">
        <v>3708</v>
      </c>
    </row>
    <row r="1547" spans="1:30" x14ac:dyDescent="0.25">
      <c r="A1547" t="s">
        <v>33</v>
      </c>
      <c r="D1547" t="s">
        <v>2847</v>
      </c>
      <c r="E1547" t="s">
        <v>2893</v>
      </c>
      <c r="F1547" t="s">
        <v>87</v>
      </c>
      <c r="G1547" t="s">
        <v>3702</v>
      </c>
      <c r="H1547" t="s">
        <v>38</v>
      </c>
      <c r="I1547" t="s">
        <v>106</v>
      </c>
      <c r="J1547" t="s">
        <v>40</v>
      </c>
      <c r="K1547" t="s">
        <v>41</v>
      </c>
      <c r="L1547" t="s">
        <v>3703</v>
      </c>
      <c r="M1547" t="s">
        <v>1191</v>
      </c>
      <c r="N1547" t="s">
        <v>3704</v>
      </c>
      <c r="O1547" t="s">
        <v>109</v>
      </c>
      <c r="R1547" t="s">
        <v>3709</v>
      </c>
      <c r="S1547" t="s">
        <v>2864</v>
      </c>
      <c r="V1547" t="s">
        <v>2855</v>
      </c>
      <c r="W1547" t="s">
        <v>2898</v>
      </c>
      <c r="X1547" t="s">
        <v>1193</v>
      </c>
      <c r="AD1547" t="s">
        <v>3710</v>
      </c>
    </row>
    <row r="1548" spans="1:30" x14ac:dyDescent="0.25">
      <c r="A1548" t="s">
        <v>33</v>
      </c>
      <c r="D1548" t="s">
        <v>2847</v>
      </c>
      <c r="E1548" t="s">
        <v>2893</v>
      </c>
      <c r="F1548" t="s">
        <v>87</v>
      </c>
      <c r="G1548" t="s">
        <v>3711</v>
      </c>
      <c r="H1548" t="s">
        <v>153</v>
      </c>
      <c r="I1548" t="s">
        <v>100</v>
      </c>
      <c r="J1548" t="s">
        <v>154</v>
      </c>
      <c r="K1548" t="s">
        <v>155</v>
      </c>
      <c r="L1548" t="s">
        <v>3712</v>
      </c>
      <c r="N1548" t="s">
        <v>3713</v>
      </c>
      <c r="O1548" t="s">
        <v>213</v>
      </c>
      <c r="R1548" t="s">
        <v>3714</v>
      </c>
      <c r="S1548" t="s">
        <v>2864</v>
      </c>
      <c r="V1548" t="s">
        <v>2855</v>
      </c>
      <c r="W1548" t="s">
        <v>2898</v>
      </c>
      <c r="AD1548" t="s">
        <v>3715</v>
      </c>
    </row>
    <row r="1549" spans="1:30" x14ac:dyDescent="0.25">
      <c r="A1549" t="s">
        <v>33</v>
      </c>
      <c r="D1549" t="s">
        <v>2847</v>
      </c>
      <c r="E1549" t="s">
        <v>2893</v>
      </c>
      <c r="F1549" t="s">
        <v>87</v>
      </c>
      <c r="G1549" t="s">
        <v>3711</v>
      </c>
      <c r="H1549" t="s">
        <v>89</v>
      </c>
      <c r="I1549" t="s">
        <v>100</v>
      </c>
      <c r="J1549" t="s">
        <v>91</v>
      </c>
      <c r="K1549" t="s">
        <v>92</v>
      </c>
      <c r="L1549" t="s">
        <v>3712</v>
      </c>
      <c r="M1549" t="s">
        <v>94</v>
      </c>
      <c r="N1549" t="s">
        <v>3713</v>
      </c>
      <c r="O1549" t="s">
        <v>96</v>
      </c>
      <c r="P1549">
        <v>1E-3</v>
      </c>
      <c r="R1549" t="s">
        <v>3716</v>
      </c>
      <c r="S1549" t="s">
        <v>2864</v>
      </c>
      <c r="V1549" t="s">
        <v>2855</v>
      </c>
      <c r="W1549" t="s">
        <v>2898</v>
      </c>
      <c r="AD1549" t="s">
        <v>3717</v>
      </c>
    </row>
    <row r="1550" spans="1:30" x14ac:dyDescent="0.25">
      <c r="A1550" t="s">
        <v>33</v>
      </c>
      <c r="D1550" t="s">
        <v>2847</v>
      </c>
      <c r="E1550" t="s">
        <v>2893</v>
      </c>
      <c r="F1550" t="s">
        <v>87</v>
      </c>
      <c r="G1550" t="s">
        <v>3711</v>
      </c>
      <c r="H1550" t="s">
        <v>38</v>
      </c>
      <c r="I1550" t="s">
        <v>106</v>
      </c>
      <c r="J1550" t="s">
        <v>40</v>
      </c>
      <c r="K1550" t="s">
        <v>41</v>
      </c>
      <c r="L1550" t="s">
        <v>3712</v>
      </c>
      <c r="M1550" t="s">
        <v>1191</v>
      </c>
      <c r="N1550" t="s">
        <v>3713</v>
      </c>
      <c r="O1550" t="s">
        <v>109</v>
      </c>
      <c r="R1550" t="s">
        <v>3718</v>
      </c>
      <c r="S1550" t="s">
        <v>2864</v>
      </c>
      <c r="V1550" t="s">
        <v>2855</v>
      </c>
      <c r="W1550" t="s">
        <v>2898</v>
      </c>
      <c r="X1550" t="s">
        <v>1193</v>
      </c>
      <c r="AD1550" t="s">
        <v>3719</v>
      </c>
    </row>
    <row r="1551" spans="1:30" x14ac:dyDescent="0.25">
      <c r="A1551" t="s">
        <v>33</v>
      </c>
      <c r="D1551" t="s">
        <v>2847</v>
      </c>
      <c r="E1551" t="s">
        <v>2893</v>
      </c>
      <c r="F1551" t="s">
        <v>87</v>
      </c>
      <c r="G1551" t="s">
        <v>3720</v>
      </c>
      <c r="H1551" t="s">
        <v>153</v>
      </c>
      <c r="I1551" t="s">
        <v>90</v>
      </c>
      <c r="J1551" t="s">
        <v>154</v>
      </c>
      <c r="K1551" t="s">
        <v>155</v>
      </c>
      <c r="L1551" t="s">
        <v>3721</v>
      </c>
      <c r="N1551" t="s">
        <v>3704</v>
      </c>
      <c r="O1551" t="s">
        <v>213</v>
      </c>
      <c r="R1551" t="s">
        <v>3722</v>
      </c>
      <c r="S1551" t="s">
        <v>2864</v>
      </c>
      <c r="V1551" t="s">
        <v>2855</v>
      </c>
      <c r="W1551" t="s">
        <v>2898</v>
      </c>
      <c r="AD1551" t="s">
        <v>3706</v>
      </c>
    </row>
    <row r="1552" spans="1:30" x14ac:dyDescent="0.25">
      <c r="A1552" t="s">
        <v>33</v>
      </c>
      <c r="D1552" t="s">
        <v>2847</v>
      </c>
      <c r="E1552" t="s">
        <v>2893</v>
      </c>
      <c r="F1552" t="s">
        <v>87</v>
      </c>
      <c r="G1552" t="s">
        <v>3720</v>
      </c>
      <c r="H1552" t="s">
        <v>89</v>
      </c>
      <c r="I1552" t="s">
        <v>90</v>
      </c>
      <c r="J1552" t="s">
        <v>91</v>
      </c>
      <c r="K1552" t="s">
        <v>92</v>
      </c>
      <c r="L1552" t="s">
        <v>3721</v>
      </c>
      <c r="M1552" t="s">
        <v>94</v>
      </c>
      <c r="N1552" t="s">
        <v>3704</v>
      </c>
      <c r="O1552" t="s">
        <v>96</v>
      </c>
      <c r="P1552">
        <v>1E-3</v>
      </c>
      <c r="R1552" t="s">
        <v>3723</v>
      </c>
      <c r="S1552" t="s">
        <v>2864</v>
      </c>
      <c r="V1552" t="s">
        <v>2855</v>
      </c>
      <c r="W1552" t="s">
        <v>2898</v>
      </c>
      <c r="AD1552" t="s">
        <v>3708</v>
      </c>
    </row>
    <row r="1553" spans="1:30" x14ac:dyDescent="0.25">
      <c r="A1553" t="s">
        <v>33</v>
      </c>
      <c r="D1553" t="s">
        <v>2847</v>
      </c>
      <c r="E1553" t="s">
        <v>2893</v>
      </c>
      <c r="F1553" t="s">
        <v>87</v>
      </c>
      <c r="G1553" t="s">
        <v>3720</v>
      </c>
      <c r="H1553" t="s">
        <v>38</v>
      </c>
      <c r="I1553" t="s">
        <v>106</v>
      </c>
      <c r="J1553" t="s">
        <v>40</v>
      </c>
      <c r="K1553" t="s">
        <v>41</v>
      </c>
      <c r="L1553" t="s">
        <v>3721</v>
      </c>
      <c r="M1553" t="s">
        <v>1191</v>
      </c>
      <c r="N1553" t="s">
        <v>3704</v>
      </c>
      <c r="O1553" t="s">
        <v>109</v>
      </c>
      <c r="R1553" t="s">
        <v>3724</v>
      </c>
      <c r="S1553" t="s">
        <v>2864</v>
      </c>
      <c r="V1553" t="s">
        <v>2855</v>
      </c>
      <c r="W1553" t="s">
        <v>2898</v>
      </c>
      <c r="X1553" t="s">
        <v>1193</v>
      </c>
      <c r="AD1553" t="s">
        <v>3710</v>
      </c>
    </row>
    <row r="1554" spans="1:30" x14ac:dyDescent="0.25">
      <c r="A1554" t="s">
        <v>33</v>
      </c>
      <c r="D1554" t="s">
        <v>2847</v>
      </c>
      <c r="E1554" t="s">
        <v>2893</v>
      </c>
      <c r="F1554" t="s">
        <v>87</v>
      </c>
      <c r="G1554" t="s">
        <v>3725</v>
      </c>
      <c r="H1554" t="s">
        <v>153</v>
      </c>
      <c r="I1554" t="s">
        <v>100</v>
      </c>
      <c r="J1554" t="s">
        <v>154</v>
      </c>
      <c r="K1554" t="s">
        <v>155</v>
      </c>
      <c r="L1554" t="s">
        <v>3726</v>
      </c>
      <c r="N1554" t="s">
        <v>3713</v>
      </c>
      <c r="O1554" t="s">
        <v>213</v>
      </c>
      <c r="R1554" t="s">
        <v>3727</v>
      </c>
      <c r="S1554" t="s">
        <v>2864</v>
      </c>
      <c r="V1554" t="s">
        <v>2855</v>
      </c>
      <c r="W1554" t="s">
        <v>2898</v>
      </c>
      <c r="AD1554" t="s">
        <v>3715</v>
      </c>
    </row>
    <row r="1555" spans="1:30" x14ac:dyDescent="0.25">
      <c r="A1555" t="s">
        <v>33</v>
      </c>
      <c r="D1555" t="s">
        <v>2847</v>
      </c>
      <c r="E1555" t="s">
        <v>2893</v>
      </c>
      <c r="F1555" t="s">
        <v>87</v>
      </c>
      <c r="G1555" t="s">
        <v>3725</v>
      </c>
      <c r="H1555" t="s">
        <v>89</v>
      </c>
      <c r="I1555" t="s">
        <v>100</v>
      </c>
      <c r="J1555" t="s">
        <v>91</v>
      </c>
      <c r="K1555" t="s">
        <v>92</v>
      </c>
      <c r="L1555" t="s">
        <v>3726</v>
      </c>
      <c r="M1555" t="s">
        <v>94</v>
      </c>
      <c r="N1555" t="s">
        <v>3713</v>
      </c>
      <c r="O1555" t="s">
        <v>96</v>
      </c>
      <c r="P1555">
        <v>1E-3</v>
      </c>
      <c r="R1555" t="s">
        <v>3728</v>
      </c>
      <c r="S1555" t="s">
        <v>2864</v>
      </c>
      <c r="V1555" t="s">
        <v>2855</v>
      </c>
      <c r="W1555" t="s">
        <v>2898</v>
      </c>
      <c r="AD1555" t="s">
        <v>3717</v>
      </c>
    </row>
    <row r="1556" spans="1:30" x14ac:dyDescent="0.25">
      <c r="A1556" t="s">
        <v>33</v>
      </c>
      <c r="D1556" t="s">
        <v>2847</v>
      </c>
      <c r="E1556" t="s">
        <v>2893</v>
      </c>
      <c r="F1556" t="s">
        <v>87</v>
      </c>
      <c r="G1556" t="s">
        <v>3725</v>
      </c>
      <c r="H1556" t="s">
        <v>38</v>
      </c>
      <c r="I1556" t="s">
        <v>106</v>
      </c>
      <c r="J1556" t="s">
        <v>40</v>
      </c>
      <c r="K1556" t="s">
        <v>41</v>
      </c>
      <c r="L1556" t="s">
        <v>3726</v>
      </c>
      <c r="M1556" t="s">
        <v>1191</v>
      </c>
      <c r="N1556" t="s">
        <v>3713</v>
      </c>
      <c r="O1556" t="s">
        <v>109</v>
      </c>
      <c r="R1556" t="s">
        <v>3729</v>
      </c>
      <c r="S1556" t="s">
        <v>2864</v>
      </c>
      <c r="V1556" t="s">
        <v>2855</v>
      </c>
      <c r="W1556" t="s">
        <v>2898</v>
      </c>
      <c r="X1556" t="s">
        <v>1193</v>
      </c>
      <c r="AD1556" t="s">
        <v>3719</v>
      </c>
    </row>
    <row r="1557" spans="1:30" x14ac:dyDescent="0.25">
      <c r="A1557" t="s">
        <v>33</v>
      </c>
      <c r="D1557" t="s">
        <v>2847</v>
      </c>
      <c r="E1557" t="s">
        <v>2893</v>
      </c>
      <c r="F1557" t="s">
        <v>87</v>
      </c>
      <c r="G1557" t="s">
        <v>3730</v>
      </c>
      <c r="H1557" t="s">
        <v>153</v>
      </c>
      <c r="I1557" t="s">
        <v>90</v>
      </c>
      <c r="J1557" t="s">
        <v>154</v>
      </c>
      <c r="K1557" t="s">
        <v>155</v>
      </c>
      <c r="L1557" t="s">
        <v>3731</v>
      </c>
      <c r="N1557" t="s">
        <v>3732</v>
      </c>
      <c r="O1557" t="s">
        <v>213</v>
      </c>
      <c r="R1557" t="s">
        <v>3733</v>
      </c>
      <c r="S1557" t="s">
        <v>2864</v>
      </c>
      <c r="V1557" t="s">
        <v>2855</v>
      </c>
      <c r="W1557" t="s">
        <v>2898</v>
      </c>
      <c r="AD1557" t="s">
        <v>3734</v>
      </c>
    </row>
    <row r="1558" spans="1:30" x14ac:dyDescent="0.25">
      <c r="A1558" t="s">
        <v>33</v>
      </c>
      <c r="D1558" t="s">
        <v>2847</v>
      </c>
      <c r="E1558" t="s">
        <v>2893</v>
      </c>
      <c r="F1558" t="s">
        <v>87</v>
      </c>
      <c r="G1558" t="s">
        <v>3730</v>
      </c>
      <c r="H1558" t="s">
        <v>89</v>
      </c>
      <c r="I1558" t="s">
        <v>90</v>
      </c>
      <c r="J1558" t="s">
        <v>91</v>
      </c>
      <c r="K1558" t="s">
        <v>92</v>
      </c>
      <c r="L1558" t="s">
        <v>3731</v>
      </c>
      <c r="M1558" t="s">
        <v>94</v>
      </c>
      <c r="N1558" t="s">
        <v>3732</v>
      </c>
      <c r="O1558" t="s">
        <v>96</v>
      </c>
      <c r="P1558">
        <v>1E-3</v>
      </c>
      <c r="R1558" t="s">
        <v>3735</v>
      </c>
      <c r="S1558" t="s">
        <v>2864</v>
      </c>
      <c r="V1558" t="s">
        <v>2855</v>
      </c>
      <c r="W1558" t="s">
        <v>2898</v>
      </c>
      <c r="AD1558" t="s">
        <v>3736</v>
      </c>
    </row>
    <row r="1559" spans="1:30" x14ac:dyDescent="0.25">
      <c r="A1559" t="s">
        <v>33</v>
      </c>
      <c r="D1559" t="s">
        <v>2847</v>
      </c>
      <c r="E1559" t="s">
        <v>2893</v>
      </c>
      <c r="F1559" t="s">
        <v>87</v>
      </c>
      <c r="G1559" t="s">
        <v>3730</v>
      </c>
      <c r="H1559" t="s">
        <v>38</v>
      </c>
      <c r="I1559" t="s">
        <v>106</v>
      </c>
      <c r="J1559" t="s">
        <v>40</v>
      </c>
      <c r="K1559" t="s">
        <v>41</v>
      </c>
      <c r="L1559" t="s">
        <v>3731</v>
      </c>
      <c r="M1559" t="s">
        <v>1191</v>
      </c>
      <c r="N1559" t="s">
        <v>3732</v>
      </c>
      <c r="O1559" t="s">
        <v>109</v>
      </c>
      <c r="R1559" t="s">
        <v>3737</v>
      </c>
      <c r="S1559" t="s">
        <v>2864</v>
      </c>
      <c r="V1559" t="s">
        <v>2855</v>
      </c>
      <c r="W1559" t="s">
        <v>2898</v>
      </c>
      <c r="X1559" t="s">
        <v>1193</v>
      </c>
      <c r="AD1559" t="s">
        <v>3738</v>
      </c>
    </row>
    <row r="1560" spans="1:30" x14ac:dyDescent="0.25">
      <c r="A1560" t="s">
        <v>33</v>
      </c>
      <c r="D1560" t="s">
        <v>2847</v>
      </c>
      <c r="E1560" t="s">
        <v>2893</v>
      </c>
      <c r="F1560" t="s">
        <v>87</v>
      </c>
      <c r="G1560" t="s">
        <v>3739</v>
      </c>
      <c r="H1560" t="s">
        <v>153</v>
      </c>
      <c r="I1560" t="s">
        <v>100</v>
      </c>
      <c r="J1560" t="s">
        <v>154</v>
      </c>
      <c r="K1560" t="s">
        <v>155</v>
      </c>
      <c r="L1560" t="s">
        <v>3740</v>
      </c>
      <c r="N1560" t="s">
        <v>3741</v>
      </c>
      <c r="O1560" t="s">
        <v>213</v>
      </c>
      <c r="R1560" t="s">
        <v>3742</v>
      </c>
      <c r="S1560" t="s">
        <v>2864</v>
      </c>
      <c r="V1560" t="s">
        <v>2855</v>
      </c>
      <c r="W1560" t="s">
        <v>2898</v>
      </c>
      <c r="AD1560" t="s">
        <v>3743</v>
      </c>
    </row>
    <row r="1561" spans="1:30" x14ac:dyDescent="0.25">
      <c r="A1561" t="s">
        <v>33</v>
      </c>
      <c r="D1561" t="s">
        <v>2847</v>
      </c>
      <c r="E1561" t="s">
        <v>2893</v>
      </c>
      <c r="F1561" t="s">
        <v>87</v>
      </c>
      <c r="G1561" t="s">
        <v>3739</v>
      </c>
      <c r="H1561" t="s">
        <v>89</v>
      </c>
      <c r="I1561" t="s">
        <v>100</v>
      </c>
      <c r="J1561" t="s">
        <v>91</v>
      </c>
      <c r="K1561" t="s">
        <v>92</v>
      </c>
      <c r="L1561" t="s">
        <v>3740</v>
      </c>
      <c r="M1561" t="s">
        <v>94</v>
      </c>
      <c r="N1561" t="s">
        <v>3741</v>
      </c>
      <c r="O1561" t="s">
        <v>96</v>
      </c>
      <c r="P1561">
        <v>1E-3</v>
      </c>
      <c r="R1561" t="s">
        <v>3744</v>
      </c>
      <c r="S1561" t="s">
        <v>2864</v>
      </c>
      <c r="V1561" t="s">
        <v>2855</v>
      </c>
      <c r="W1561" t="s">
        <v>2898</v>
      </c>
      <c r="AD1561" t="s">
        <v>3745</v>
      </c>
    </row>
    <row r="1562" spans="1:30" x14ac:dyDescent="0.25">
      <c r="A1562" t="s">
        <v>33</v>
      </c>
      <c r="D1562" t="s">
        <v>2847</v>
      </c>
      <c r="E1562" t="s">
        <v>2893</v>
      </c>
      <c r="F1562" t="s">
        <v>87</v>
      </c>
      <c r="G1562" t="s">
        <v>3739</v>
      </c>
      <c r="H1562" t="s">
        <v>38</v>
      </c>
      <c r="I1562" t="s">
        <v>106</v>
      </c>
      <c r="J1562" t="s">
        <v>40</v>
      </c>
      <c r="K1562" t="s">
        <v>41</v>
      </c>
      <c r="L1562" t="s">
        <v>3740</v>
      </c>
      <c r="M1562" t="s">
        <v>1191</v>
      </c>
      <c r="N1562" t="s">
        <v>3741</v>
      </c>
      <c r="O1562" t="s">
        <v>109</v>
      </c>
      <c r="R1562" t="s">
        <v>3746</v>
      </c>
      <c r="S1562" t="s">
        <v>2864</v>
      </c>
      <c r="V1562" t="s">
        <v>2855</v>
      </c>
      <c r="W1562" t="s">
        <v>2898</v>
      </c>
      <c r="X1562" t="s">
        <v>1193</v>
      </c>
      <c r="AD1562" t="s">
        <v>3747</v>
      </c>
    </row>
    <row r="1563" spans="1:30" x14ac:dyDescent="0.25">
      <c r="A1563" t="s">
        <v>33</v>
      </c>
      <c r="D1563" t="s">
        <v>2847</v>
      </c>
      <c r="E1563" t="s">
        <v>2893</v>
      </c>
      <c r="F1563" t="s">
        <v>87</v>
      </c>
      <c r="G1563" t="s">
        <v>3748</v>
      </c>
      <c r="H1563" t="s">
        <v>153</v>
      </c>
      <c r="I1563" t="s">
        <v>90</v>
      </c>
      <c r="J1563" t="s">
        <v>154</v>
      </c>
      <c r="K1563" t="s">
        <v>155</v>
      </c>
      <c r="L1563" t="s">
        <v>3749</v>
      </c>
      <c r="N1563" t="s">
        <v>3732</v>
      </c>
      <c r="O1563" t="s">
        <v>213</v>
      </c>
      <c r="R1563" t="s">
        <v>3750</v>
      </c>
      <c r="S1563" t="s">
        <v>2864</v>
      </c>
      <c r="V1563" t="s">
        <v>2855</v>
      </c>
      <c r="W1563" t="s">
        <v>2898</v>
      </c>
      <c r="AD1563" t="s">
        <v>3734</v>
      </c>
    </row>
    <row r="1564" spans="1:30" x14ac:dyDescent="0.25">
      <c r="A1564" t="s">
        <v>33</v>
      </c>
      <c r="D1564" t="s">
        <v>2847</v>
      </c>
      <c r="E1564" t="s">
        <v>2893</v>
      </c>
      <c r="F1564" t="s">
        <v>87</v>
      </c>
      <c r="G1564" t="s">
        <v>3748</v>
      </c>
      <c r="H1564" t="s">
        <v>89</v>
      </c>
      <c r="I1564" t="s">
        <v>90</v>
      </c>
      <c r="J1564" t="s">
        <v>91</v>
      </c>
      <c r="K1564" t="s">
        <v>92</v>
      </c>
      <c r="L1564" t="s">
        <v>3749</v>
      </c>
      <c r="M1564" t="s">
        <v>94</v>
      </c>
      <c r="N1564" t="s">
        <v>3732</v>
      </c>
      <c r="O1564" t="s">
        <v>96</v>
      </c>
      <c r="P1564">
        <v>1E-3</v>
      </c>
      <c r="R1564" t="s">
        <v>3751</v>
      </c>
      <c r="S1564" t="s">
        <v>2864</v>
      </c>
      <c r="V1564" t="s">
        <v>2855</v>
      </c>
      <c r="W1564" t="s">
        <v>2898</v>
      </c>
      <c r="AD1564" t="s">
        <v>3736</v>
      </c>
    </row>
    <row r="1565" spans="1:30" x14ac:dyDescent="0.25">
      <c r="A1565" t="s">
        <v>33</v>
      </c>
      <c r="D1565" t="s">
        <v>2847</v>
      </c>
      <c r="E1565" t="s">
        <v>2893</v>
      </c>
      <c r="F1565" t="s">
        <v>87</v>
      </c>
      <c r="G1565" t="s">
        <v>3748</v>
      </c>
      <c r="H1565" t="s">
        <v>38</v>
      </c>
      <c r="I1565" t="s">
        <v>106</v>
      </c>
      <c r="J1565" t="s">
        <v>40</v>
      </c>
      <c r="K1565" t="s">
        <v>41</v>
      </c>
      <c r="L1565" t="s">
        <v>3749</v>
      </c>
      <c r="M1565" t="s">
        <v>1191</v>
      </c>
      <c r="N1565" t="s">
        <v>3732</v>
      </c>
      <c r="O1565" t="s">
        <v>109</v>
      </c>
      <c r="R1565" t="s">
        <v>3752</v>
      </c>
      <c r="S1565" t="s">
        <v>2864</v>
      </c>
      <c r="V1565" t="s">
        <v>2855</v>
      </c>
      <c r="W1565" t="s">
        <v>2898</v>
      </c>
      <c r="X1565" t="s">
        <v>1193</v>
      </c>
      <c r="AD1565" t="s">
        <v>3738</v>
      </c>
    </row>
    <row r="1566" spans="1:30" x14ac:dyDescent="0.25">
      <c r="A1566" t="s">
        <v>33</v>
      </c>
      <c r="D1566" t="s">
        <v>2847</v>
      </c>
      <c r="E1566" t="s">
        <v>2893</v>
      </c>
      <c r="F1566" t="s">
        <v>87</v>
      </c>
      <c r="G1566" t="s">
        <v>3753</v>
      </c>
      <c r="H1566" t="s">
        <v>153</v>
      </c>
      <c r="I1566" t="s">
        <v>100</v>
      </c>
      <c r="J1566" t="s">
        <v>154</v>
      </c>
      <c r="K1566" t="s">
        <v>155</v>
      </c>
      <c r="L1566" t="s">
        <v>3754</v>
      </c>
      <c r="N1566" t="s">
        <v>3741</v>
      </c>
      <c r="O1566" t="s">
        <v>213</v>
      </c>
      <c r="R1566" t="s">
        <v>3755</v>
      </c>
      <c r="S1566" t="s">
        <v>2864</v>
      </c>
      <c r="V1566" t="s">
        <v>2855</v>
      </c>
      <c r="W1566" t="s">
        <v>2898</v>
      </c>
      <c r="AD1566" t="s">
        <v>3743</v>
      </c>
    </row>
    <row r="1567" spans="1:30" x14ac:dyDescent="0.25">
      <c r="A1567" t="s">
        <v>33</v>
      </c>
      <c r="D1567" t="s">
        <v>2847</v>
      </c>
      <c r="E1567" t="s">
        <v>2893</v>
      </c>
      <c r="F1567" t="s">
        <v>87</v>
      </c>
      <c r="G1567" t="s">
        <v>3753</v>
      </c>
      <c r="H1567" t="s">
        <v>89</v>
      </c>
      <c r="I1567" t="s">
        <v>100</v>
      </c>
      <c r="J1567" t="s">
        <v>91</v>
      </c>
      <c r="K1567" t="s">
        <v>92</v>
      </c>
      <c r="L1567" t="s">
        <v>3754</v>
      </c>
      <c r="M1567" t="s">
        <v>94</v>
      </c>
      <c r="N1567" t="s">
        <v>3741</v>
      </c>
      <c r="O1567" t="s">
        <v>96</v>
      </c>
      <c r="P1567">
        <v>1E-3</v>
      </c>
      <c r="R1567" t="s">
        <v>3756</v>
      </c>
      <c r="S1567" t="s">
        <v>2864</v>
      </c>
      <c r="V1567" t="s">
        <v>2855</v>
      </c>
      <c r="W1567" t="s">
        <v>2898</v>
      </c>
      <c r="AD1567" t="s">
        <v>3745</v>
      </c>
    </row>
    <row r="1568" spans="1:30" x14ac:dyDescent="0.25">
      <c r="A1568" t="s">
        <v>33</v>
      </c>
      <c r="D1568" t="s">
        <v>2847</v>
      </c>
      <c r="E1568" t="s">
        <v>2893</v>
      </c>
      <c r="F1568" t="s">
        <v>87</v>
      </c>
      <c r="G1568" t="s">
        <v>3753</v>
      </c>
      <c r="H1568" t="s">
        <v>38</v>
      </c>
      <c r="I1568" t="s">
        <v>106</v>
      </c>
      <c r="J1568" t="s">
        <v>40</v>
      </c>
      <c r="K1568" t="s">
        <v>41</v>
      </c>
      <c r="L1568" t="s">
        <v>3754</v>
      </c>
      <c r="M1568" t="s">
        <v>1191</v>
      </c>
      <c r="N1568" t="s">
        <v>3741</v>
      </c>
      <c r="O1568" t="s">
        <v>109</v>
      </c>
      <c r="R1568" t="s">
        <v>3757</v>
      </c>
      <c r="S1568" t="s">
        <v>2864</v>
      </c>
      <c r="V1568" t="s">
        <v>2855</v>
      </c>
      <c r="W1568" t="s">
        <v>2898</v>
      </c>
      <c r="X1568" t="s">
        <v>1193</v>
      </c>
      <c r="AD1568" t="s">
        <v>3747</v>
      </c>
    </row>
    <row r="1569" spans="1:32" x14ac:dyDescent="0.25">
      <c r="A1569" t="s">
        <v>33</v>
      </c>
      <c r="D1569" t="s">
        <v>2847</v>
      </c>
      <c r="E1569" t="s">
        <v>2893</v>
      </c>
      <c r="F1569" t="s">
        <v>87</v>
      </c>
      <c r="G1569" t="s">
        <v>3758</v>
      </c>
      <c r="H1569" t="s">
        <v>153</v>
      </c>
      <c r="I1569" t="s">
        <v>144</v>
      </c>
      <c r="J1569" t="s">
        <v>154</v>
      </c>
      <c r="K1569" t="s">
        <v>155</v>
      </c>
      <c r="L1569" t="s">
        <v>3759</v>
      </c>
      <c r="N1569" t="s">
        <v>3760</v>
      </c>
      <c r="O1569" t="s">
        <v>213</v>
      </c>
      <c r="R1569" t="s">
        <v>3761</v>
      </c>
      <c r="S1569" t="s">
        <v>2864</v>
      </c>
      <c r="V1569" t="s">
        <v>2855</v>
      </c>
      <c r="W1569" t="s">
        <v>2898</v>
      </c>
      <c r="AD1569" t="s">
        <v>3762</v>
      </c>
    </row>
    <row r="1570" spans="1:32" x14ac:dyDescent="0.25">
      <c r="A1570" t="s">
        <v>33</v>
      </c>
      <c r="D1570" t="s">
        <v>2847</v>
      </c>
      <c r="E1570" t="s">
        <v>2893</v>
      </c>
      <c r="F1570" t="s">
        <v>87</v>
      </c>
      <c r="G1570" t="s">
        <v>3758</v>
      </c>
      <c r="H1570" t="s">
        <v>89</v>
      </c>
      <c r="I1570" t="s">
        <v>144</v>
      </c>
      <c r="J1570" t="s">
        <v>91</v>
      </c>
      <c r="K1570" t="s">
        <v>92</v>
      </c>
      <c r="L1570" t="s">
        <v>3759</v>
      </c>
      <c r="M1570" t="s">
        <v>94</v>
      </c>
      <c r="N1570" t="s">
        <v>3760</v>
      </c>
      <c r="O1570" t="s">
        <v>96</v>
      </c>
      <c r="P1570">
        <v>1E-3</v>
      </c>
      <c r="R1570" t="s">
        <v>3763</v>
      </c>
      <c r="S1570" t="s">
        <v>2864</v>
      </c>
      <c r="V1570" t="s">
        <v>2855</v>
      </c>
      <c r="W1570" t="s">
        <v>2898</v>
      </c>
      <c r="AD1570" t="s">
        <v>3764</v>
      </c>
    </row>
    <row r="1571" spans="1:32" x14ac:dyDescent="0.25">
      <c r="A1571" t="s">
        <v>33</v>
      </c>
      <c r="D1571" t="s">
        <v>2847</v>
      </c>
      <c r="E1571" t="s">
        <v>2893</v>
      </c>
      <c r="F1571" t="s">
        <v>87</v>
      </c>
      <c r="G1571" t="s">
        <v>3765</v>
      </c>
      <c r="H1571" t="s">
        <v>153</v>
      </c>
      <c r="I1571" t="s">
        <v>180</v>
      </c>
      <c r="J1571" t="s">
        <v>154</v>
      </c>
      <c r="K1571" t="s">
        <v>155</v>
      </c>
      <c r="L1571" t="s">
        <v>3766</v>
      </c>
      <c r="N1571" t="s">
        <v>3767</v>
      </c>
      <c r="O1571" t="s">
        <v>213</v>
      </c>
      <c r="R1571" t="s">
        <v>3768</v>
      </c>
      <c r="S1571" t="s">
        <v>2864</v>
      </c>
      <c r="V1571" t="s">
        <v>2855</v>
      </c>
      <c r="W1571" t="s">
        <v>2898</v>
      </c>
      <c r="AD1571" t="s">
        <v>3769</v>
      </c>
    </row>
    <row r="1572" spans="1:32" x14ac:dyDescent="0.25">
      <c r="A1572" t="s">
        <v>33</v>
      </c>
      <c r="D1572" t="s">
        <v>2847</v>
      </c>
      <c r="E1572" t="s">
        <v>2893</v>
      </c>
      <c r="F1572" t="s">
        <v>87</v>
      </c>
      <c r="G1572" t="s">
        <v>3765</v>
      </c>
      <c r="H1572" t="s">
        <v>89</v>
      </c>
      <c r="I1572" t="s">
        <v>180</v>
      </c>
      <c r="J1572" t="s">
        <v>91</v>
      </c>
      <c r="K1572" t="s">
        <v>92</v>
      </c>
      <c r="L1572" t="s">
        <v>3766</v>
      </c>
      <c r="M1572" t="s">
        <v>94</v>
      </c>
      <c r="N1572" t="s">
        <v>3767</v>
      </c>
      <c r="O1572" t="s">
        <v>96</v>
      </c>
      <c r="P1572">
        <v>1E-3</v>
      </c>
      <c r="R1572" t="s">
        <v>3770</v>
      </c>
      <c r="S1572" t="s">
        <v>2864</v>
      </c>
      <c r="V1572" t="s">
        <v>2855</v>
      </c>
      <c r="W1572" t="s">
        <v>2898</v>
      </c>
      <c r="AD1572" t="s">
        <v>3771</v>
      </c>
    </row>
    <row r="1573" spans="1:32" x14ac:dyDescent="0.25">
      <c r="A1573" t="s">
        <v>33</v>
      </c>
      <c r="D1573" t="s">
        <v>2847</v>
      </c>
      <c r="E1573" t="s">
        <v>2893</v>
      </c>
      <c r="F1573" t="s">
        <v>87</v>
      </c>
      <c r="G1573" t="s">
        <v>3772</v>
      </c>
      <c r="H1573" t="s">
        <v>153</v>
      </c>
      <c r="I1573" t="s">
        <v>144</v>
      </c>
      <c r="J1573" t="s">
        <v>154</v>
      </c>
      <c r="K1573" t="s">
        <v>155</v>
      </c>
      <c r="L1573" t="s">
        <v>3773</v>
      </c>
      <c r="N1573" t="s">
        <v>3774</v>
      </c>
      <c r="O1573" t="s">
        <v>213</v>
      </c>
      <c r="R1573" t="s">
        <v>3775</v>
      </c>
      <c r="S1573" t="s">
        <v>2864</v>
      </c>
      <c r="V1573" t="s">
        <v>2855</v>
      </c>
      <c r="W1573" t="s">
        <v>2898</v>
      </c>
      <c r="AD1573" t="s">
        <v>3776</v>
      </c>
    </row>
    <row r="1574" spans="1:32" x14ac:dyDescent="0.25">
      <c r="A1574" t="s">
        <v>33</v>
      </c>
      <c r="D1574" t="s">
        <v>2847</v>
      </c>
      <c r="E1574" t="s">
        <v>2893</v>
      </c>
      <c r="F1574" t="s">
        <v>87</v>
      </c>
      <c r="G1574" t="s">
        <v>3772</v>
      </c>
      <c r="H1574" t="s">
        <v>89</v>
      </c>
      <c r="I1574" t="s">
        <v>144</v>
      </c>
      <c r="J1574" t="s">
        <v>91</v>
      </c>
      <c r="K1574" t="s">
        <v>92</v>
      </c>
      <c r="L1574" t="s">
        <v>3773</v>
      </c>
      <c r="M1574" t="s">
        <v>94</v>
      </c>
      <c r="N1574" t="s">
        <v>3774</v>
      </c>
      <c r="O1574" t="s">
        <v>96</v>
      </c>
      <c r="P1574">
        <v>1E-3</v>
      </c>
      <c r="R1574" t="s">
        <v>3777</v>
      </c>
      <c r="S1574" t="s">
        <v>2864</v>
      </c>
      <c r="V1574" t="s">
        <v>2855</v>
      </c>
      <c r="W1574" t="s">
        <v>2898</v>
      </c>
      <c r="AD1574" t="s">
        <v>3778</v>
      </c>
    </row>
    <row r="1575" spans="1:32" x14ac:dyDescent="0.25">
      <c r="A1575" t="s">
        <v>33</v>
      </c>
      <c r="D1575" t="s">
        <v>2847</v>
      </c>
      <c r="E1575" t="s">
        <v>2859</v>
      </c>
      <c r="F1575" t="s">
        <v>87</v>
      </c>
      <c r="G1575" t="s">
        <v>3779</v>
      </c>
      <c r="H1575" t="s">
        <v>153</v>
      </c>
      <c r="I1575" t="s">
        <v>144</v>
      </c>
      <c r="J1575" t="s">
        <v>154</v>
      </c>
      <c r="K1575" t="s">
        <v>155</v>
      </c>
      <c r="L1575" t="s">
        <v>3780</v>
      </c>
      <c r="N1575" t="s">
        <v>3781</v>
      </c>
      <c r="O1575" t="s">
        <v>156</v>
      </c>
      <c r="R1575" t="s">
        <v>3782</v>
      </c>
      <c r="S1575" t="s">
        <v>2864</v>
      </c>
      <c r="V1575" t="s">
        <v>2855</v>
      </c>
      <c r="W1575" t="s">
        <v>2865</v>
      </c>
      <c r="AD1575" t="s">
        <v>3783</v>
      </c>
    </row>
    <row r="1576" spans="1:32" x14ac:dyDescent="0.25">
      <c r="A1576" t="s">
        <v>33</v>
      </c>
      <c r="D1576" t="s">
        <v>2847</v>
      </c>
      <c r="E1576" t="s">
        <v>2859</v>
      </c>
      <c r="F1576" t="s">
        <v>87</v>
      </c>
      <c r="G1576" t="s">
        <v>3779</v>
      </c>
      <c r="H1576" t="s">
        <v>153</v>
      </c>
      <c r="I1576" t="s">
        <v>90</v>
      </c>
      <c r="J1576" t="s">
        <v>154</v>
      </c>
      <c r="K1576" t="s">
        <v>155</v>
      </c>
      <c r="L1576" t="s">
        <v>3780</v>
      </c>
      <c r="N1576" t="s">
        <v>3781</v>
      </c>
      <c r="O1576" t="s">
        <v>386</v>
      </c>
      <c r="R1576" t="s">
        <v>3784</v>
      </c>
      <c r="S1576" t="s">
        <v>2864</v>
      </c>
      <c r="V1576" t="s">
        <v>2855</v>
      </c>
      <c r="W1576" t="s">
        <v>2865</v>
      </c>
      <c r="AC1576" t="s">
        <v>3785</v>
      </c>
      <c r="AD1576" t="s">
        <v>3786</v>
      </c>
      <c r="AE1576" t="s">
        <v>2890</v>
      </c>
      <c r="AF1576">
        <v>3</v>
      </c>
    </row>
    <row r="1577" spans="1:32" x14ac:dyDescent="0.25">
      <c r="A1577" t="s">
        <v>33</v>
      </c>
      <c r="D1577" t="s">
        <v>2847</v>
      </c>
      <c r="E1577" t="s">
        <v>2859</v>
      </c>
      <c r="F1577" t="s">
        <v>87</v>
      </c>
      <c r="G1577" t="s">
        <v>3779</v>
      </c>
      <c r="H1577" t="s">
        <v>89</v>
      </c>
      <c r="I1577" t="s">
        <v>90</v>
      </c>
      <c r="J1577" t="s">
        <v>91</v>
      </c>
      <c r="K1577" t="s">
        <v>92</v>
      </c>
      <c r="L1577" t="s">
        <v>3780</v>
      </c>
      <c r="M1577" t="s">
        <v>94</v>
      </c>
      <c r="N1577" t="s">
        <v>3781</v>
      </c>
      <c r="O1577" t="s">
        <v>383</v>
      </c>
      <c r="P1577">
        <v>1E-3</v>
      </c>
      <c r="R1577" t="s">
        <v>3787</v>
      </c>
      <c r="S1577" t="s">
        <v>2864</v>
      </c>
      <c r="V1577" t="s">
        <v>2855</v>
      </c>
      <c r="W1577" t="s">
        <v>2865</v>
      </c>
      <c r="AD1577" t="s">
        <v>3788</v>
      </c>
    </row>
    <row r="1578" spans="1:32" x14ac:dyDescent="0.25">
      <c r="A1578" t="s">
        <v>33</v>
      </c>
      <c r="D1578" t="s">
        <v>2847</v>
      </c>
      <c r="E1578" t="s">
        <v>2859</v>
      </c>
      <c r="F1578" t="s">
        <v>87</v>
      </c>
      <c r="G1578" t="s">
        <v>3779</v>
      </c>
      <c r="H1578" t="s">
        <v>89</v>
      </c>
      <c r="I1578" t="s">
        <v>144</v>
      </c>
      <c r="J1578" t="s">
        <v>91</v>
      </c>
      <c r="K1578" t="s">
        <v>92</v>
      </c>
      <c r="L1578" t="s">
        <v>3780</v>
      </c>
      <c r="M1578" t="s">
        <v>94</v>
      </c>
      <c r="N1578" t="s">
        <v>3781</v>
      </c>
      <c r="O1578" t="s">
        <v>150</v>
      </c>
      <c r="P1578">
        <v>1E-3</v>
      </c>
      <c r="R1578" t="s">
        <v>3789</v>
      </c>
      <c r="S1578" t="s">
        <v>2864</v>
      </c>
      <c r="V1578" t="s">
        <v>2855</v>
      </c>
      <c r="W1578" t="s">
        <v>2865</v>
      </c>
      <c r="AD1578" t="s">
        <v>3790</v>
      </c>
    </row>
    <row r="1579" spans="1:32" x14ac:dyDescent="0.25">
      <c r="A1579" t="s">
        <v>33</v>
      </c>
      <c r="D1579" t="s">
        <v>2847</v>
      </c>
      <c r="E1579" t="s">
        <v>2859</v>
      </c>
      <c r="F1579" t="s">
        <v>87</v>
      </c>
      <c r="G1579" t="s">
        <v>3779</v>
      </c>
      <c r="H1579" t="s">
        <v>153</v>
      </c>
      <c r="I1579" t="s">
        <v>180</v>
      </c>
      <c r="J1579" t="s">
        <v>154</v>
      </c>
      <c r="K1579" t="s">
        <v>155</v>
      </c>
      <c r="L1579" t="s">
        <v>3780</v>
      </c>
      <c r="N1579" t="s">
        <v>3781</v>
      </c>
      <c r="O1579" t="s">
        <v>187</v>
      </c>
      <c r="R1579" t="s">
        <v>3791</v>
      </c>
      <c r="S1579" t="s">
        <v>2864</v>
      </c>
      <c r="V1579" t="s">
        <v>2855</v>
      </c>
      <c r="W1579" t="s">
        <v>2865</v>
      </c>
      <c r="AD1579" t="s">
        <v>3792</v>
      </c>
    </row>
    <row r="1580" spans="1:32" x14ac:dyDescent="0.25">
      <c r="A1580" t="s">
        <v>33</v>
      </c>
      <c r="D1580" t="s">
        <v>2847</v>
      </c>
      <c r="E1580" t="s">
        <v>2859</v>
      </c>
      <c r="F1580" t="s">
        <v>87</v>
      </c>
      <c r="G1580" t="s">
        <v>3779</v>
      </c>
      <c r="H1580" t="s">
        <v>89</v>
      </c>
      <c r="I1580" t="s">
        <v>180</v>
      </c>
      <c r="J1580" t="s">
        <v>91</v>
      </c>
      <c r="K1580" t="s">
        <v>92</v>
      </c>
      <c r="L1580" t="s">
        <v>3780</v>
      </c>
      <c r="M1580" t="s">
        <v>94</v>
      </c>
      <c r="N1580" t="s">
        <v>3781</v>
      </c>
      <c r="O1580" t="s">
        <v>184</v>
      </c>
      <c r="P1580">
        <v>1E-3</v>
      </c>
      <c r="R1580" t="s">
        <v>3793</v>
      </c>
      <c r="S1580" t="s">
        <v>2864</v>
      </c>
      <c r="V1580" t="s">
        <v>2855</v>
      </c>
      <c r="W1580" t="s">
        <v>2865</v>
      </c>
      <c r="AD1580" t="s">
        <v>3794</v>
      </c>
    </row>
    <row r="1581" spans="1:32" x14ac:dyDescent="0.25">
      <c r="A1581" t="s">
        <v>33</v>
      </c>
      <c r="D1581" t="s">
        <v>2847</v>
      </c>
      <c r="E1581" t="s">
        <v>2859</v>
      </c>
      <c r="F1581" t="s">
        <v>87</v>
      </c>
      <c r="G1581" t="s">
        <v>3779</v>
      </c>
      <c r="H1581" t="s">
        <v>38</v>
      </c>
      <c r="I1581" t="s">
        <v>106</v>
      </c>
      <c r="J1581" t="s">
        <v>40</v>
      </c>
      <c r="K1581" t="s">
        <v>41</v>
      </c>
      <c r="L1581" t="s">
        <v>3780</v>
      </c>
      <c r="M1581" t="s">
        <v>3327</v>
      </c>
      <c r="N1581" t="s">
        <v>3781</v>
      </c>
      <c r="O1581" t="s">
        <v>109</v>
      </c>
      <c r="R1581" t="s">
        <v>3795</v>
      </c>
      <c r="S1581" t="s">
        <v>2864</v>
      </c>
      <c r="V1581" t="s">
        <v>2855</v>
      </c>
      <c r="W1581" t="s">
        <v>2865</v>
      </c>
      <c r="X1581" t="s">
        <v>1193</v>
      </c>
      <c r="AD1581" t="s">
        <v>3796</v>
      </c>
    </row>
    <row r="1582" spans="1:32" x14ac:dyDescent="0.25">
      <c r="A1582" t="s">
        <v>33</v>
      </c>
      <c r="D1582" t="s">
        <v>2847</v>
      </c>
      <c r="E1582" t="s">
        <v>2859</v>
      </c>
      <c r="F1582" t="s">
        <v>87</v>
      </c>
      <c r="G1582" t="s">
        <v>3797</v>
      </c>
      <c r="H1582" t="s">
        <v>153</v>
      </c>
      <c r="I1582" t="s">
        <v>144</v>
      </c>
      <c r="J1582" t="s">
        <v>154</v>
      </c>
      <c r="K1582" t="s">
        <v>155</v>
      </c>
      <c r="L1582" t="s">
        <v>3798</v>
      </c>
      <c r="N1582" t="s">
        <v>3799</v>
      </c>
      <c r="O1582" t="s">
        <v>156</v>
      </c>
      <c r="R1582" t="s">
        <v>3800</v>
      </c>
      <c r="S1582" t="s">
        <v>2864</v>
      </c>
      <c r="V1582" t="s">
        <v>2855</v>
      </c>
      <c r="W1582" t="s">
        <v>2865</v>
      </c>
      <c r="AD1582" t="s">
        <v>3801</v>
      </c>
    </row>
    <row r="1583" spans="1:32" x14ac:dyDescent="0.25">
      <c r="A1583" t="s">
        <v>33</v>
      </c>
      <c r="D1583" t="s">
        <v>2847</v>
      </c>
      <c r="E1583" t="s">
        <v>2859</v>
      </c>
      <c r="F1583" t="s">
        <v>87</v>
      </c>
      <c r="G1583" t="s">
        <v>3797</v>
      </c>
      <c r="H1583" t="s">
        <v>89</v>
      </c>
      <c r="I1583" t="s">
        <v>144</v>
      </c>
      <c r="J1583" t="s">
        <v>91</v>
      </c>
      <c r="K1583" t="s">
        <v>92</v>
      </c>
      <c r="L1583" t="s">
        <v>3798</v>
      </c>
      <c r="M1583" t="s">
        <v>94</v>
      </c>
      <c r="N1583" t="s">
        <v>3799</v>
      </c>
      <c r="O1583" t="s">
        <v>150</v>
      </c>
      <c r="P1583">
        <v>1E-3</v>
      </c>
      <c r="R1583" t="s">
        <v>3802</v>
      </c>
      <c r="S1583" t="s">
        <v>2864</v>
      </c>
      <c r="V1583" t="s">
        <v>2855</v>
      </c>
      <c r="W1583" t="s">
        <v>2865</v>
      </c>
      <c r="AD1583" t="s">
        <v>3803</v>
      </c>
    </row>
    <row r="1584" spans="1:32" x14ac:dyDescent="0.25">
      <c r="A1584" t="s">
        <v>33</v>
      </c>
      <c r="D1584" t="s">
        <v>2847</v>
      </c>
      <c r="E1584" t="s">
        <v>2859</v>
      </c>
      <c r="F1584" t="s">
        <v>87</v>
      </c>
      <c r="G1584" t="s">
        <v>3797</v>
      </c>
      <c r="H1584" t="s">
        <v>153</v>
      </c>
      <c r="I1584" t="s">
        <v>180</v>
      </c>
      <c r="J1584" t="s">
        <v>154</v>
      </c>
      <c r="K1584" t="s">
        <v>155</v>
      </c>
      <c r="L1584" t="s">
        <v>3798</v>
      </c>
      <c r="N1584" t="s">
        <v>3799</v>
      </c>
      <c r="O1584" t="s">
        <v>187</v>
      </c>
      <c r="R1584" t="s">
        <v>3804</v>
      </c>
      <c r="S1584" t="s">
        <v>2864</v>
      </c>
      <c r="V1584" t="s">
        <v>2855</v>
      </c>
      <c r="W1584" t="s">
        <v>2865</v>
      </c>
      <c r="AD1584" t="s">
        <v>3805</v>
      </c>
    </row>
    <row r="1585" spans="1:32" x14ac:dyDescent="0.25">
      <c r="A1585" t="s">
        <v>33</v>
      </c>
      <c r="D1585" t="s">
        <v>2847</v>
      </c>
      <c r="E1585" t="s">
        <v>2859</v>
      </c>
      <c r="F1585" t="s">
        <v>87</v>
      </c>
      <c r="G1585" t="s">
        <v>3797</v>
      </c>
      <c r="H1585" t="s">
        <v>89</v>
      </c>
      <c r="I1585" t="s">
        <v>180</v>
      </c>
      <c r="J1585" t="s">
        <v>91</v>
      </c>
      <c r="K1585" t="s">
        <v>92</v>
      </c>
      <c r="L1585" t="s">
        <v>3798</v>
      </c>
      <c r="M1585" t="s">
        <v>94</v>
      </c>
      <c r="N1585" t="s">
        <v>3799</v>
      </c>
      <c r="O1585" t="s">
        <v>184</v>
      </c>
      <c r="P1585">
        <v>1E-3</v>
      </c>
      <c r="R1585" t="s">
        <v>3806</v>
      </c>
      <c r="S1585" t="s">
        <v>2864</v>
      </c>
      <c r="V1585" t="s">
        <v>2855</v>
      </c>
      <c r="W1585" t="s">
        <v>2865</v>
      </c>
      <c r="AD1585" t="s">
        <v>3807</v>
      </c>
    </row>
    <row r="1586" spans="1:32" x14ac:dyDescent="0.25">
      <c r="A1586" t="s">
        <v>33</v>
      </c>
      <c r="D1586" t="s">
        <v>2847</v>
      </c>
      <c r="E1586" t="s">
        <v>2859</v>
      </c>
      <c r="F1586" t="s">
        <v>87</v>
      </c>
      <c r="G1586" t="s">
        <v>3797</v>
      </c>
      <c r="H1586" t="s">
        <v>38</v>
      </c>
      <c r="I1586" t="s">
        <v>106</v>
      </c>
      <c r="J1586" t="s">
        <v>40</v>
      </c>
      <c r="K1586" t="s">
        <v>41</v>
      </c>
      <c r="L1586" t="s">
        <v>3798</v>
      </c>
      <c r="M1586" t="s">
        <v>176</v>
      </c>
      <c r="N1586" t="s">
        <v>3799</v>
      </c>
      <c r="O1586" t="s">
        <v>109</v>
      </c>
      <c r="R1586" t="s">
        <v>3808</v>
      </c>
      <c r="S1586" t="s">
        <v>2864</v>
      </c>
      <c r="V1586" t="s">
        <v>2855</v>
      </c>
      <c r="W1586" t="s">
        <v>2865</v>
      </c>
      <c r="AD1586" t="s">
        <v>3809</v>
      </c>
    </row>
    <row r="1587" spans="1:32" x14ac:dyDescent="0.25">
      <c r="A1587" t="s">
        <v>33</v>
      </c>
      <c r="D1587" t="s">
        <v>2847</v>
      </c>
      <c r="E1587" t="s">
        <v>2893</v>
      </c>
      <c r="F1587" t="s">
        <v>87</v>
      </c>
      <c r="G1587" t="s">
        <v>3810</v>
      </c>
      <c r="H1587" t="s">
        <v>153</v>
      </c>
      <c r="I1587" t="s">
        <v>144</v>
      </c>
      <c r="J1587" t="s">
        <v>154</v>
      </c>
      <c r="K1587" t="s">
        <v>155</v>
      </c>
      <c r="L1587" t="s">
        <v>3811</v>
      </c>
      <c r="N1587" t="s">
        <v>3812</v>
      </c>
      <c r="O1587" t="s">
        <v>156</v>
      </c>
      <c r="R1587" t="s">
        <v>3813</v>
      </c>
      <c r="S1587" t="s">
        <v>2864</v>
      </c>
      <c r="V1587" t="s">
        <v>2855</v>
      </c>
      <c r="W1587" t="s">
        <v>2898</v>
      </c>
      <c r="AD1587" t="s">
        <v>3814</v>
      </c>
    </row>
    <row r="1588" spans="1:32" x14ac:dyDescent="0.25">
      <c r="A1588" t="s">
        <v>33</v>
      </c>
      <c r="D1588" t="s">
        <v>2847</v>
      </c>
      <c r="E1588" t="s">
        <v>2893</v>
      </c>
      <c r="F1588" t="s">
        <v>87</v>
      </c>
      <c r="G1588" t="s">
        <v>3810</v>
      </c>
      <c r="H1588" t="s">
        <v>153</v>
      </c>
      <c r="I1588" t="s">
        <v>90</v>
      </c>
      <c r="J1588" t="s">
        <v>154</v>
      </c>
      <c r="K1588" t="s">
        <v>155</v>
      </c>
      <c r="L1588" t="s">
        <v>3811</v>
      </c>
      <c r="N1588" t="s">
        <v>3812</v>
      </c>
      <c r="O1588" t="s">
        <v>386</v>
      </c>
      <c r="R1588" t="s">
        <v>3815</v>
      </c>
      <c r="S1588" t="s">
        <v>2864</v>
      </c>
      <c r="V1588" t="s">
        <v>2855</v>
      </c>
      <c r="W1588" t="s">
        <v>2898</v>
      </c>
      <c r="AC1588" t="s">
        <v>3816</v>
      </c>
      <c r="AD1588" t="s">
        <v>3817</v>
      </c>
      <c r="AE1588" t="s">
        <v>2890</v>
      </c>
      <c r="AF1588">
        <v>1</v>
      </c>
    </row>
    <row r="1589" spans="1:32" x14ac:dyDescent="0.25">
      <c r="A1589" t="s">
        <v>33</v>
      </c>
      <c r="D1589" t="s">
        <v>2847</v>
      </c>
      <c r="E1589" t="s">
        <v>2893</v>
      </c>
      <c r="F1589" t="s">
        <v>87</v>
      </c>
      <c r="G1589" t="s">
        <v>3810</v>
      </c>
      <c r="H1589" t="s">
        <v>89</v>
      </c>
      <c r="I1589" t="s">
        <v>90</v>
      </c>
      <c r="J1589" t="s">
        <v>91</v>
      </c>
      <c r="K1589" t="s">
        <v>92</v>
      </c>
      <c r="L1589" t="s">
        <v>3811</v>
      </c>
      <c r="M1589" t="s">
        <v>94</v>
      </c>
      <c r="N1589" t="s">
        <v>3812</v>
      </c>
      <c r="O1589" t="s">
        <v>383</v>
      </c>
      <c r="P1589">
        <v>1E-3</v>
      </c>
      <c r="R1589" t="s">
        <v>3818</v>
      </c>
      <c r="S1589" t="s">
        <v>2864</v>
      </c>
      <c r="V1589" t="s">
        <v>2855</v>
      </c>
      <c r="W1589" t="s">
        <v>2898</v>
      </c>
      <c r="AD1589" t="s">
        <v>3819</v>
      </c>
    </row>
    <row r="1590" spans="1:32" x14ac:dyDescent="0.25">
      <c r="A1590" t="s">
        <v>33</v>
      </c>
      <c r="D1590" t="s">
        <v>2847</v>
      </c>
      <c r="E1590" t="s">
        <v>2893</v>
      </c>
      <c r="F1590" t="s">
        <v>87</v>
      </c>
      <c r="G1590" t="s">
        <v>3810</v>
      </c>
      <c r="H1590" t="s">
        <v>89</v>
      </c>
      <c r="I1590" t="s">
        <v>144</v>
      </c>
      <c r="J1590" t="s">
        <v>91</v>
      </c>
      <c r="K1590" t="s">
        <v>92</v>
      </c>
      <c r="L1590" t="s">
        <v>3811</v>
      </c>
      <c r="M1590" t="s">
        <v>94</v>
      </c>
      <c r="N1590" t="s">
        <v>3812</v>
      </c>
      <c r="O1590" t="s">
        <v>150</v>
      </c>
      <c r="P1590">
        <v>1E-3</v>
      </c>
      <c r="R1590" t="s">
        <v>3820</v>
      </c>
      <c r="S1590" t="s">
        <v>2864</v>
      </c>
      <c r="V1590" t="s">
        <v>2855</v>
      </c>
      <c r="W1590" t="s">
        <v>2898</v>
      </c>
      <c r="AD1590" t="s">
        <v>3821</v>
      </c>
    </row>
    <row r="1591" spans="1:32" x14ac:dyDescent="0.25">
      <c r="A1591" t="s">
        <v>33</v>
      </c>
      <c r="D1591" t="s">
        <v>2847</v>
      </c>
      <c r="E1591" t="s">
        <v>2893</v>
      </c>
      <c r="F1591" t="s">
        <v>87</v>
      </c>
      <c r="G1591" t="s">
        <v>3810</v>
      </c>
      <c r="H1591" t="s">
        <v>153</v>
      </c>
      <c r="I1591" t="s">
        <v>180</v>
      </c>
      <c r="J1591" t="s">
        <v>154</v>
      </c>
      <c r="K1591" t="s">
        <v>155</v>
      </c>
      <c r="L1591" t="s">
        <v>3811</v>
      </c>
      <c r="N1591" t="s">
        <v>3812</v>
      </c>
      <c r="O1591" t="s">
        <v>187</v>
      </c>
      <c r="R1591" t="s">
        <v>3822</v>
      </c>
      <c r="S1591" t="s">
        <v>2864</v>
      </c>
      <c r="V1591" t="s">
        <v>2855</v>
      </c>
      <c r="W1591" t="s">
        <v>2898</v>
      </c>
      <c r="AD1591" t="s">
        <v>3823</v>
      </c>
    </row>
    <row r="1592" spans="1:32" x14ac:dyDescent="0.25">
      <c r="A1592" t="s">
        <v>33</v>
      </c>
      <c r="D1592" t="s">
        <v>2847</v>
      </c>
      <c r="E1592" t="s">
        <v>2893</v>
      </c>
      <c r="F1592" t="s">
        <v>87</v>
      </c>
      <c r="G1592" t="s">
        <v>3810</v>
      </c>
      <c r="H1592" t="s">
        <v>89</v>
      </c>
      <c r="I1592" t="s">
        <v>180</v>
      </c>
      <c r="J1592" t="s">
        <v>91</v>
      </c>
      <c r="K1592" t="s">
        <v>92</v>
      </c>
      <c r="L1592" t="s">
        <v>3811</v>
      </c>
      <c r="M1592" t="s">
        <v>94</v>
      </c>
      <c r="N1592" t="s">
        <v>3812</v>
      </c>
      <c r="O1592" t="s">
        <v>184</v>
      </c>
      <c r="P1592">
        <v>1E-3</v>
      </c>
      <c r="R1592" t="s">
        <v>3824</v>
      </c>
      <c r="S1592" t="s">
        <v>2864</v>
      </c>
      <c r="V1592" t="s">
        <v>2855</v>
      </c>
      <c r="W1592" t="s">
        <v>2898</v>
      </c>
      <c r="AD1592" t="s">
        <v>3825</v>
      </c>
    </row>
    <row r="1593" spans="1:32" x14ac:dyDescent="0.25">
      <c r="A1593" t="s">
        <v>33</v>
      </c>
      <c r="D1593" t="s">
        <v>2847</v>
      </c>
      <c r="E1593" t="s">
        <v>2893</v>
      </c>
      <c r="F1593" t="s">
        <v>87</v>
      </c>
      <c r="G1593" t="s">
        <v>3810</v>
      </c>
      <c r="H1593" t="s">
        <v>38</v>
      </c>
      <c r="I1593" t="s">
        <v>106</v>
      </c>
      <c r="J1593" t="s">
        <v>40</v>
      </c>
      <c r="K1593" t="s">
        <v>41</v>
      </c>
      <c r="L1593" t="s">
        <v>3811</v>
      </c>
      <c r="M1593" t="s">
        <v>3327</v>
      </c>
      <c r="N1593" t="s">
        <v>3812</v>
      </c>
      <c r="O1593" t="s">
        <v>109</v>
      </c>
      <c r="R1593" t="s">
        <v>3826</v>
      </c>
      <c r="S1593" t="s">
        <v>2864</v>
      </c>
      <c r="V1593" t="s">
        <v>2855</v>
      </c>
      <c r="W1593" t="s">
        <v>2898</v>
      </c>
      <c r="X1593" t="s">
        <v>1193</v>
      </c>
      <c r="AD1593" t="s">
        <v>3827</v>
      </c>
    </row>
    <row r="1594" spans="1:32" x14ac:dyDescent="0.25">
      <c r="A1594" t="s">
        <v>33</v>
      </c>
      <c r="D1594" t="s">
        <v>2847</v>
      </c>
      <c r="E1594" t="s">
        <v>2893</v>
      </c>
      <c r="F1594" t="s">
        <v>87</v>
      </c>
      <c r="G1594" t="s">
        <v>3828</v>
      </c>
      <c r="H1594" t="s">
        <v>153</v>
      </c>
      <c r="I1594" t="s">
        <v>180</v>
      </c>
      <c r="J1594" t="s">
        <v>154</v>
      </c>
      <c r="K1594" t="s">
        <v>155</v>
      </c>
      <c r="L1594" t="s">
        <v>3829</v>
      </c>
      <c r="N1594" t="s">
        <v>3830</v>
      </c>
      <c r="O1594" t="s">
        <v>187</v>
      </c>
      <c r="R1594" t="s">
        <v>3831</v>
      </c>
      <c r="S1594" t="s">
        <v>2864</v>
      </c>
      <c r="V1594" t="s">
        <v>2855</v>
      </c>
      <c r="W1594" t="s">
        <v>2898</v>
      </c>
      <c r="AD1594" t="s">
        <v>3832</v>
      </c>
    </row>
    <row r="1595" spans="1:32" x14ac:dyDescent="0.25">
      <c r="A1595" t="s">
        <v>33</v>
      </c>
      <c r="D1595" t="s">
        <v>2847</v>
      </c>
      <c r="E1595" t="s">
        <v>2893</v>
      </c>
      <c r="F1595" t="s">
        <v>87</v>
      </c>
      <c r="G1595" t="s">
        <v>3828</v>
      </c>
      <c r="H1595" t="s">
        <v>89</v>
      </c>
      <c r="I1595" t="s">
        <v>180</v>
      </c>
      <c r="J1595" t="s">
        <v>91</v>
      </c>
      <c r="K1595" t="s">
        <v>92</v>
      </c>
      <c r="L1595" t="s">
        <v>3829</v>
      </c>
      <c r="M1595" t="s">
        <v>94</v>
      </c>
      <c r="N1595" t="s">
        <v>3830</v>
      </c>
      <c r="O1595" t="s">
        <v>184</v>
      </c>
      <c r="P1595">
        <v>1E-3</v>
      </c>
      <c r="R1595" t="s">
        <v>3833</v>
      </c>
      <c r="S1595" t="s">
        <v>2864</v>
      </c>
      <c r="V1595" t="s">
        <v>2855</v>
      </c>
      <c r="W1595" t="s">
        <v>2898</v>
      </c>
      <c r="AD1595" t="s">
        <v>3834</v>
      </c>
    </row>
    <row r="1596" spans="1:32" x14ac:dyDescent="0.25">
      <c r="A1596" t="s">
        <v>33</v>
      </c>
      <c r="D1596" t="s">
        <v>2847</v>
      </c>
      <c r="E1596" t="s">
        <v>2893</v>
      </c>
      <c r="F1596" t="s">
        <v>87</v>
      </c>
      <c r="G1596" t="s">
        <v>3828</v>
      </c>
      <c r="H1596" t="s">
        <v>38</v>
      </c>
      <c r="I1596" t="s">
        <v>106</v>
      </c>
      <c r="J1596" t="s">
        <v>40</v>
      </c>
      <c r="K1596" t="s">
        <v>41</v>
      </c>
      <c r="L1596" t="s">
        <v>3829</v>
      </c>
      <c r="M1596" t="s">
        <v>176</v>
      </c>
      <c r="N1596" t="s">
        <v>3830</v>
      </c>
      <c r="O1596" t="s">
        <v>109</v>
      </c>
      <c r="R1596" t="s">
        <v>3835</v>
      </c>
      <c r="S1596" t="s">
        <v>2864</v>
      </c>
      <c r="V1596" t="s">
        <v>2855</v>
      </c>
      <c r="W1596" t="s">
        <v>2898</v>
      </c>
      <c r="AD1596" t="s">
        <v>3836</v>
      </c>
    </row>
    <row r="1597" spans="1:32" x14ac:dyDescent="0.25">
      <c r="A1597" t="s">
        <v>33</v>
      </c>
      <c r="D1597" t="s">
        <v>2847</v>
      </c>
      <c r="E1597" t="s">
        <v>2893</v>
      </c>
      <c r="F1597" t="s">
        <v>87</v>
      </c>
      <c r="G1597" t="s">
        <v>3837</v>
      </c>
      <c r="H1597" t="s">
        <v>153</v>
      </c>
      <c r="I1597" t="s">
        <v>144</v>
      </c>
      <c r="J1597" t="s">
        <v>154</v>
      </c>
      <c r="K1597" t="s">
        <v>155</v>
      </c>
      <c r="L1597" t="s">
        <v>3838</v>
      </c>
      <c r="N1597" t="s">
        <v>3812</v>
      </c>
      <c r="O1597" t="s">
        <v>156</v>
      </c>
      <c r="R1597" t="s">
        <v>3839</v>
      </c>
      <c r="S1597" t="s">
        <v>2864</v>
      </c>
      <c r="V1597" t="s">
        <v>2855</v>
      </c>
      <c r="W1597" t="s">
        <v>2898</v>
      </c>
      <c r="AD1597" t="s">
        <v>3814</v>
      </c>
    </row>
    <row r="1598" spans="1:32" x14ac:dyDescent="0.25">
      <c r="A1598" t="s">
        <v>33</v>
      </c>
      <c r="D1598" t="s">
        <v>2847</v>
      </c>
      <c r="E1598" t="s">
        <v>2893</v>
      </c>
      <c r="F1598" t="s">
        <v>87</v>
      </c>
      <c r="G1598" t="s">
        <v>3837</v>
      </c>
      <c r="H1598" t="s">
        <v>153</v>
      </c>
      <c r="I1598" t="s">
        <v>90</v>
      </c>
      <c r="J1598" t="s">
        <v>154</v>
      </c>
      <c r="K1598" t="s">
        <v>155</v>
      </c>
      <c r="L1598" t="s">
        <v>3838</v>
      </c>
      <c r="N1598" t="s">
        <v>3812</v>
      </c>
      <c r="O1598" t="s">
        <v>386</v>
      </c>
      <c r="R1598" t="s">
        <v>3840</v>
      </c>
      <c r="S1598" t="s">
        <v>2864</v>
      </c>
      <c r="V1598" t="s">
        <v>2855</v>
      </c>
      <c r="W1598" t="s">
        <v>2898</v>
      </c>
      <c r="AC1598" t="s">
        <v>3841</v>
      </c>
      <c r="AD1598" t="s">
        <v>3817</v>
      </c>
      <c r="AE1598" t="s">
        <v>2890</v>
      </c>
      <c r="AF1598">
        <v>2</v>
      </c>
    </row>
    <row r="1599" spans="1:32" x14ac:dyDescent="0.25">
      <c r="A1599" t="s">
        <v>33</v>
      </c>
      <c r="D1599" t="s">
        <v>2847</v>
      </c>
      <c r="E1599" t="s">
        <v>2893</v>
      </c>
      <c r="F1599" t="s">
        <v>87</v>
      </c>
      <c r="G1599" t="s">
        <v>3837</v>
      </c>
      <c r="H1599" t="s">
        <v>89</v>
      </c>
      <c r="I1599" t="s">
        <v>90</v>
      </c>
      <c r="J1599" t="s">
        <v>91</v>
      </c>
      <c r="K1599" t="s">
        <v>92</v>
      </c>
      <c r="L1599" t="s">
        <v>3838</v>
      </c>
      <c r="M1599" t="s">
        <v>94</v>
      </c>
      <c r="N1599" t="s">
        <v>3812</v>
      </c>
      <c r="O1599" t="s">
        <v>383</v>
      </c>
      <c r="P1599">
        <v>1E-3</v>
      </c>
      <c r="R1599" t="s">
        <v>3842</v>
      </c>
      <c r="S1599" t="s">
        <v>2864</v>
      </c>
      <c r="V1599" t="s">
        <v>2855</v>
      </c>
      <c r="W1599" t="s">
        <v>2898</v>
      </c>
      <c r="AD1599" t="s">
        <v>3819</v>
      </c>
    </row>
    <row r="1600" spans="1:32" x14ac:dyDescent="0.25">
      <c r="A1600" t="s">
        <v>33</v>
      </c>
      <c r="D1600" t="s">
        <v>2847</v>
      </c>
      <c r="E1600" t="s">
        <v>2893</v>
      </c>
      <c r="F1600" t="s">
        <v>87</v>
      </c>
      <c r="G1600" t="s">
        <v>3837</v>
      </c>
      <c r="H1600" t="s">
        <v>89</v>
      </c>
      <c r="I1600" t="s">
        <v>144</v>
      </c>
      <c r="J1600" t="s">
        <v>91</v>
      </c>
      <c r="K1600" t="s">
        <v>92</v>
      </c>
      <c r="L1600" t="s">
        <v>3838</v>
      </c>
      <c r="M1600" t="s">
        <v>94</v>
      </c>
      <c r="N1600" t="s">
        <v>3812</v>
      </c>
      <c r="O1600" t="s">
        <v>150</v>
      </c>
      <c r="P1600">
        <v>1E-3</v>
      </c>
      <c r="R1600" t="s">
        <v>3843</v>
      </c>
      <c r="S1600" t="s">
        <v>2864</v>
      </c>
      <c r="V1600" t="s">
        <v>2855</v>
      </c>
      <c r="W1600" t="s">
        <v>2898</v>
      </c>
      <c r="AD1600" t="s">
        <v>3821</v>
      </c>
    </row>
    <row r="1601" spans="1:32" x14ac:dyDescent="0.25">
      <c r="A1601" t="s">
        <v>33</v>
      </c>
      <c r="D1601" t="s">
        <v>2847</v>
      </c>
      <c r="E1601" t="s">
        <v>2893</v>
      </c>
      <c r="F1601" t="s">
        <v>87</v>
      </c>
      <c r="G1601" t="s">
        <v>3837</v>
      </c>
      <c r="H1601" t="s">
        <v>153</v>
      </c>
      <c r="I1601" t="s">
        <v>180</v>
      </c>
      <c r="J1601" t="s">
        <v>154</v>
      </c>
      <c r="K1601" t="s">
        <v>155</v>
      </c>
      <c r="L1601" t="s">
        <v>3838</v>
      </c>
      <c r="N1601" t="s">
        <v>3812</v>
      </c>
      <c r="O1601" t="s">
        <v>187</v>
      </c>
      <c r="R1601" t="s">
        <v>3844</v>
      </c>
      <c r="S1601" t="s">
        <v>2864</v>
      </c>
      <c r="V1601" t="s">
        <v>2855</v>
      </c>
      <c r="W1601" t="s">
        <v>2898</v>
      </c>
      <c r="AD1601" t="s">
        <v>3823</v>
      </c>
    </row>
    <row r="1602" spans="1:32" x14ac:dyDescent="0.25">
      <c r="A1602" t="s">
        <v>33</v>
      </c>
      <c r="D1602" t="s">
        <v>2847</v>
      </c>
      <c r="E1602" t="s">
        <v>2893</v>
      </c>
      <c r="F1602" t="s">
        <v>87</v>
      </c>
      <c r="G1602" t="s">
        <v>3837</v>
      </c>
      <c r="H1602" t="s">
        <v>89</v>
      </c>
      <c r="I1602" t="s">
        <v>180</v>
      </c>
      <c r="J1602" t="s">
        <v>91</v>
      </c>
      <c r="K1602" t="s">
        <v>92</v>
      </c>
      <c r="L1602" t="s">
        <v>3838</v>
      </c>
      <c r="M1602" t="s">
        <v>94</v>
      </c>
      <c r="N1602" t="s">
        <v>3812</v>
      </c>
      <c r="O1602" t="s">
        <v>184</v>
      </c>
      <c r="P1602">
        <v>1E-3</v>
      </c>
      <c r="R1602" t="s">
        <v>3845</v>
      </c>
      <c r="S1602" t="s">
        <v>2864</v>
      </c>
      <c r="V1602" t="s">
        <v>2855</v>
      </c>
      <c r="W1602" t="s">
        <v>2898</v>
      </c>
      <c r="AD1602" t="s">
        <v>3825</v>
      </c>
    </row>
    <row r="1603" spans="1:32" x14ac:dyDescent="0.25">
      <c r="A1603" t="s">
        <v>33</v>
      </c>
      <c r="D1603" t="s">
        <v>2847</v>
      </c>
      <c r="E1603" t="s">
        <v>2893</v>
      </c>
      <c r="F1603" t="s">
        <v>87</v>
      </c>
      <c r="G1603" t="s">
        <v>3837</v>
      </c>
      <c r="H1603" t="s">
        <v>38</v>
      </c>
      <c r="I1603" t="s">
        <v>106</v>
      </c>
      <c r="J1603" t="s">
        <v>40</v>
      </c>
      <c r="K1603" t="s">
        <v>41</v>
      </c>
      <c r="L1603" t="s">
        <v>3838</v>
      </c>
      <c r="M1603" t="s">
        <v>3327</v>
      </c>
      <c r="N1603" t="s">
        <v>3812</v>
      </c>
      <c r="O1603" t="s">
        <v>109</v>
      </c>
      <c r="R1603" t="s">
        <v>3846</v>
      </c>
      <c r="S1603" t="s">
        <v>2864</v>
      </c>
      <c r="V1603" t="s">
        <v>2855</v>
      </c>
      <c r="W1603" t="s">
        <v>2898</v>
      </c>
      <c r="X1603" t="s">
        <v>1193</v>
      </c>
      <c r="AD1603" t="s">
        <v>3827</v>
      </c>
    </row>
    <row r="1604" spans="1:32" x14ac:dyDescent="0.25">
      <c r="A1604" t="s">
        <v>33</v>
      </c>
      <c r="D1604" t="s">
        <v>2847</v>
      </c>
      <c r="E1604" t="s">
        <v>2893</v>
      </c>
      <c r="F1604" t="s">
        <v>87</v>
      </c>
      <c r="G1604" t="s">
        <v>3847</v>
      </c>
      <c r="H1604" t="s">
        <v>153</v>
      </c>
      <c r="I1604" t="s">
        <v>144</v>
      </c>
      <c r="J1604" t="s">
        <v>154</v>
      </c>
      <c r="K1604" t="s">
        <v>155</v>
      </c>
      <c r="L1604" t="s">
        <v>3848</v>
      </c>
      <c r="N1604" t="s">
        <v>3849</v>
      </c>
      <c r="O1604" t="s">
        <v>156</v>
      </c>
      <c r="R1604" t="s">
        <v>3850</v>
      </c>
      <c r="S1604" t="s">
        <v>2864</v>
      </c>
      <c r="V1604" t="s">
        <v>2855</v>
      </c>
      <c r="W1604" t="s">
        <v>2898</v>
      </c>
      <c r="AD1604" t="s">
        <v>3851</v>
      </c>
    </row>
    <row r="1605" spans="1:32" x14ac:dyDescent="0.25">
      <c r="A1605" t="s">
        <v>33</v>
      </c>
      <c r="D1605" t="s">
        <v>2847</v>
      </c>
      <c r="E1605" t="s">
        <v>2893</v>
      </c>
      <c r="F1605" t="s">
        <v>87</v>
      </c>
      <c r="G1605" t="s">
        <v>3847</v>
      </c>
      <c r="H1605" t="s">
        <v>89</v>
      </c>
      <c r="I1605" t="s">
        <v>144</v>
      </c>
      <c r="J1605" t="s">
        <v>91</v>
      </c>
      <c r="K1605" t="s">
        <v>92</v>
      </c>
      <c r="L1605" t="s">
        <v>3848</v>
      </c>
      <c r="M1605" t="s">
        <v>94</v>
      </c>
      <c r="N1605" t="s">
        <v>3849</v>
      </c>
      <c r="O1605" t="s">
        <v>150</v>
      </c>
      <c r="P1605">
        <v>1E-3</v>
      </c>
      <c r="R1605" t="s">
        <v>3852</v>
      </c>
      <c r="S1605" t="s">
        <v>2864</v>
      </c>
      <c r="V1605" t="s">
        <v>2855</v>
      </c>
      <c r="W1605" t="s">
        <v>2898</v>
      </c>
      <c r="AD1605" t="s">
        <v>3853</v>
      </c>
    </row>
    <row r="1606" spans="1:32" x14ac:dyDescent="0.25">
      <c r="A1606" t="s">
        <v>33</v>
      </c>
      <c r="D1606" t="s">
        <v>2847</v>
      </c>
      <c r="E1606" t="s">
        <v>2893</v>
      </c>
      <c r="F1606" t="s">
        <v>87</v>
      </c>
      <c r="G1606" t="s">
        <v>3847</v>
      </c>
      <c r="H1606" t="s">
        <v>153</v>
      </c>
      <c r="I1606" t="s">
        <v>180</v>
      </c>
      <c r="J1606" t="s">
        <v>154</v>
      </c>
      <c r="K1606" t="s">
        <v>155</v>
      </c>
      <c r="L1606" t="s">
        <v>3848</v>
      </c>
      <c r="N1606" t="s">
        <v>3849</v>
      </c>
      <c r="O1606" t="s">
        <v>187</v>
      </c>
      <c r="R1606" t="s">
        <v>3854</v>
      </c>
      <c r="S1606" t="s">
        <v>2864</v>
      </c>
      <c r="V1606" t="s">
        <v>2855</v>
      </c>
      <c r="W1606" t="s">
        <v>2898</v>
      </c>
      <c r="AD1606" t="s">
        <v>3855</v>
      </c>
    </row>
    <row r="1607" spans="1:32" x14ac:dyDescent="0.25">
      <c r="A1607" t="s">
        <v>33</v>
      </c>
      <c r="D1607" t="s">
        <v>2847</v>
      </c>
      <c r="E1607" t="s">
        <v>2893</v>
      </c>
      <c r="F1607" t="s">
        <v>87</v>
      </c>
      <c r="G1607" t="s">
        <v>3847</v>
      </c>
      <c r="H1607" t="s">
        <v>89</v>
      </c>
      <c r="I1607" t="s">
        <v>180</v>
      </c>
      <c r="J1607" t="s">
        <v>91</v>
      </c>
      <c r="K1607" t="s">
        <v>92</v>
      </c>
      <c r="L1607" t="s">
        <v>3848</v>
      </c>
      <c r="M1607" t="s">
        <v>94</v>
      </c>
      <c r="N1607" t="s">
        <v>3849</v>
      </c>
      <c r="O1607" t="s">
        <v>184</v>
      </c>
      <c r="P1607">
        <v>1E-3</v>
      </c>
      <c r="R1607" t="s">
        <v>3856</v>
      </c>
      <c r="S1607" t="s">
        <v>2864</v>
      </c>
      <c r="V1607" t="s">
        <v>2855</v>
      </c>
      <c r="W1607" t="s">
        <v>2898</v>
      </c>
      <c r="AD1607" t="s">
        <v>3857</v>
      </c>
    </row>
    <row r="1608" spans="1:32" x14ac:dyDescent="0.25">
      <c r="A1608" t="s">
        <v>33</v>
      </c>
      <c r="D1608" t="s">
        <v>2847</v>
      </c>
      <c r="E1608" t="s">
        <v>2893</v>
      </c>
      <c r="F1608" t="s">
        <v>866</v>
      </c>
      <c r="G1608" t="s">
        <v>3675</v>
      </c>
      <c r="H1608" t="s">
        <v>166</v>
      </c>
      <c r="I1608" t="s">
        <v>80</v>
      </c>
      <c r="J1608" t="s">
        <v>167</v>
      </c>
      <c r="K1608" t="s">
        <v>41</v>
      </c>
      <c r="L1608" t="s">
        <v>3676</v>
      </c>
      <c r="N1608" t="s">
        <v>3677</v>
      </c>
      <c r="O1608" t="s">
        <v>862</v>
      </c>
      <c r="Q1608" t="s">
        <v>863</v>
      </c>
      <c r="R1608" t="s">
        <v>3858</v>
      </c>
      <c r="S1608" t="s">
        <v>2864</v>
      </c>
      <c r="V1608" t="s">
        <v>2855</v>
      </c>
      <c r="W1608" t="s">
        <v>2898</v>
      </c>
      <c r="AD1608" t="s">
        <v>3859</v>
      </c>
    </row>
    <row r="1609" spans="1:32" x14ac:dyDescent="0.25">
      <c r="A1609" t="s">
        <v>33</v>
      </c>
      <c r="D1609" t="s">
        <v>2847</v>
      </c>
      <c r="E1609" t="s">
        <v>2893</v>
      </c>
      <c r="F1609" t="s">
        <v>87</v>
      </c>
      <c r="G1609" t="s">
        <v>3847</v>
      </c>
      <c r="H1609" t="s">
        <v>38</v>
      </c>
      <c r="I1609" t="s">
        <v>106</v>
      </c>
      <c r="J1609" t="s">
        <v>40</v>
      </c>
      <c r="K1609" t="s">
        <v>41</v>
      </c>
      <c r="L1609" t="s">
        <v>3848</v>
      </c>
      <c r="M1609" t="s">
        <v>176</v>
      </c>
      <c r="N1609" t="s">
        <v>3849</v>
      </c>
      <c r="O1609" t="s">
        <v>109</v>
      </c>
      <c r="R1609" t="s">
        <v>3860</v>
      </c>
      <c r="S1609" t="s">
        <v>2864</v>
      </c>
      <c r="V1609" t="s">
        <v>2855</v>
      </c>
      <c r="W1609" t="s">
        <v>2898</v>
      </c>
      <c r="AD1609" t="s">
        <v>3861</v>
      </c>
    </row>
    <row r="1610" spans="1:32" x14ac:dyDescent="0.25">
      <c r="A1610" t="s">
        <v>33</v>
      </c>
      <c r="D1610" t="s">
        <v>2847</v>
      </c>
      <c r="E1610" t="s">
        <v>2893</v>
      </c>
      <c r="F1610" t="s">
        <v>87</v>
      </c>
      <c r="G1610" t="s">
        <v>3862</v>
      </c>
      <c r="H1610" t="s">
        <v>153</v>
      </c>
      <c r="I1610" t="s">
        <v>144</v>
      </c>
      <c r="J1610" t="s">
        <v>154</v>
      </c>
      <c r="K1610" t="s">
        <v>155</v>
      </c>
      <c r="L1610" t="s">
        <v>3863</v>
      </c>
      <c r="N1610" t="s">
        <v>3864</v>
      </c>
      <c r="O1610" t="s">
        <v>156</v>
      </c>
      <c r="R1610" t="s">
        <v>3865</v>
      </c>
      <c r="S1610" t="s">
        <v>2864</v>
      </c>
      <c r="V1610" t="s">
        <v>2855</v>
      </c>
      <c r="W1610" t="s">
        <v>2898</v>
      </c>
      <c r="AD1610" t="s">
        <v>3866</v>
      </c>
    </row>
    <row r="1611" spans="1:32" x14ac:dyDescent="0.25">
      <c r="A1611" t="s">
        <v>33</v>
      </c>
      <c r="D1611" t="s">
        <v>2847</v>
      </c>
      <c r="E1611" t="s">
        <v>2893</v>
      </c>
      <c r="F1611" t="s">
        <v>87</v>
      </c>
      <c r="G1611" t="s">
        <v>3862</v>
      </c>
      <c r="H1611" t="s">
        <v>153</v>
      </c>
      <c r="I1611" t="s">
        <v>90</v>
      </c>
      <c r="J1611" t="s">
        <v>154</v>
      </c>
      <c r="K1611" t="s">
        <v>155</v>
      </c>
      <c r="L1611" t="s">
        <v>3863</v>
      </c>
      <c r="N1611" t="s">
        <v>3864</v>
      </c>
      <c r="O1611" t="s">
        <v>386</v>
      </c>
      <c r="R1611" t="s">
        <v>3867</v>
      </c>
      <c r="S1611" t="s">
        <v>2864</v>
      </c>
      <c r="V1611" t="s">
        <v>2855</v>
      </c>
      <c r="W1611" t="s">
        <v>2898</v>
      </c>
      <c r="AC1611" t="s">
        <v>3868</v>
      </c>
      <c r="AD1611" t="s">
        <v>3869</v>
      </c>
      <c r="AE1611" t="s">
        <v>2890</v>
      </c>
      <c r="AF1611">
        <v>3</v>
      </c>
    </row>
    <row r="1612" spans="1:32" x14ac:dyDescent="0.25">
      <c r="A1612" t="s">
        <v>33</v>
      </c>
      <c r="D1612" t="s">
        <v>2847</v>
      </c>
      <c r="E1612" t="s">
        <v>2893</v>
      </c>
      <c r="F1612" t="s">
        <v>87</v>
      </c>
      <c r="G1612" t="s">
        <v>3862</v>
      </c>
      <c r="H1612" t="s">
        <v>38</v>
      </c>
      <c r="I1612" t="s">
        <v>25</v>
      </c>
      <c r="J1612" t="s">
        <v>69</v>
      </c>
      <c r="K1612" t="s">
        <v>41</v>
      </c>
      <c r="L1612" t="s">
        <v>3863</v>
      </c>
      <c r="M1612" t="s">
        <v>3327</v>
      </c>
      <c r="N1612" t="s">
        <v>3864</v>
      </c>
      <c r="O1612" t="s">
        <v>512</v>
      </c>
      <c r="R1612" t="s">
        <v>3867</v>
      </c>
      <c r="S1612" t="s">
        <v>2864</v>
      </c>
      <c r="V1612" t="s">
        <v>2855</v>
      </c>
      <c r="W1612" t="s">
        <v>2898</v>
      </c>
      <c r="X1612" t="s">
        <v>1193</v>
      </c>
      <c r="AD1612" t="s">
        <v>3870</v>
      </c>
    </row>
    <row r="1613" spans="1:32" x14ac:dyDescent="0.25">
      <c r="A1613" t="s">
        <v>33</v>
      </c>
      <c r="D1613" t="s">
        <v>2847</v>
      </c>
      <c r="E1613" t="s">
        <v>2893</v>
      </c>
      <c r="F1613" t="s">
        <v>87</v>
      </c>
      <c r="G1613" t="s">
        <v>3862</v>
      </c>
      <c r="H1613" t="s">
        <v>89</v>
      </c>
      <c r="I1613" t="s">
        <v>90</v>
      </c>
      <c r="J1613" t="s">
        <v>91</v>
      </c>
      <c r="K1613" t="s">
        <v>92</v>
      </c>
      <c r="L1613" t="s">
        <v>3863</v>
      </c>
      <c r="M1613" t="s">
        <v>94</v>
      </c>
      <c r="N1613" t="s">
        <v>3864</v>
      </c>
      <c r="O1613" t="s">
        <v>383</v>
      </c>
      <c r="P1613">
        <v>1E-3</v>
      </c>
      <c r="R1613" t="s">
        <v>3871</v>
      </c>
      <c r="S1613" t="s">
        <v>2864</v>
      </c>
      <c r="V1613" t="s">
        <v>2855</v>
      </c>
      <c r="W1613" t="s">
        <v>2898</v>
      </c>
      <c r="AD1613" t="s">
        <v>3872</v>
      </c>
    </row>
    <row r="1614" spans="1:32" x14ac:dyDescent="0.25">
      <c r="A1614" t="s">
        <v>33</v>
      </c>
      <c r="D1614" t="s">
        <v>2847</v>
      </c>
      <c r="E1614" t="s">
        <v>2893</v>
      </c>
      <c r="F1614" t="s">
        <v>87</v>
      </c>
      <c r="G1614" t="s">
        <v>3862</v>
      </c>
      <c r="H1614" t="s">
        <v>89</v>
      </c>
      <c r="I1614" t="s">
        <v>144</v>
      </c>
      <c r="J1614" t="s">
        <v>91</v>
      </c>
      <c r="K1614" t="s">
        <v>92</v>
      </c>
      <c r="L1614" t="s">
        <v>3863</v>
      </c>
      <c r="M1614" t="s">
        <v>94</v>
      </c>
      <c r="N1614" t="s">
        <v>3864</v>
      </c>
      <c r="O1614" t="s">
        <v>150</v>
      </c>
      <c r="P1614">
        <v>1E-3</v>
      </c>
      <c r="R1614" t="s">
        <v>3873</v>
      </c>
      <c r="S1614" t="s">
        <v>2864</v>
      </c>
      <c r="V1614" t="s">
        <v>2855</v>
      </c>
      <c r="W1614" t="s">
        <v>2898</v>
      </c>
      <c r="AD1614" t="s">
        <v>3874</v>
      </c>
    </row>
    <row r="1615" spans="1:32" x14ac:dyDescent="0.25">
      <c r="A1615" t="s">
        <v>33</v>
      </c>
      <c r="D1615" t="s">
        <v>2847</v>
      </c>
      <c r="E1615" t="s">
        <v>2893</v>
      </c>
      <c r="F1615" t="s">
        <v>87</v>
      </c>
      <c r="G1615" t="s">
        <v>3862</v>
      </c>
      <c r="H1615" t="s">
        <v>153</v>
      </c>
      <c r="I1615" t="s">
        <v>180</v>
      </c>
      <c r="J1615" t="s">
        <v>154</v>
      </c>
      <c r="K1615" t="s">
        <v>155</v>
      </c>
      <c r="L1615" t="s">
        <v>3863</v>
      </c>
      <c r="N1615" t="s">
        <v>3864</v>
      </c>
      <c r="O1615" t="s">
        <v>187</v>
      </c>
      <c r="R1615" t="s">
        <v>3875</v>
      </c>
      <c r="S1615" t="s">
        <v>2864</v>
      </c>
      <c r="V1615" t="s">
        <v>2855</v>
      </c>
      <c r="W1615" t="s">
        <v>2898</v>
      </c>
      <c r="AD1615" t="s">
        <v>3876</v>
      </c>
    </row>
    <row r="1616" spans="1:32" x14ac:dyDescent="0.25">
      <c r="A1616" t="s">
        <v>33</v>
      </c>
      <c r="D1616" t="s">
        <v>2847</v>
      </c>
      <c r="E1616" t="s">
        <v>2893</v>
      </c>
      <c r="F1616" t="s">
        <v>87</v>
      </c>
      <c r="G1616" t="s">
        <v>3862</v>
      </c>
      <c r="H1616" t="s">
        <v>89</v>
      </c>
      <c r="I1616" t="s">
        <v>180</v>
      </c>
      <c r="J1616" t="s">
        <v>91</v>
      </c>
      <c r="K1616" t="s">
        <v>92</v>
      </c>
      <c r="L1616" t="s">
        <v>3863</v>
      </c>
      <c r="M1616" t="s">
        <v>94</v>
      </c>
      <c r="N1616" t="s">
        <v>3864</v>
      </c>
      <c r="O1616" t="s">
        <v>184</v>
      </c>
      <c r="P1616">
        <v>1E-3</v>
      </c>
      <c r="R1616" t="s">
        <v>3877</v>
      </c>
      <c r="S1616" t="s">
        <v>2864</v>
      </c>
      <c r="V1616" t="s">
        <v>2855</v>
      </c>
      <c r="W1616" t="s">
        <v>2898</v>
      </c>
      <c r="AD1616" t="s">
        <v>3878</v>
      </c>
    </row>
    <row r="1617" spans="1:32" x14ac:dyDescent="0.25">
      <c r="A1617" t="s">
        <v>33</v>
      </c>
      <c r="D1617" t="s">
        <v>2847</v>
      </c>
      <c r="E1617" t="s">
        <v>2893</v>
      </c>
      <c r="F1617" t="s">
        <v>87</v>
      </c>
      <c r="G1617" t="s">
        <v>3862</v>
      </c>
      <c r="H1617" t="s">
        <v>38</v>
      </c>
      <c r="I1617" t="s">
        <v>106</v>
      </c>
      <c r="J1617" t="s">
        <v>40</v>
      </c>
      <c r="K1617" t="s">
        <v>41</v>
      </c>
      <c r="L1617" t="s">
        <v>3863</v>
      </c>
      <c r="M1617" t="s">
        <v>3327</v>
      </c>
      <c r="N1617" t="s">
        <v>3864</v>
      </c>
      <c r="O1617" t="s">
        <v>109</v>
      </c>
      <c r="R1617" t="s">
        <v>3879</v>
      </c>
      <c r="S1617" t="s">
        <v>2864</v>
      </c>
      <c r="V1617" t="s">
        <v>2855</v>
      </c>
      <c r="W1617" t="s">
        <v>2898</v>
      </c>
      <c r="X1617" t="s">
        <v>1193</v>
      </c>
      <c r="AD1617" t="s">
        <v>3880</v>
      </c>
    </row>
    <row r="1618" spans="1:32" x14ac:dyDescent="0.25">
      <c r="A1618" t="s">
        <v>33</v>
      </c>
      <c r="D1618" t="s">
        <v>2847</v>
      </c>
      <c r="E1618" t="s">
        <v>2893</v>
      </c>
      <c r="F1618" t="s">
        <v>87</v>
      </c>
      <c r="G1618" t="s">
        <v>3881</v>
      </c>
      <c r="H1618" t="s">
        <v>153</v>
      </c>
      <c r="I1618" t="s">
        <v>144</v>
      </c>
      <c r="J1618" t="s">
        <v>154</v>
      </c>
      <c r="K1618" t="s">
        <v>155</v>
      </c>
      <c r="L1618" t="s">
        <v>3882</v>
      </c>
      <c r="N1618" t="s">
        <v>3864</v>
      </c>
      <c r="O1618" t="s">
        <v>156</v>
      </c>
      <c r="R1618" t="s">
        <v>3883</v>
      </c>
      <c r="S1618" t="s">
        <v>2864</v>
      </c>
      <c r="V1618" t="s">
        <v>2855</v>
      </c>
      <c r="W1618" t="s">
        <v>2898</v>
      </c>
      <c r="AD1618" t="s">
        <v>3866</v>
      </c>
    </row>
    <row r="1619" spans="1:32" x14ac:dyDescent="0.25">
      <c r="A1619" t="s">
        <v>33</v>
      </c>
      <c r="D1619" t="s">
        <v>2847</v>
      </c>
      <c r="E1619" t="s">
        <v>2893</v>
      </c>
      <c r="F1619" t="s">
        <v>87</v>
      </c>
      <c r="G1619" t="s">
        <v>3881</v>
      </c>
      <c r="H1619" t="s">
        <v>153</v>
      </c>
      <c r="I1619" t="s">
        <v>90</v>
      </c>
      <c r="J1619" t="s">
        <v>154</v>
      </c>
      <c r="K1619" t="s">
        <v>155</v>
      </c>
      <c r="L1619" t="s">
        <v>3882</v>
      </c>
      <c r="N1619" t="s">
        <v>3864</v>
      </c>
      <c r="O1619" t="s">
        <v>386</v>
      </c>
      <c r="R1619" t="s">
        <v>3884</v>
      </c>
      <c r="S1619" t="s">
        <v>2864</v>
      </c>
      <c r="V1619" t="s">
        <v>2855</v>
      </c>
      <c r="W1619" t="s">
        <v>2898</v>
      </c>
      <c r="AC1619" t="s">
        <v>3885</v>
      </c>
      <c r="AD1619" t="s">
        <v>3869</v>
      </c>
      <c r="AE1619" t="s">
        <v>2890</v>
      </c>
      <c r="AF1619">
        <v>4</v>
      </c>
    </row>
    <row r="1620" spans="1:32" x14ac:dyDescent="0.25">
      <c r="A1620" t="s">
        <v>33</v>
      </c>
      <c r="D1620" t="s">
        <v>2847</v>
      </c>
      <c r="E1620" t="s">
        <v>2893</v>
      </c>
      <c r="F1620" t="s">
        <v>87</v>
      </c>
      <c r="G1620" t="s">
        <v>3881</v>
      </c>
      <c r="H1620" t="s">
        <v>89</v>
      </c>
      <c r="I1620" t="s">
        <v>90</v>
      </c>
      <c r="J1620" t="s">
        <v>91</v>
      </c>
      <c r="K1620" t="s">
        <v>92</v>
      </c>
      <c r="L1620" t="s">
        <v>3882</v>
      </c>
      <c r="M1620" t="s">
        <v>94</v>
      </c>
      <c r="N1620" t="s">
        <v>3864</v>
      </c>
      <c r="O1620" t="s">
        <v>383</v>
      </c>
      <c r="P1620">
        <v>1E-3</v>
      </c>
      <c r="R1620" t="s">
        <v>3886</v>
      </c>
      <c r="S1620" t="s">
        <v>2864</v>
      </c>
      <c r="V1620" t="s">
        <v>2855</v>
      </c>
      <c r="W1620" t="s">
        <v>2898</v>
      </c>
      <c r="AD1620" t="s">
        <v>3872</v>
      </c>
    </row>
    <row r="1621" spans="1:32" x14ac:dyDescent="0.25">
      <c r="A1621" t="s">
        <v>33</v>
      </c>
      <c r="D1621" t="s">
        <v>2847</v>
      </c>
      <c r="E1621" t="s">
        <v>2893</v>
      </c>
      <c r="F1621" t="s">
        <v>87</v>
      </c>
      <c r="G1621" t="s">
        <v>3881</v>
      </c>
      <c r="H1621" t="s">
        <v>89</v>
      </c>
      <c r="I1621" t="s">
        <v>144</v>
      </c>
      <c r="J1621" t="s">
        <v>91</v>
      </c>
      <c r="K1621" t="s">
        <v>92</v>
      </c>
      <c r="L1621" t="s">
        <v>3882</v>
      </c>
      <c r="M1621" t="s">
        <v>94</v>
      </c>
      <c r="N1621" t="s">
        <v>3864</v>
      </c>
      <c r="O1621" t="s">
        <v>150</v>
      </c>
      <c r="P1621">
        <v>1E-3</v>
      </c>
      <c r="R1621" t="s">
        <v>3887</v>
      </c>
      <c r="S1621" t="s">
        <v>2864</v>
      </c>
      <c r="V1621" t="s">
        <v>2855</v>
      </c>
      <c r="W1621" t="s">
        <v>2898</v>
      </c>
      <c r="AD1621" t="s">
        <v>3874</v>
      </c>
    </row>
    <row r="1622" spans="1:32" x14ac:dyDescent="0.25">
      <c r="A1622" t="s">
        <v>33</v>
      </c>
      <c r="D1622" t="s">
        <v>2847</v>
      </c>
      <c r="E1622" t="s">
        <v>2893</v>
      </c>
      <c r="F1622" t="s">
        <v>87</v>
      </c>
      <c r="G1622" t="s">
        <v>3881</v>
      </c>
      <c r="H1622" t="s">
        <v>153</v>
      </c>
      <c r="I1622" t="s">
        <v>180</v>
      </c>
      <c r="J1622" t="s">
        <v>154</v>
      </c>
      <c r="K1622" t="s">
        <v>155</v>
      </c>
      <c r="L1622" t="s">
        <v>3882</v>
      </c>
      <c r="N1622" t="s">
        <v>3864</v>
      </c>
      <c r="O1622" t="s">
        <v>187</v>
      </c>
      <c r="R1622" t="s">
        <v>3888</v>
      </c>
      <c r="S1622" t="s">
        <v>2864</v>
      </c>
      <c r="V1622" t="s">
        <v>2855</v>
      </c>
      <c r="W1622" t="s">
        <v>2898</v>
      </c>
      <c r="AD1622" t="s">
        <v>3876</v>
      </c>
    </row>
    <row r="1623" spans="1:32" x14ac:dyDescent="0.25">
      <c r="A1623" t="s">
        <v>33</v>
      </c>
      <c r="D1623" t="s">
        <v>2847</v>
      </c>
      <c r="E1623" t="s">
        <v>2893</v>
      </c>
      <c r="F1623" t="s">
        <v>87</v>
      </c>
      <c r="G1623" t="s">
        <v>3881</v>
      </c>
      <c r="H1623" t="s">
        <v>89</v>
      </c>
      <c r="I1623" t="s">
        <v>180</v>
      </c>
      <c r="J1623" t="s">
        <v>91</v>
      </c>
      <c r="K1623" t="s">
        <v>92</v>
      </c>
      <c r="L1623" t="s">
        <v>3882</v>
      </c>
      <c r="M1623" t="s">
        <v>94</v>
      </c>
      <c r="N1623" t="s">
        <v>3864</v>
      </c>
      <c r="O1623" t="s">
        <v>184</v>
      </c>
      <c r="P1623">
        <v>1E-3</v>
      </c>
      <c r="R1623" t="s">
        <v>3889</v>
      </c>
      <c r="S1623" t="s">
        <v>2864</v>
      </c>
      <c r="V1623" t="s">
        <v>2855</v>
      </c>
      <c r="W1623" t="s">
        <v>2898</v>
      </c>
      <c r="AD1623" t="s">
        <v>3878</v>
      </c>
    </row>
    <row r="1624" spans="1:32" x14ac:dyDescent="0.25">
      <c r="A1624" t="s">
        <v>33</v>
      </c>
      <c r="D1624" t="s">
        <v>2847</v>
      </c>
      <c r="E1624" t="s">
        <v>2893</v>
      </c>
      <c r="F1624" t="s">
        <v>87</v>
      </c>
      <c r="G1624" t="s">
        <v>3881</v>
      </c>
      <c r="H1624" t="s">
        <v>38</v>
      </c>
      <c r="I1624" t="s">
        <v>106</v>
      </c>
      <c r="J1624" t="s">
        <v>40</v>
      </c>
      <c r="K1624" t="s">
        <v>41</v>
      </c>
      <c r="L1624" t="s">
        <v>3882</v>
      </c>
      <c r="M1624" t="s">
        <v>3327</v>
      </c>
      <c r="N1624" t="s">
        <v>3864</v>
      </c>
      <c r="O1624" t="s">
        <v>109</v>
      </c>
      <c r="R1624" t="s">
        <v>3890</v>
      </c>
      <c r="S1624" t="s">
        <v>2864</v>
      </c>
      <c r="V1624" t="s">
        <v>2855</v>
      </c>
      <c r="W1624" t="s">
        <v>2898</v>
      </c>
      <c r="X1624" t="s">
        <v>1193</v>
      </c>
      <c r="AD1624" t="s">
        <v>3880</v>
      </c>
    </row>
    <row r="1625" spans="1:32" x14ac:dyDescent="0.25">
      <c r="A1625" t="s">
        <v>33</v>
      </c>
      <c r="D1625" t="s">
        <v>2847</v>
      </c>
      <c r="E1625" t="s">
        <v>2859</v>
      </c>
      <c r="F1625" t="s">
        <v>87</v>
      </c>
      <c r="G1625" t="s">
        <v>3891</v>
      </c>
      <c r="H1625" t="s">
        <v>153</v>
      </c>
      <c r="I1625" t="s">
        <v>144</v>
      </c>
      <c r="J1625" t="s">
        <v>154</v>
      </c>
      <c r="K1625" t="s">
        <v>155</v>
      </c>
      <c r="L1625" t="s">
        <v>3892</v>
      </c>
      <c r="N1625" t="s">
        <v>3781</v>
      </c>
      <c r="O1625" t="s">
        <v>156</v>
      </c>
      <c r="R1625" t="s">
        <v>3893</v>
      </c>
      <c r="S1625" t="s">
        <v>2864</v>
      </c>
      <c r="V1625" t="s">
        <v>2855</v>
      </c>
      <c r="W1625" t="s">
        <v>2865</v>
      </c>
      <c r="AD1625" t="s">
        <v>3783</v>
      </c>
    </row>
    <row r="1626" spans="1:32" x14ac:dyDescent="0.25">
      <c r="A1626" t="s">
        <v>33</v>
      </c>
      <c r="D1626" t="s">
        <v>2847</v>
      </c>
      <c r="E1626" t="s">
        <v>2859</v>
      </c>
      <c r="F1626" t="s">
        <v>87</v>
      </c>
      <c r="G1626" t="s">
        <v>3891</v>
      </c>
      <c r="H1626" t="s">
        <v>153</v>
      </c>
      <c r="I1626" t="s">
        <v>90</v>
      </c>
      <c r="J1626" t="s">
        <v>154</v>
      </c>
      <c r="K1626" t="s">
        <v>155</v>
      </c>
      <c r="L1626" t="s">
        <v>3892</v>
      </c>
      <c r="N1626" t="s">
        <v>3781</v>
      </c>
      <c r="O1626" t="s">
        <v>386</v>
      </c>
      <c r="R1626" t="s">
        <v>3894</v>
      </c>
      <c r="S1626" t="s">
        <v>2864</v>
      </c>
      <c r="V1626" t="s">
        <v>2855</v>
      </c>
      <c r="W1626" t="s">
        <v>2865</v>
      </c>
      <c r="AC1626" t="s">
        <v>3895</v>
      </c>
      <c r="AD1626" t="s">
        <v>3786</v>
      </c>
      <c r="AE1626" t="s">
        <v>2890</v>
      </c>
      <c r="AF1626">
        <v>2</v>
      </c>
    </row>
    <row r="1627" spans="1:32" x14ac:dyDescent="0.25">
      <c r="A1627" t="s">
        <v>33</v>
      </c>
      <c r="D1627" t="s">
        <v>2847</v>
      </c>
      <c r="E1627" t="s">
        <v>2859</v>
      </c>
      <c r="F1627" t="s">
        <v>87</v>
      </c>
      <c r="G1627" t="s">
        <v>3891</v>
      </c>
      <c r="H1627" t="s">
        <v>89</v>
      </c>
      <c r="I1627" t="s">
        <v>90</v>
      </c>
      <c r="J1627" t="s">
        <v>91</v>
      </c>
      <c r="K1627" t="s">
        <v>92</v>
      </c>
      <c r="L1627" t="s">
        <v>3892</v>
      </c>
      <c r="M1627" t="s">
        <v>94</v>
      </c>
      <c r="N1627" t="s">
        <v>3781</v>
      </c>
      <c r="O1627" t="s">
        <v>383</v>
      </c>
      <c r="P1627">
        <v>1E-3</v>
      </c>
      <c r="R1627" t="s">
        <v>3896</v>
      </c>
      <c r="S1627" t="s">
        <v>2864</v>
      </c>
      <c r="V1627" t="s">
        <v>2855</v>
      </c>
      <c r="W1627" t="s">
        <v>2865</v>
      </c>
      <c r="AD1627" t="s">
        <v>3788</v>
      </c>
    </row>
    <row r="1628" spans="1:32" x14ac:dyDescent="0.25">
      <c r="A1628" t="s">
        <v>33</v>
      </c>
      <c r="D1628" t="s">
        <v>2847</v>
      </c>
      <c r="E1628" t="s">
        <v>2859</v>
      </c>
      <c r="F1628" t="s">
        <v>87</v>
      </c>
      <c r="G1628" t="s">
        <v>3891</v>
      </c>
      <c r="H1628" t="s">
        <v>89</v>
      </c>
      <c r="I1628" t="s">
        <v>144</v>
      </c>
      <c r="J1628" t="s">
        <v>91</v>
      </c>
      <c r="K1628" t="s">
        <v>92</v>
      </c>
      <c r="L1628" t="s">
        <v>3892</v>
      </c>
      <c r="M1628" t="s">
        <v>94</v>
      </c>
      <c r="N1628" t="s">
        <v>3781</v>
      </c>
      <c r="O1628" t="s">
        <v>150</v>
      </c>
      <c r="P1628">
        <v>1E-3</v>
      </c>
      <c r="R1628" t="s">
        <v>3897</v>
      </c>
      <c r="S1628" t="s">
        <v>2864</v>
      </c>
      <c r="V1628" t="s">
        <v>2855</v>
      </c>
      <c r="W1628" t="s">
        <v>2865</v>
      </c>
      <c r="AD1628" t="s">
        <v>3790</v>
      </c>
    </row>
    <row r="1629" spans="1:32" x14ac:dyDescent="0.25">
      <c r="A1629" t="s">
        <v>33</v>
      </c>
      <c r="D1629" t="s">
        <v>2847</v>
      </c>
      <c r="E1629" t="s">
        <v>2859</v>
      </c>
      <c r="F1629" t="s">
        <v>87</v>
      </c>
      <c r="G1629" t="s">
        <v>3891</v>
      </c>
      <c r="H1629" t="s">
        <v>153</v>
      </c>
      <c r="I1629" t="s">
        <v>180</v>
      </c>
      <c r="J1629" t="s">
        <v>154</v>
      </c>
      <c r="K1629" t="s">
        <v>155</v>
      </c>
      <c r="L1629" t="s">
        <v>3892</v>
      </c>
      <c r="N1629" t="s">
        <v>3781</v>
      </c>
      <c r="O1629" t="s">
        <v>187</v>
      </c>
      <c r="R1629" t="s">
        <v>3898</v>
      </c>
      <c r="S1629" t="s">
        <v>2864</v>
      </c>
      <c r="V1629" t="s">
        <v>2855</v>
      </c>
      <c r="W1629" t="s">
        <v>2865</v>
      </c>
      <c r="AD1629" t="s">
        <v>3792</v>
      </c>
    </row>
    <row r="1630" spans="1:32" x14ac:dyDescent="0.25">
      <c r="A1630" t="s">
        <v>33</v>
      </c>
      <c r="D1630" t="s">
        <v>2847</v>
      </c>
      <c r="E1630" t="s">
        <v>2859</v>
      </c>
      <c r="F1630" t="s">
        <v>87</v>
      </c>
      <c r="G1630" t="s">
        <v>3891</v>
      </c>
      <c r="H1630" t="s">
        <v>89</v>
      </c>
      <c r="I1630" t="s">
        <v>180</v>
      </c>
      <c r="J1630" t="s">
        <v>91</v>
      </c>
      <c r="K1630" t="s">
        <v>92</v>
      </c>
      <c r="L1630" t="s">
        <v>3892</v>
      </c>
      <c r="M1630" t="s">
        <v>94</v>
      </c>
      <c r="N1630" t="s">
        <v>3781</v>
      </c>
      <c r="O1630" t="s">
        <v>184</v>
      </c>
      <c r="P1630">
        <v>1E-3</v>
      </c>
      <c r="R1630" t="s">
        <v>3899</v>
      </c>
      <c r="S1630" t="s">
        <v>2864</v>
      </c>
      <c r="V1630" t="s">
        <v>2855</v>
      </c>
      <c r="W1630" t="s">
        <v>2865</v>
      </c>
      <c r="AD1630" t="s">
        <v>3794</v>
      </c>
    </row>
    <row r="1631" spans="1:32" x14ac:dyDescent="0.25">
      <c r="A1631" t="s">
        <v>33</v>
      </c>
      <c r="D1631" t="s">
        <v>2847</v>
      </c>
      <c r="E1631" t="s">
        <v>2859</v>
      </c>
      <c r="F1631" t="s">
        <v>87</v>
      </c>
      <c r="G1631" t="s">
        <v>3891</v>
      </c>
      <c r="H1631" t="s">
        <v>38</v>
      </c>
      <c r="I1631" t="s">
        <v>106</v>
      </c>
      <c r="J1631" t="s">
        <v>40</v>
      </c>
      <c r="K1631" t="s">
        <v>41</v>
      </c>
      <c r="L1631" t="s">
        <v>3892</v>
      </c>
      <c r="M1631" t="s">
        <v>3327</v>
      </c>
      <c r="N1631" t="s">
        <v>3781</v>
      </c>
      <c r="O1631" t="s">
        <v>109</v>
      </c>
      <c r="R1631" t="s">
        <v>3900</v>
      </c>
      <c r="S1631" t="s">
        <v>2864</v>
      </c>
      <c r="V1631" t="s">
        <v>2855</v>
      </c>
      <c r="W1631" t="s">
        <v>2865</v>
      </c>
      <c r="X1631" t="s">
        <v>1193</v>
      </c>
      <c r="AD1631" t="s">
        <v>3796</v>
      </c>
    </row>
    <row r="1632" spans="1:32" x14ac:dyDescent="0.25">
      <c r="A1632" t="s">
        <v>33</v>
      </c>
      <c r="D1632" t="s">
        <v>2847</v>
      </c>
      <c r="E1632" t="s">
        <v>2859</v>
      </c>
      <c r="F1632" t="s">
        <v>87</v>
      </c>
      <c r="G1632" t="s">
        <v>3901</v>
      </c>
      <c r="H1632" t="s">
        <v>153</v>
      </c>
      <c r="I1632" t="s">
        <v>144</v>
      </c>
      <c r="J1632" t="s">
        <v>154</v>
      </c>
      <c r="K1632" t="s">
        <v>155</v>
      </c>
      <c r="L1632" t="s">
        <v>3902</v>
      </c>
      <c r="N1632" t="s">
        <v>3799</v>
      </c>
      <c r="O1632" t="s">
        <v>156</v>
      </c>
      <c r="R1632" t="s">
        <v>3903</v>
      </c>
      <c r="S1632" t="s">
        <v>2864</v>
      </c>
      <c r="V1632" t="s">
        <v>2855</v>
      </c>
      <c r="W1632" t="s">
        <v>2865</v>
      </c>
      <c r="AD1632" t="s">
        <v>3801</v>
      </c>
    </row>
    <row r="1633" spans="1:32" x14ac:dyDescent="0.25">
      <c r="A1633" t="s">
        <v>33</v>
      </c>
      <c r="D1633" t="s">
        <v>2847</v>
      </c>
      <c r="E1633" t="s">
        <v>2859</v>
      </c>
      <c r="F1633" t="s">
        <v>87</v>
      </c>
      <c r="G1633" t="s">
        <v>3901</v>
      </c>
      <c r="H1633" t="s">
        <v>89</v>
      </c>
      <c r="I1633" t="s">
        <v>144</v>
      </c>
      <c r="J1633" t="s">
        <v>91</v>
      </c>
      <c r="K1633" t="s">
        <v>92</v>
      </c>
      <c r="L1633" t="s">
        <v>3902</v>
      </c>
      <c r="M1633" t="s">
        <v>94</v>
      </c>
      <c r="N1633" t="s">
        <v>3799</v>
      </c>
      <c r="O1633" t="s">
        <v>150</v>
      </c>
      <c r="P1633">
        <v>1E-3</v>
      </c>
      <c r="R1633" t="s">
        <v>3904</v>
      </c>
      <c r="S1633" t="s">
        <v>2864</v>
      </c>
      <c r="V1633" t="s">
        <v>2855</v>
      </c>
      <c r="W1633" t="s">
        <v>2865</v>
      </c>
      <c r="AD1633" t="s">
        <v>3803</v>
      </c>
    </row>
    <row r="1634" spans="1:32" x14ac:dyDescent="0.25">
      <c r="A1634" t="s">
        <v>33</v>
      </c>
      <c r="D1634" t="s">
        <v>2847</v>
      </c>
      <c r="E1634" t="s">
        <v>2859</v>
      </c>
      <c r="F1634" t="s">
        <v>87</v>
      </c>
      <c r="G1634" t="s">
        <v>3901</v>
      </c>
      <c r="H1634" t="s">
        <v>153</v>
      </c>
      <c r="I1634" t="s">
        <v>180</v>
      </c>
      <c r="J1634" t="s">
        <v>154</v>
      </c>
      <c r="K1634" t="s">
        <v>155</v>
      </c>
      <c r="L1634" t="s">
        <v>3902</v>
      </c>
      <c r="N1634" t="s">
        <v>3799</v>
      </c>
      <c r="O1634" t="s">
        <v>187</v>
      </c>
      <c r="R1634" t="s">
        <v>3905</v>
      </c>
      <c r="S1634" t="s">
        <v>2864</v>
      </c>
      <c r="V1634" t="s">
        <v>2855</v>
      </c>
      <c r="W1634" t="s">
        <v>2865</v>
      </c>
      <c r="AD1634" t="s">
        <v>3805</v>
      </c>
    </row>
    <row r="1635" spans="1:32" x14ac:dyDescent="0.25">
      <c r="A1635" t="s">
        <v>33</v>
      </c>
      <c r="D1635" t="s">
        <v>2847</v>
      </c>
      <c r="E1635" t="s">
        <v>2859</v>
      </c>
      <c r="F1635" t="s">
        <v>87</v>
      </c>
      <c r="G1635" t="s">
        <v>3901</v>
      </c>
      <c r="H1635" t="s">
        <v>89</v>
      </c>
      <c r="I1635" t="s">
        <v>180</v>
      </c>
      <c r="J1635" t="s">
        <v>91</v>
      </c>
      <c r="K1635" t="s">
        <v>92</v>
      </c>
      <c r="L1635" t="s">
        <v>3902</v>
      </c>
      <c r="M1635" t="s">
        <v>94</v>
      </c>
      <c r="N1635" t="s">
        <v>3799</v>
      </c>
      <c r="O1635" t="s">
        <v>184</v>
      </c>
      <c r="P1635">
        <v>1E-3</v>
      </c>
      <c r="R1635" t="s">
        <v>3906</v>
      </c>
      <c r="S1635" t="s">
        <v>2864</v>
      </c>
      <c r="V1635" t="s">
        <v>2855</v>
      </c>
      <c r="W1635" t="s">
        <v>2865</v>
      </c>
      <c r="AD1635" t="s">
        <v>3807</v>
      </c>
    </row>
    <row r="1636" spans="1:32" x14ac:dyDescent="0.25">
      <c r="A1636" t="s">
        <v>33</v>
      </c>
      <c r="D1636" t="s">
        <v>2847</v>
      </c>
      <c r="E1636" t="s">
        <v>2859</v>
      </c>
      <c r="F1636" t="s">
        <v>87</v>
      </c>
      <c r="G1636" t="s">
        <v>3901</v>
      </c>
      <c r="H1636" t="s">
        <v>38</v>
      </c>
      <c r="I1636" t="s">
        <v>106</v>
      </c>
      <c r="J1636" t="s">
        <v>40</v>
      </c>
      <c r="K1636" t="s">
        <v>41</v>
      </c>
      <c r="L1636" t="s">
        <v>3902</v>
      </c>
      <c r="M1636" t="s">
        <v>176</v>
      </c>
      <c r="N1636" t="s">
        <v>3799</v>
      </c>
      <c r="O1636" t="s">
        <v>109</v>
      </c>
      <c r="R1636" t="s">
        <v>3907</v>
      </c>
      <c r="S1636" t="s">
        <v>2864</v>
      </c>
      <c r="V1636" t="s">
        <v>2855</v>
      </c>
      <c r="W1636" t="s">
        <v>2865</v>
      </c>
      <c r="AD1636" t="s">
        <v>3809</v>
      </c>
    </row>
    <row r="1637" spans="1:32" x14ac:dyDescent="0.25">
      <c r="A1637" t="s">
        <v>33</v>
      </c>
      <c r="D1637" t="s">
        <v>2847</v>
      </c>
      <c r="E1637" t="s">
        <v>2859</v>
      </c>
      <c r="F1637" t="s">
        <v>87</v>
      </c>
      <c r="G1637" t="s">
        <v>3908</v>
      </c>
      <c r="H1637" t="s">
        <v>153</v>
      </c>
      <c r="I1637" t="s">
        <v>144</v>
      </c>
      <c r="J1637" t="s">
        <v>154</v>
      </c>
      <c r="K1637" t="s">
        <v>155</v>
      </c>
      <c r="L1637" t="s">
        <v>3909</v>
      </c>
      <c r="N1637" t="s">
        <v>3910</v>
      </c>
      <c r="O1637" t="s">
        <v>156</v>
      </c>
      <c r="R1637" t="s">
        <v>3911</v>
      </c>
      <c r="S1637" t="s">
        <v>2864</v>
      </c>
      <c r="V1637" t="s">
        <v>2855</v>
      </c>
      <c r="W1637" t="s">
        <v>2865</v>
      </c>
      <c r="AD1637" t="s">
        <v>3912</v>
      </c>
    </row>
    <row r="1638" spans="1:32" x14ac:dyDescent="0.25">
      <c r="A1638" t="s">
        <v>33</v>
      </c>
      <c r="D1638" t="s">
        <v>2847</v>
      </c>
      <c r="E1638" t="s">
        <v>2859</v>
      </c>
      <c r="F1638" t="s">
        <v>87</v>
      </c>
      <c r="G1638" t="s">
        <v>3908</v>
      </c>
      <c r="H1638" t="s">
        <v>153</v>
      </c>
      <c r="I1638" t="s">
        <v>90</v>
      </c>
      <c r="J1638" t="s">
        <v>154</v>
      </c>
      <c r="K1638" t="s">
        <v>155</v>
      </c>
      <c r="L1638" t="s">
        <v>3909</v>
      </c>
      <c r="N1638" t="s">
        <v>3910</v>
      </c>
      <c r="O1638" t="s">
        <v>386</v>
      </c>
      <c r="R1638" t="s">
        <v>3913</v>
      </c>
      <c r="S1638" t="s">
        <v>2864</v>
      </c>
      <c r="V1638" t="s">
        <v>2855</v>
      </c>
      <c r="W1638" t="s">
        <v>2865</v>
      </c>
      <c r="AC1638" t="s">
        <v>3914</v>
      </c>
      <c r="AD1638" t="s">
        <v>3915</v>
      </c>
      <c r="AE1638" t="s">
        <v>2890</v>
      </c>
      <c r="AF1638">
        <v>4</v>
      </c>
    </row>
    <row r="1639" spans="1:32" x14ac:dyDescent="0.25">
      <c r="A1639" t="s">
        <v>33</v>
      </c>
      <c r="D1639" t="s">
        <v>2847</v>
      </c>
      <c r="E1639" t="s">
        <v>2859</v>
      </c>
      <c r="F1639" t="s">
        <v>87</v>
      </c>
      <c r="G1639" t="s">
        <v>3908</v>
      </c>
      <c r="H1639" t="s">
        <v>89</v>
      </c>
      <c r="I1639" t="s">
        <v>90</v>
      </c>
      <c r="J1639" t="s">
        <v>91</v>
      </c>
      <c r="K1639" t="s">
        <v>92</v>
      </c>
      <c r="L1639" t="s">
        <v>3909</v>
      </c>
      <c r="M1639" t="s">
        <v>94</v>
      </c>
      <c r="N1639" t="s">
        <v>3910</v>
      </c>
      <c r="O1639" t="s">
        <v>383</v>
      </c>
      <c r="P1639">
        <v>1E-3</v>
      </c>
      <c r="R1639" t="s">
        <v>3916</v>
      </c>
      <c r="S1639" t="s">
        <v>2864</v>
      </c>
      <c r="V1639" t="s">
        <v>2855</v>
      </c>
      <c r="W1639" t="s">
        <v>2865</v>
      </c>
      <c r="AD1639" t="s">
        <v>3917</v>
      </c>
    </row>
    <row r="1640" spans="1:32" x14ac:dyDescent="0.25">
      <c r="A1640" t="s">
        <v>33</v>
      </c>
      <c r="D1640" t="s">
        <v>2847</v>
      </c>
      <c r="E1640" t="s">
        <v>2859</v>
      </c>
      <c r="F1640" t="s">
        <v>87</v>
      </c>
      <c r="G1640" t="s">
        <v>3908</v>
      </c>
      <c r="H1640" t="s">
        <v>89</v>
      </c>
      <c r="I1640" t="s">
        <v>144</v>
      </c>
      <c r="J1640" t="s">
        <v>91</v>
      </c>
      <c r="K1640" t="s">
        <v>92</v>
      </c>
      <c r="L1640" t="s">
        <v>3909</v>
      </c>
      <c r="M1640" t="s">
        <v>94</v>
      </c>
      <c r="N1640" t="s">
        <v>3910</v>
      </c>
      <c r="O1640" t="s">
        <v>150</v>
      </c>
      <c r="P1640">
        <v>1E-3</v>
      </c>
      <c r="R1640" t="s">
        <v>3918</v>
      </c>
      <c r="S1640" t="s">
        <v>2864</v>
      </c>
      <c r="V1640" t="s">
        <v>2855</v>
      </c>
      <c r="W1640" t="s">
        <v>2865</v>
      </c>
      <c r="AD1640" t="s">
        <v>3919</v>
      </c>
    </row>
    <row r="1641" spans="1:32" x14ac:dyDescent="0.25">
      <c r="A1641" t="s">
        <v>33</v>
      </c>
      <c r="D1641" t="s">
        <v>2847</v>
      </c>
      <c r="E1641" t="s">
        <v>2859</v>
      </c>
      <c r="F1641" t="s">
        <v>87</v>
      </c>
      <c r="G1641" t="s">
        <v>3908</v>
      </c>
      <c r="H1641" t="s">
        <v>153</v>
      </c>
      <c r="I1641" t="s">
        <v>180</v>
      </c>
      <c r="J1641" t="s">
        <v>154</v>
      </c>
      <c r="K1641" t="s">
        <v>155</v>
      </c>
      <c r="L1641" t="s">
        <v>3909</v>
      </c>
      <c r="N1641" t="s">
        <v>3910</v>
      </c>
      <c r="O1641" t="s">
        <v>187</v>
      </c>
      <c r="R1641" t="s">
        <v>3920</v>
      </c>
      <c r="S1641" t="s">
        <v>2864</v>
      </c>
      <c r="V1641" t="s">
        <v>2855</v>
      </c>
      <c r="W1641" t="s">
        <v>2865</v>
      </c>
      <c r="AD1641" t="s">
        <v>3921</v>
      </c>
    </row>
    <row r="1642" spans="1:32" x14ac:dyDescent="0.25">
      <c r="A1642" t="s">
        <v>33</v>
      </c>
      <c r="D1642" t="s">
        <v>2847</v>
      </c>
      <c r="E1642" t="s">
        <v>2859</v>
      </c>
      <c r="F1642" t="s">
        <v>87</v>
      </c>
      <c r="G1642" t="s">
        <v>3908</v>
      </c>
      <c r="H1642" t="s">
        <v>89</v>
      </c>
      <c r="I1642" t="s">
        <v>180</v>
      </c>
      <c r="J1642" t="s">
        <v>91</v>
      </c>
      <c r="K1642" t="s">
        <v>92</v>
      </c>
      <c r="L1642" t="s">
        <v>3909</v>
      </c>
      <c r="M1642" t="s">
        <v>94</v>
      </c>
      <c r="N1642" t="s">
        <v>3910</v>
      </c>
      <c r="O1642" t="s">
        <v>184</v>
      </c>
      <c r="P1642">
        <v>1E-3</v>
      </c>
      <c r="R1642" t="s">
        <v>3922</v>
      </c>
      <c r="S1642" t="s">
        <v>2864</v>
      </c>
      <c r="V1642" t="s">
        <v>2855</v>
      </c>
      <c r="W1642" t="s">
        <v>2865</v>
      </c>
      <c r="AD1642" t="s">
        <v>3923</v>
      </c>
    </row>
    <row r="1643" spans="1:32" x14ac:dyDescent="0.25">
      <c r="A1643" t="s">
        <v>33</v>
      </c>
      <c r="D1643" t="s">
        <v>2847</v>
      </c>
      <c r="E1643" t="s">
        <v>2893</v>
      </c>
      <c r="F1643" t="s">
        <v>866</v>
      </c>
      <c r="G1643" t="s">
        <v>3675</v>
      </c>
      <c r="H1643" t="s">
        <v>166</v>
      </c>
      <c r="I1643" t="s">
        <v>216</v>
      </c>
      <c r="J1643" t="s">
        <v>167</v>
      </c>
      <c r="K1643" t="s">
        <v>41</v>
      </c>
      <c r="L1643" t="s">
        <v>3676</v>
      </c>
      <c r="N1643" t="s">
        <v>3677</v>
      </c>
      <c r="O1643" t="s">
        <v>872</v>
      </c>
      <c r="Q1643" t="s">
        <v>1275</v>
      </c>
      <c r="R1643" t="s">
        <v>3924</v>
      </c>
      <c r="S1643" t="s">
        <v>2864</v>
      </c>
      <c r="V1643" t="s">
        <v>2855</v>
      </c>
      <c r="W1643" t="s">
        <v>2898</v>
      </c>
      <c r="AD1643" t="s">
        <v>3925</v>
      </c>
    </row>
    <row r="1644" spans="1:32" x14ac:dyDescent="0.25">
      <c r="A1644" t="s">
        <v>33</v>
      </c>
      <c r="D1644" t="s">
        <v>2847</v>
      </c>
      <c r="E1644" t="s">
        <v>2893</v>
      </c>
      <c r="F1644" t="s">
        <v>866</v>
      </c>
      <c r="G1644" t="s">
        <v>3675</v>
      </c>
      <c r="H1644" t="s">
        <v>166</v>
      </c>
      <c r="I1644" t="s">
        <v>281</v>
      </c>
      <c r="J1644" t="s">
        <v>167</v>
      </c>
      <c r="K1644" t="s">
        <v>41</v>
      </c>
      <c r="L1644" t="s">
        <v>3676</v>
      </c>
      <c r="N1644" t="s">
        <v>3677</v>
      </c>
      <c r="O1644" t="s">
        <v>858</v>
      </c>
      <c r="Q1644" t="s">
        <v>2536</v>
      </c>
      <c r="R1644" t="s">
        <v>3926</v>
      </c>
      <c r="S1644" t="s">
        <v>2864</v>
      </c>
      <c r="V1644" t="s">
        <v>2855</v>
      </c>
      <c r="W1644" t="s">
        <v>2898</v>
      </c>
      <c r="AD1644" t="s">
        <v>3927</v>
      </c>
    </row>
    <row r="1645" spans="1:32" x14ac:dyDescent="0.25">
      <c r="A1645" t="s">
        <v>33</v>
      </c>
      <c r="D1645" t="s">
        <v>2847</v>
      </c>
      <c r="E1645" t="s">
        <v>2859</v>
      </c>
      <c r="F1645" t="s">
        <v>87</v>
      </c>
      <c r="G1645" t="s">
        <v>3908</v>
      </c>
      <c r="H1645" t="s">
        <v>38</v>
      </c>
      <c r="I1645" t="s">
        <v>106</v>
      </c>
      <c r="J1645" t="s">
        <v>40</v>
      </c>
      <c r="K1645" t="s">
        <v>41</v>
      </c>
      <c r="L1645" t="s">
        <v>3909</v>
      </c>
      <c r="M1645" t="s">
        <v>3327</v>
      </c>
      <c r="N1645" t="s">
        <v>3910</v>
      </c>
      <c r="O1645" t="s">
        <v>109</v>
      </c>
      <c r="R1645" t="s">
        <v>3928</v>
      </c>
      <c r="S1645" t="s">
        <v>2864</v>
      </c>
      <c r="V1645" t="s">
        <v>2855</v>
      </c>
      <c r="W1645" t="s">
        <v>2865</v>
      </c>
      <c r="X1645" t="s">
        <v>1193</v>
      </c>
      <c r="AD1645" t="s">
        <v>3929</v>
      </c>
    </row>
    <row r="1646" spans="1:32" x14ac:dyDescent="0.25">
      <c r="A1646" t="s">
        <v>33</v>
      </c>
      <c r="D1646" t="s">
        <v>2847</v>
      </c>
      <c r="E1646" t="s">
        <v>2859</v>
      </c>
      <c r="F1646" t="s">
        <v>87</v>
      </c>
      <c r="G1646" t="s">
        <v>3930</v>
      </c>
      <c r="H1646" t="s">
        <v>38</v>
      </c>
      <c r="I1646" t="s">
        <v>106</v>
      </c>
      <c r="J1646" t="s">
        <v>40</v>
      </c>
      <c r="K1646" t="s">
        <v>41</v>
      </c>
      <c r="L1646" t="s">
        <v>3931</v>
      </c>
      <c r="M1646" t="s">
        <v>176</v>
      </c>
      <c r="N1646" t="s">
        <v>3932</v>
      </c>
      <c r="O1646" t="s">
        <v>109</v>
      </c>
      <c r="R1646" t="s">
        <v>3933</v>
      </c>
      <c r="S1646" t="s">
        <v>2864</v>
      </c>
      <c r="V1646" t="s">
        <v>2855</v>
      </c>
      <c r="W1646" t="s">
        <v>2865</v>
      </c>
      <c r="AD1646" t="s">
        <v>3934</v>
      </c>
    </row>
    <row r="1647" spans="1:32" x14ac:dyDescent="0.25">
      <c r="A1647" t="s">
        <v>33</v>
      </c>
      <c r="D1647" t="s">
        <v>2847</v>
      </c>
      <c r="E1647" t="s">
        <v>2859</v>
      </c>
      <c r="F1647" t="s">
        <v>87</v>
      </c>
      <c r="G1647" t="s">
        <v>2884</v>
      </c>
      <c r="H1647" t="s">
        <v>143</v>
      </c>
      <c r="I1647" t="s">
        <v>90</v>
      </c>
      <c r="J1647" t="s">
        <v>145</v>
      </c>
      <c r="K1647" t="s">
        <v>146</v>
      </c>
      <c r="L1647" t="s">
        <v>2885</v>
      </c>
      <c r="M1647" t="s">
        <v>3327</v>
      </c>
      <c r="N1647" t="s">
        <v>2886</v>
      </c>
      <c r="O1647" t="s">
        <v>380</v>
      </c>
      <c r="R1647" t="s">
        <v>3935</v>
      </c>
      <c r="S1647" t="s">
        <v>2864</v>
      </c>
      <c r="V1647" t="s">
        <v>2855</v>
      </c>
      <c r="W1647" t="s">
        <v>2865</v>
      </c>
      <c r="X1647" t="s">
        <v>1193</v>
      </c>
      <c r="AD1647" t="s">
        <v>3936</v>
      </c>
    </row>
    <row r="1648" spans="1:32" x14ac:dyDescent="0.25">
      <c r="A1648" t="s">
        <v>33</v>
      </c>
      <c r="D1648" t="s">
        <v>2847</v>
      </c>
      <c r="E1648" t="s">
        <v>2859</v>
      </c>
      <c r="F1648" t="s">
        <v>87</v>
      </c>
      <c r="G1648" t="s">
        <v>2884</v>
      </c>
      <c r="H1648" t="s">
        <v>143</v>
      </c>
      <c r="I1648" t="s">
        <v>144</v>
      </c>
      <c r="J1648" t="s">
        <v>145</v>
      </c>
      <c r="K1648" t="s">
        <v>146</v>
      </c>
      <c r="L1648" t="s">
        <v>2885</v>
      </c>
      <c r="M1648" t="s">
        <v>3327</v>
      </c>
      <c r="N1648" t="s">
        <v>2886</v>
      </c>
      <c r="O1648" t="s">
        <v>147</v>
      </c>
      <c r="R1648" t="s">
        <v>3937</v>
      </c>
      <c r="S1648" t="s">
        <v>2864</v>
      </c>
      <c r="V1648" t="s">
        <v>2855</v>
      </c>
      <c r="W1648" t="s">
        <v>2865</v>
      </c>
      <c r="X1648" t="s">
        <v>1193</v>
      </c>
      <c r="AD1648" t="s">
        <v>3938</v>
      </c>
    </row>
    <row r="1649" spans="1:32" x14ac:dyDescent="0.25">
      <c r="A1649" t="s">
        <v>33</v>
      </c>
      <c r="D1649" t="s">
        <v>2847</v>
      </c>
      <c r="E1649" t="s">
        <v>2859</v>
      </c>
      <c r="F1649" t="s">
        <v>87</v>
      </c>
      <c r="G1649" t="s">
        <v>3939</v>
      </c>
      <c r="H1649" t="s">
        <v>153</v>
      </c>
      <c r="I1649" t="s">
        <v>100</v>
      </c>
      <c r="J1649" t="s">
        <v>154</v>
      </c>
      <c r="K1649" t="s">
        <v>155</v>
      </c>
      <c r="L1649" t="s">
        <v>3940</v>
      </c>
      <c r="N1649" t="s">
        <v>3941</v>
      </c>
      <c r="O1649" t="s">
        <v>213</v>
      </c>
      <c r="R1649" t="s">
        <v>3942</v>
      </c>
      <c r="S1649" t="s">
        <v>2864</v>
      </c>
      <c r="V1649" t="s">
        <v>2855</v>
      </c>
      <c r="W1649" t="s">
        <v>2865</v>
      </c>
      <c r="AD1649" t="s">
        <v>3943</v>
      </c>
    </row>
    <row r="1650" spans="1:32" x14ac:dyDescent="0.25">
      <c r="A1650" t="s">
        <v>33</v>
      </c>
      <c r="D1650" t="s">
        <v>2847</v>
      </c>
      <c r="E1650" t="s">
        <v>2859</v>
      </c>
      <c r="F1650" t="s">
        <v>87</v>
      </c>
      <c r="G1650" t="s">
        <v>3939</v>
      </c>
      <c r="H1650" t="s">
        <v>89</v>
      </c>
      <c r="I1650" t="s">
        <v>100</v>
      </c>
      <c r="J1650" t="s">
        <v>91</v>
      </c>
      <c r="K1650" t="s">
        <v>92</v>
      </c>
      <c r="L1650" t="s">
        <v>3940</v>
      </c>
      <c r="M1650" t="s">
        <v>94</v>
      </c>
      <c r="N1650" t="s">
        <v>3941</v>
      </c>
      <c r="O1650" t="s">
        <v>96</v>
      </c>
      <c r="P1650">
        <v>1E-3</v>
      </c>
      <c r="R1650" t="s">
        <v>3944</v>
      </c>
      <c r="S1650" t="s">
        <v>2864</v>
      </c>
      <c r="V1650" t="s">
        <v>2855</v>
      </c>
      <c r="W1650" t="s">
        <v>2865</v>
      </c>
      <c r="AD1650" t="s">
        <v>3945</v>
      </c>
    </row>
    <row r="1651" spans="1:32" x14ac:dyDescent="0.25">
      <c r="A1651" t="s">
        <v>33</v>
      </c>
      <c r="D1651" t="s">
        <v>2847</v>
      </c>
      <c r="E1651" t="s">
        <v>2859</v>
      </c>
      <c r="F1651" t="s">
        <v>87</v>
      </c>
      <c r="G1651" t="s">
        <v>3946</v>
      </c>
      <c r="H1651" t="s">
        <v>153</v>
      </c>
      <c r="I1651" t="s">
        <v>90</v>
      </c>
      <c r="J1651" t="s">
        <v>154</v>
      </c>
      <c r="K1651" t="s">
        <v>155</v>
      </c>
      <c r="L1651" t="s">
        <v>3947</v>
      </c>
      <c r="N1651" t="s">
        <v>3948</v>
      </c>
      <c r="O1651" t="s">
        <v>213</v>
      </c>
      <c r="R1651" t="s">
        <v>3949</v>
      </c>
      <c r="S1651" t="s">
        <v>2864</v>
      </c>
      <c r="V1651" t="s">
        <v>2855</v>
      </c>
      <c r="W1651" t="s">
        <v>2865</v>
      </c>
      <c r="AD1651" t="s">
        <v>3950</v>
      </c>
    </row>
    <row r="1652" spans="1:32" x14ac:dyDescent="0.25">
      <c r="A1652" t="s">
        <v>33</v>
      </c>
      <c r="D1652" t="s">
        <v>2847</v>
      </c>
      <c r="E1652" t="s">
        <v>2859</v>
      </c>
      <c r="F1652" t="s">
        <v>87</v>
      </c>
      <c r="G1652" t="s">
        <v>3946</v>
      </c>
      <c r="H1652" t="s">
        <v>89</v>
      </c>
      <c r="I1652" t="s">
        <v>90</v>
      </c>
      <c r="J1652" t="s">
        <v>91</v>
      </c>
      <c r="K1652" t="s">
        <v>92</v>
      </c>
      <c r="L1652" t="s">
        <v>3947</v>
      </c>
      <c r="M1652" t="s">
        <v>94</v>
      </c>
      <c r="N1652" t="s">
        <v>3948</v>
      </c>
      <c r="O1652" t="s">
        <v>96</v>
      </c>
      <c r="P1652">
        <v>1E-3</v>
      </c>
      <c r="R1652" t="s">
        <v>3951</v>
      </c>
      <c r="S1652" t="s">
        <v>2864</v>
      </c>
      <c r="V1652" t="s">
        <v>2855</v>
      </c>
      <c r="W1652" t="s">
        <v>2865</v>
      </c>
      <c r="AD1652" t="s">
        <v>3952</v>
      </c>
    </row>
    <row r="1653" spans="1:32" x14ac:dyDescent="0.25">
      <c r="A1653" t="s">
        <v>33</v>
      </c>
      <c r="D1653" t="s">
        <v>2847</v>
      </c>
      <c r="E1653" t="s">
        <v>2859</v>
      </c>
      <c r="F1653" t="s">
        <v>87</v>
      </c>
      <c r="G1653" t="s">
        <v>3953</v>
      </c>
      <c r="H1653" t="s">
        <v>153</v>
      </c>
      <c r="I1653" t="s">
        <v>144</v>
      </c>
      <c r="J1653" t="s">
        <v>154</v>
      </c>
      <c r="K1653" t="s">
        <v>155</v>
      </c>
      <c r="L1653" t="s">
        <v>3954</v>
      </c>
      <c r="N1653" t="s">
        <v>3955</v>
      </c>
      <c r="O1653" t="s">
        <v>156</v>
      </c>
      <c r="R1653" t="s">
        <v>3956</v>
      </c>
      <c r="S1653" t="s">
        <v>2864</v>
      </c>
      <c r="V1653" t="s">
        <v>2855</v>
      </c>
      <c r="W1653" t="s">
        <v>2865</v>
      </c>
      <c r="AD1653" t="s">
        <v>3957</v>
      </c>
    </row>
    <row r="1654" spans="1:32" x14ac:dyDescent="0.25">
      <c r="A1654" t="s">
        <v>33</v>
      </c>
      <c r="D1654" t="s">
        <v>2847</v>
      </c>
      <c r="E1654" t="s">
        <v>2859</v>
      </c>
      <c r="F1654" t="s">
        <v>87</v>
      </c>
      <c r="G1654" t="s">
        <v>3953</v>
      </c>
      <c r="H1654" t="s">
        <v>153</v>
      </c>
      <c r="I1654" t="s">
        <v>90</v>
      </c>
      <c r="J1654" t="s">
        <v>154</v>
      </c>
      <c r="K1654" t="s">
        <v>155</v>
      </c>
      <c r="L1654" t="s">
        <v>3954</v>
      </c>
      <c r="N1654" t="s">
        <v>3955</v>
      </c>
      <c r="O1654" t="s">
        <v>386</v>
      </c>
      <c r="R1654" t="s">
        <v>3958</v>
      </c>
      <c r="S1654" t="s">
        <v>2864</v>
      </c>
      <c r="V1654" t="s">
        <v>2855</v>
      </c>
      <c r="W1654" t="s">
        <v>2865</v>
      </c>
      <c r="AC1654" t="s">
        <v>3959</v>
      </c>
      <c r="AD1654" t="s">
        <v>3960</v>
      </c>
      <c r="AE1654" t="s">
        <v>2890</v>
      </c>
      <c r="AF1654">
        <v>5</v>
      </c>
    </row>
    <row r="1655" spans="1:32" x14ac:dyDescent="0.25">
      <c r="A1655" t="s">
        <v>33</v>
      </c>
      <c r="D1655" t="s">
        <v>2847</v>
      </c>
      <c r="E1655" t="s">
        <v>2859</v>
      </c>
      <c r="F1655" t="s">
        <v>87</v>
      </c>
      <c r="G1655" t="s">
        <v>3953</v>
      </c>
      <c r="H1655" t="s">
        <v>89</v>
      </c>
      <c r="I1655" t="s">
        <v>90</v>
      </c>
      <c r="J1655" t="s">
        <v>91</v>
      </c>
      <c r="K1655" t="s">
        <v>92</v>
      </c>
      <c r="L1655" t="s">
        <v>3954</v>
      </c>
      <c r="M1655" t="s">
        <v>94</v>
      </c>
      <c r="N1655" t="s">
        <v>3955</v>
      </c>
      <c r="O1655" t="s">
        <v>383</v>
      </c>
      <c r="P1655">
        <v>1E-3</v>
      </c>
      <c r="R1655" t="s">
        <v>3961</v>
      </c>
      <c r="S1655" t="s">
        <v>2864</v>
      </c>
      <c r="V1655" t="s">
        <v>2855</v>
      </c>
      <c r="W1655" t="s">
        <v>2865</v>
      </c>
      <c r="AD1655" t="s">
        <v>3962</v>
      </c>
    </row>
    <row r="1656" spans="1:32" x14ac:dyDescent="0.25">
      <c r="A1656" t="s">
        <v>33</v>
      </c>
      <c r="D1656" t="s">
        <v>2847</v>
      </c>
      <c r="E1656" t="s">
        <v>2859</v>
      </c>
      <c r="F1656" t="s">
        <v>87</v>
      </c>
      <c r="G1656" t="s">
        <v>3953</v>
      </c>
      <c r="H1656" t="s">
        <v>89</v>
      </c>
      <c r="I1656" t="s">
        <v>144</v>
      </c>
      <c r="J1656" t="s">
        <v>91</v>
      </c>
      <c r="K1656" t="s">
        <v>92</v>
      </c>
      <c r="L1656" t="s">
        <v>3954</v>
      </c>
      <c r="M1656" t="s">
        <v>94</v>
      </c>
      <c r="N1656" t="s">
        <v>3955</v>
      </c>
      <c r="O1656" t="s">
        <v>150</v>
      </c>
      <c r="P1656">
        <v>1E-3</v>
      </c>
      <c r="R1656" t="s">
        <v>3963</v>
      </c>
      <c r="S1656" t="s">
        <v>2864</v>
      </c>
      <c r="V1656" t="s">
        <v>2855</v>
      </c>
      <c r="W1656" t="s">
        <v>2865</v>
      </c>
      <c r="AD1656" t="s">
        <v>3964</v>
      </c>
    </row>
    <row r="1657" spans="1:32" x14ac:dyDescent="0.25">
      <c r="A1657" t="s">
        <v>33</v>
      </c>
      <c r="D1657" t="s">
        <v>2847</v>
      </c>
      <c r="E1657" t="s">
        <v>2859</v>
      </c>
      <c r="F1657" t="s">
        <v>87</v>
      </c>
      <c r="G1657" t="s">
        <v>3953</v>
      </c>
      <c r="H1657" t="s">
        <v>153</v>
      </c>
      <c r="I1657" t="s">
        <v>180</v>
      </c>
      <c r="J1657" t="s">
        <v>154</v>
      </c>
      <c r="K1657" t="s">
        <v>155</v>
      </c>
      <c r="L1657" t="s">
        <v>3954</v>
      </c>
      <c r="N1657" t="s">
        <v>3955</v>
      </c>
      <c r="O1657" t="s">
        <v>187</v>
      </c>
      <c r="R1657" t="s">
        <v>3965</v>
      </c>
      <c r="S1657" t="s">
        <v>2864</v>
      </c>
      <c r="V1657" t="s">
        <v>2855</v>
      </c>
      <c r="W1657" t="s">
        <v>2865</v>
      </c>
      <c r="AD1657" t="s">
        <v>3966</v>
      </c>
    </row>
    <row r="1658" spans="1:32" x14ac:dyDescent="0.25">
      <c r="A1658" t="s">
        <v>33</v>
      </c>
      <c r="D1658" t="s">
        <v>2847</v>
      </c>
      <c r="E1658" t="s">
        <v>2859</v>
      </c>
      <c r="F1658" t="s">
        <v>87</v>
      </c>
      <c r="G1658" t="s">
        <v>3953</v>
      </c>
      <c r="H1658" t="s">
        <v>89</v>
      </c>
      <c r="I1658" t="s">
        <v>180</v>
      </c>
      <c r="J1658" t="s">
        <v>91</v>
      </c>
      <c r="K1658" t="s">
        <v>92</v>
      </c>
      <c r="L1658" t="s">
        <v>3954</v>
      </c>
      <c r="M1658" t="s">
        <v>94</v>
      </c>
      <c r="N1658" t="s">
        <v>3955</v>
      </c>
      <c r="O1658" t="s">
        <v>184</v>
      </c>
      <c r="P1658">
        <v>1E-3</v>
      </c>
      <c r="R1658" t="s">
        <v>3967</v>
      </c>
      <c r="S1658" t="s">
        <v>2864</v>
      </c>
      <c r="V1658" t="s">
        <v>2855</v>
      </c>
      <c r="W1658" t="s">
        <v>2865</v>
      </c>
      <c r="AD1658" t="s">
        <v>3968</v>
      </c>
    </row>
    <row r="1659" spans="1:32" x14ac:dyDescent="0.25">
      <c r="A1659" t="s">
        <v>33</v>
      </c>
      <c r="D1659" t="s">
        <v>2847</v>
      </c>
      <c r="E1659" t="s">
        <v>2859</v>
      </c>
      <c r="F1659" t="s">
        <v>87</v>
      </c>
      <c r="G1659" t="s">
        <v>3953</v>
      </c>
      <c r="H1659" t="s">
        <v>38</v>
      </c>
      <c r="I1659" t="s">
        <v>106</v>
      </c>
      <c r="J1659" t="s">
        <v>40</v>
      </c>
      <c r="K1659" t="s">
        <v>41</v>
      </c>
      <c r="L1659" t="s">
        <v>3954</v>
      </c>
      <c r="M1659" t="s">
        <v>3327</v>
      </c>
      <c r="N1659" t="s">
        <v>3955</v>
      </c>
      <c r="O1659" t="s">
        <v>109</v>
      </c>
      <c r="R1659" t="s">
        <v>3969</v>
      </c>
      <c r="S1659" t="s">
        <v>2864</v>
      </c>
      <c r="V1659" t="s">
        <v>2855</v>
      </c>
      <c r="W1659" t="s">
        <v>2865</v>
      </c>
      <c r="X1659" t="s">
        <v>1193</v>
      </c>
      <c r="AD1659" t="s">
        <v>3970</v>
      </c>
    </row>
    <row r="1660" spans="1:32" x14ac:dyDescent="0.25">
      <c r="A1660" t="s">
        <v>33</v>
      </c>
      <c r="D1660" t="s">
        <v>2847</v>
      </c>
      <c r="E1660" t="s">
        <v>2893</v>
      </c>
      <c r="F1660" t="s">
        <v>87</v>
      </c>
      <c r="G1660" t="s">
        <v>2906</v>
      </c>
      <c r="H1660" t="s">
        <v>38</v>
      </c>
      <c r="I1660" t="s">
        <v>106</v>
      </c>
      <c r="J1660" t="s">
        <v>40</v>
      </c>
      <c r="K1660" t="s">
        <v>41</v>
      </c>
      <c r="L1660" t="s">
        <v>2907</v>
      </c>
      <c r="M1660" t="s">
        <v>3327</v>
      </c>
      <c r="N1660" t="s">
        <v>2195</v>
      </c>
      <c r="O1660" t="s">
        <v>109</v>
      </c>
      <c r="R1660" t="s">
        <v>3971</v>
      </c>
      <c r="S1660" t="s">
        <v>2864</v>
      </c>
      <c r="V1660" t="s">
        <v>2855</v>
      </c>
      <c r="W1660" t="s">
        <v>2898</v>
      </c>
      <c r="X1660" t="s">
        <v>1193</v>
      </c>
      <c r="AD1660" t="s">
        <v>2199</v>
      </c>
    </row>
    <row r="1661" spans="1:32" x14ac:dyDescent="0.25">
      <c r="A1661" t="s">
        <v>33</v>
      </c>
      <c r="D1661" t="s">
        <v>2847</v>
      </c>
      <c r="E1661" t="s">
        <v>2859</v>
      </c>
      <c r="F1661" t="s">
        <v>87</v>
      </c>
      <c r="G1661" t="s">
        <v>2884</v>
      </c>
      <c r="H1661" t="s">
        <v>38</v>
      </c>
      <c r="I1661" t="s">
        <v>106</v>
      </c>
      <c r="J1661" t="s">
        <v>40</v>
      </c>
      <c r="K1661" t="s">
        <v>41</v>
      </c>
      <c r="L1661" t="s">
        <v>2885</v>
      </c>
      <c r="M1661" t="s">
        <v>3327</v>
      </c>
      <c r="N1661" t="s">
        <v>2886</v>
      </c>
      <c r="O1661" t="s">
        <v>109</v>
      </c>
      <c r="R1661" t="s">
        <v>3972</v>
      </c>
      <c r="S1661" t="s">
        <v>2864</v>
      </c>
      <c r="V1661" t="s">
        <v>2855</v>
      </c>
      <c r="W1661" t="s">
        <v>2865</v>
      </c>
      <c r="X1661" t="s">
        <v>1193</v>
      </c>
      <c r="AD1661" t="s">
        <v>3973</v>
      </c>
    </row>
    <row r="1662" spans="1:32" x14ac:dyDescent="0.25">
      <c r="A1662" t="s">
        <v>33</v>
      </c>
      <c r="D1662" t="s">
        <v>2847</v>
      </c>
      <c r="E1662" t="s">
        <v>2848</v>
      </c>
      <c r="F1662" t="s">
        <v>87</v>
      </c>
      <c r="G1662" t="s">
        <v>3974</v>
      </c>
      <c r="H1662" t="s">
        <v>166</v>
      </c>
      <c r="I1662" t="s">
        <v>216</v>
      </c>
      <c r="J1662" t="s">
        <v>167</v>
      </c>
      <c r="K1662" t="s">
        <v>41</v>
      </c>
      <c r="L1662" t="s">
        <v>3975</v>
      </c>
      <c r="N1662" t="s">
        <v>3976</v>
      </c>
      <c r="O1662" t="s">
        <v>217</v>
      </c>
      <c r="Q1662" t="s">
        <v>3977</v>
      </c>
      <c r="R1662" t="s">
        <v>3978</v>
      </c>
      <c r="S1662" t="s">
        <v>2882</v>
      </c>
      <c r="V1662" t="s">
        <v>2855</v>
      </c>
      <c r="W1662" t="s">
        <v>2856</v>
      </c>
      <c r="AD1662" t="s">
        <v>3979</v>
      </c>
    </row>
    <row r="1663" spans="1:32" x14ac:dyDescent="0.25">
      <c r="A1663" t="s">
        <v>33</v>
      </c>
      <c r="D1663" t="s">
        <v>2847</v>
      </c>
      <c r="E1663" t="s">
        <v>2848</v>
      </c>
      <c r="F1663" t="s">
        <v>87</v>
      </c>
      <c r="G1663" t="s">
        <v>3666</v>
      </c>
      <c r="H1663" t="s">
        <v>143</v>
      </c>
      <c r="I1663" t="s">
        <v>144</v>
      </c>
      <c r="J1663" t="s">
        <v>145</v>
      </c>
      <c r="K1663" t="s">
        <v>262</v>
      </c>
      <c r="L1663" t="s">
        <v>3667</v>
      </c>
      <c r="M1663" t="s">
        <v>252</v>
      </c>
      <c r="N1663" t="s">
        <v>3668</v>
      </c>
      <c r="O1663" t="s">
        <v>147</v>
      </c>
      <c r="R1663" t="s">
        <v>3980</v>
      </c>
      <c r="S1663" t="s">
        <v>2854</v>
      </c>
      <c r="V1663" t="s">
        <v>2855</v>
      </c>
      <c r="W1663" t="s">
        <v>2856</v>
      </c>
      <c r="AD1663" t="s">
        <v>3674</v>
      </c>
    </row>
    <row r="1664" spans="1:32" x14ac:dyDescent="0.25">
      <c r="A1664" t="s">
        <v>33</v>
      </c>
      <c r="D1664" t="s">
        <v>2847</v>
      </c>
      <c r="E1664" t="s">
        <v>2848</v>
      </c>
      <c r="F1664" t="s">
        <v>87</v>
      </c>
      <c r="G1664" t="s">
        <v>3666</v>
      </c>
      <c r="H1664" t="s">
        <v>153</v>
      </c>
      <c r="I1664" t="s">
        <v>90</v>
      </c>
      <c r="J1664" t="s">
        <v>154</v>
      </c>
      <c r="K1664" t="s">
        <v>155</v>
      </c>
      <c r="L1664" t="s">
        <v>3667</v>
      </c>
      <c r="N1664" t="s">
        <v>3668</v>
      </c>
      <c r="O1664" t="s">
        <v>386</v>
      </c>
      <c r="R1664" t="s">
        <v>3981</v>
      </c>
      <c r="S1664" t="s">
        <v>2854</v>
      </c>
      <c r="V1664" t="s">
        <v>2855</v>
      </c>
      <c r="W1664" t="s">
        <v>2856</v>
      </c>
      <c r="AC1664" t="s">
        <v>3982</v>
      </c>
      <c r="AD1664" t="s">
        <v>3983</v>
      </c>
      <c r="AE1664" t="s">
        <v>3189</v>
      </c>
      <c r="AF1664">
        <v>2</v>
      </c>
    </row>
    <row r="1665" spans="1:30" x14ac:dyDescent="0.25">
      <c r="A1665" t="s">
        <v>33</v>
      </c>
      <c r="D1665" t="s">
        <v>2847</v>
      </c>
      <c r="E1665" t="s">
        <v>2859</v>
      </c>
      <c r="F1665" t="s">
        <v>87</v>
      </c>
      <c r="G1665" t="s">
        <v>3779</v>
      </c>
      <c r="H1665" t="s">
        <v>38</v>
      </c>
      <c r="I1665" t="s">
        <v>25</v>
      </c>
      <c r="J1665" t="s">
        <v>69</v>
      </c>
      <c r="K1665" t="s">
        <v>41</v>
      </c>
      <c r="L1665" t="s">
        <v>3780</v>
      </c>
      <c r="M1665" t="s">
        <v>3327</v>
      </c>
      <c r="N1665" t="s">
        <v>3781</v>
      </c>
      <c r="O1665" t="s">
        <v>512</v>
      </c>
      <c r="R1665" t="s">
        <v>3984</v>
      </c>
      <c r="S1665" t="s">
        <v>2864</v>
      </c>
      <c r="V1665" t="s">
        <v>2855</v>
      </c>
      <c r="W1665" t="s">
        <v>2865</v>
      </c>
      <c r="X1665" t="s">
        <v>1193</v>
      </c>
      <c r="AD1665" t="s">
        <v>3985</v>
      </c>
    </row>
    <row r="1666" spans="1:30" x14ac:dyDescent="0.25">
      <c r="A1666" t="s">
        <v>33</v>
      </c>
      <c r="D1666" t="s">
        <v>2847</v>
      </c>
      <c r="E1666" t="s">
        <v>2848</v>
      </c>
      <c r="F1666" t="s">
        <v>87</v>
      </c>
      <c r="G1666" t="s">
        <v>3986</v>
      </c>
      <c r="H1666" t="s">
        <v>38</v>
      </c>
      <c r="I1666" t="s">
        <v>25</v>
      </c>
      <c r="J1666" t="s">
        <v>69</v>
      </c>
      <c r="K1666" t="s">
        <v>41</v>
      </c>
      <c r="L1666" t="s">
        <v>3987</v>
      </c>
      <c r="M1666" t="s">
        <v>252</v>
      </c>
      <c r="N1666" t="s">
        <v>3988</v>
      </c>
      <c r="O1666" t="s">
        <v>512</v>
      </c>
      <c r="R1666" t="s">
        <v>3984</v>
      </c>
      <c r="S1666" t="s">
        <v>2882</v>
      </c>
      <c r="V1666" t="s">
        <v>2855</v>
      </c>
      <c r="W1666" t="s">
        <v>2856</v>
      </c>
      <c r="AD1666" t="s">
        <v>3989</v>
      </c>
    </row>
    <row r="1667" spans="1:30" x14ac:dyDescent="0.25">
      <c r="A1667" t="s">
        <v>33</v>
      </c>
      <c r="D1667" t="s">
        <v>2847</v>
      </c>
      <c r="E1667" t="s">
        <v>2848</v>
      </c>
      <c r="F1667" t="s">
        <v>87</v>
      </c>
      <c r="G1667" t="s">
        <v>3666</v>
      </c>
      <c r="H1667" t="s">
        <v>89</v>
      </c>
      <c r="I1667" t="s">
        <v>90</v>
      </c>
      <c r="J1667" t="s">
        <v>91</v>
      </c>
      <c r="K1667" t="s">
        <v>92</v>
      </c>
      <c r="L1667" t="s">
        <v>3667</v>
      </c>
      <c r="M1667" t="s">
        <v>94</v>
      </c>
      <c r="N1667" t="s">
        <v>3668</v>
      </c>
      <c r="O1667" t="s">
        <v>383</v>
      </c>
      <c r="P1667">
        <v>1E-3</v>
      </c>
      <c r="R1667" t="s">
        <v>3990</v>
      </c>
      <c r="S1667" t="s">
        <v>2854</v>
      </c>
      <c r="V1667" t="s">
        <v>2855</v>
      </c>
      <c r="W1667" t="s">
        <v>2856</v>
      </c>
      <c r="AD1667" t="s">
        <v>3991</v>
      </c>
    </row>
    <row r="1668" spans="1:30" x14ac:dyDescent="0.25">
      <c r="A1668" t="s">
        <v>33</v>
      </c>
      <c r="D1668" t="s">
        <v>2847</v>
      </c>
      <c r="E1668" t="s">
        <v>2859</v>
      </c>
      <c r="F1668" t="s">
        <v>87</v>
      </c>
      <c r="G1668" t="s">
        <v>3779</v>
      </c>
      <c r="H1668" t="s">
        <v>38</v>
      </c>
      <c r="I1668" t="s">
        <v>24</v>
      </c>
      <c r="J1668" t="s">
        <v>69</v>
      </c>
      <c r="K1668" t="s">
        <v>41</v>
      </c>
      <c r="L1668" t="s">
        <v>3780</v>
      </c>
      <c r="M1668" t="s">
        <v>3327</v>
      </c>
      <c r="N1668" t="s">
        <v>3781</v>
      </c>
      <c r="O1668" t="s">
        <v>509</v>
      </c>
      <c r="R1668" t="s">
        <v>3992</v>
      </c>
      <c r="S1668" t="s">
        <v>2864</v>
      </c>
      <c r="V1668" t="s">
        <v>2855</v>
      </c>
      <c r="W1668" t="s">
        <v>2865</v>
      </c>
      <c r="X1668" t="s">
        <v>1193</v>
      </c>
      <c r="AD1668" t="s">
        <v>3993</v>
      </c>
    </row>
    <row r="1669" spans="1:30" x14ac:dyDescent="0.25">
      <c r="A1669" t="s">
        <v>33</v>
      </c>
      <c r="D1669" t="s">
        <v>2847</v>
      </c>
      <c r="E1669" t="s">
        <v>2848</v>
      </c>
      <c r="F1669" t="s">
        <v>87</v>
      </c>
      <c r="G1669" t="s">
        <v>3986</v>
      </c>
      <c r="H1669" t="s">
        <v>38</v>
      </c>
      <c r="I1669" t="s">
        <v>24</v>
      </c>
      <c r="J1669" t="s">
        <v>69</v>
      </c>
      <c r="K1669" t="s">
        <v>41</v>
      </c>
      <c r="L1669" t="s">
        <v>3987</v>
      </c>
      <c r="M1669" t="s">
        <v>252</v>
      </c>
      <c r="N1669" t="s">
        <v>3988</v>
      </c>
      <c r="O1669" t="s">
        <v>509</v>
      </c>
      <c r="R1669" t="s">
        <v>3992</v>
      </c>
      <c r="S1669" t="s">
        <v>2882</v>
      </c>
      <c r="V1669" t="s">
        <v>2855</v>
      </c>
      <c r="W1669" t="s">
        <v>2856</v>
      </c>
      <c r="AD1669" t="s">
        <v>3994</v>
      </c>
    </row>
    <row r="1670" spans="1:30" x14ac:dyDescent="0.25">
      <c r="A1670" t="s">
        <v>33</v>
      </c>
      <c r="D1670" t="s">
        <v>2847</v>
      </c>
      <c r="E1670" t="s">
        <v>2848</v>
      </c>
      <c r="F1670" t="s">
        <v>87</v>
      </c>
      <c r="G1670" t="s">
        <v>3666</v>
      </c>
      <c r="H1670" t="s">
        <v>143</v>
      </c>
      <c r="I1670" t="s">
        <v>90</v>
      </c>
      <c r="J1670" t="s">
        <v>145</v>
      </c>
      <c r="K1670" t="s">
        <v>262</v>
      </c>
      <c r="L1670" t="s">
        <v>3667</v>
      </c>
      <c r="M1670" t="s">
        <v>252</v>
      </c>
      <c r="N1670" t="s">
        <v>3668</v>
      </c>
      <c r="O1670" t="s">
        <v>380</v>
      </c>
      <c r="R1670" t="s">
        <v>3995</v>
      </c>
      <c r="S1670" t="s">
        <v>2854</v>
      </c>
      <c r="V1670" t="s">
        <v>2855</v>
      </c>
      <c r="W1670" t="s">
        <v>2856</v>
      </c>
      <c r="AD1670" t="s">
        <v>3996</v>
      </c>
    </row>
    <row r="1671" spans="1:30" x14ac:dyDescent="0.25">
      <c r="A1671" t="s">
        <v>33</v>
      </c>
      <c r="D1671" t="s">
        <v>2847</v>
      </c>
      <c r="E1671" t="s">
        <v>2859</v>
      </c>
      <c r="F1671" t="s">
        <v>87</v>
      </c>
      <c r="G1671" t="s">
        <v>2860</v>
      </c>
      <c r="H1671" t="s">
        <v>38</v>
      </c>
      <c r="I1671" t="s">
        <v>25</v>
      </c>
      <c r="J1671" t="s">
        <v>69</v>
      </c>
      <c r="K1671" t="s">
        <v>41</v>
      </c>
      <c r="L1671" t="s">
        <v>2861</v>
      </c>
      <c r="M1671" t="s">
        <v>82</v>
      </c>
      <c r="N1671" t="s">
        <v>2862</v>
      </c>
      <c r="O1671" t="s">
        <v>512</v>
      </c>
      <c r="R1671" t="s">
        <v>3997</v>
      </c>
      <c r="S1671" t="s">
        <v>2864</v>
      </c>
      <c r="V1671" t="s">
        <v>2855</v>
      </c>
      <c r="W1671" t="s">
        <v>2865</v>
      </c>
      <c r="AD1671" t="s">
        <v>3998</v>
      </c>
    </row>
    <row r="1672" spans="1:30" x14ac:dyDescent="0.25">
      <c r="A1672" t="s">
        <v>33</v>
      </c>
      <c r="D1672" t="s">
        <v>2847</v>
      </c>
      <c r="E1672" t="s">
        <v>2859</v>
      </c>
      <c r="F1672" t="s">
        <v>87</v>
      </c>
      <c r="G1672" t="s">
        <v>2860</v>
      </c>
      <c r="H1672" t="s">
        <v>38</v>
      </c>
      <c r="I1672" t="s">
        <v>24</v>
      </c>
      <c r="J1672" t="s">
        <v>69</v>
      </c>
      <c r="K1672" t="s">
        <v>41</v>
      </c>
      <c r="L1672" t="s">
        <v>2861</v>
      </c>
      <c r="M1672" t="s">
        <v>82</v>
      </c>
      <c r="N1672" t="s">
        <v>2862</v>
      </c>
      <c r="O1672" t="s">
        <v>509</v>
      </c>
      <c r="R1672" t="s">
        <v>3999</v>
      </c>
      <c r="S1672" t="s">
        <v>2864</v>
      </c>
      <c r="V1672" t="s">
        <v>2855</v>
      </c>
      <c r="W1672" t="s">
        <v>2865</v>
      </c>
      <c r="AD1672" t="s">
        <v>4000</v>
      </c>
    </row>
    <row r="1673" spans="1:30" x14ac:dyDescent="0.25">
      <c r="A1673" t="s">
        <v>33</v>
      </c>
      <c r="D1673" t="s">
        <v>2847</v>
      </c>
      <c r="E1673" t="s">
        <v>2859</v>
      </c>
      <c r="F1673" t="s">
        <v>87</v>
      </c>
      <c r="G1673" t="s">
        <v>3797</v>
      </c>
      <c r="H1673" t="s">
        <v>38</v>
      </c>
      <c r="I1673" t="s">
        <v>25</v>
      </c>
      <c r="J1673" t="s">
        <v>69</v>
      </c>
      <c r="K1673" t="s">
        <v>41</v>
      </c>
      <c r="L1673" t="s">
        <v>3798</v>
      </c>
      <c r="M1673" t="s">
        <v>176</v>
      </c>
      <c r="N1673" t="s">
        <v>3799</v>
      </c>
      <c r="O1673" t="s">
        <v>512</v>
      </c>
      <c r="R1673" t="s">
        <v>4001</v>
      </c>
      <c r="S1673" t="s">
        <v>2864</v>
      </c>
      <c r="V1673" t="s">
        <v>2855</v>
      </c>
      <c r="W1673" t="s">
        <v>2865</v>
      </c>
      <c r="AD1673" t="s">
        <v>4002</v>
      </c>
    </row>
    <row r="1674" spans="1:30" x14ac:dyDescent="0.25">
      <c r="A1674" t="s">
        <v>33</v>
      </c>
      <c r="D1674" t="s">
        <v>2847</v>
      </c>
      <c r="E1674" t="s">
        <v>2848</v>
      </c>
      <c r="F1674" t="s">
        <v>87</v>
      </c>
      <c r="G1674" t="s">
        <v>4003</v>
      </c>
      <c r="H1674" t="s">
        <v>38</v>
      </c>
      <c r="I1674" t="s">
        <v>25</v>
      </c>
      <c r="J1674" t="s">
        <v>69</v>
      </c>
      <c r="K1674" t="s">
        <v>41</v>
      </c>
      <c r="L1674" t="s">
        <v>4004</v>
      </c>
      <c r="M1674" t="s">
        <v>252</v>
      </c>
      <c r="N1674" t="s">
        <v>4005</v>
      </c>
      <c r="O1674" t="s">
        <v>512</v>
      </c>
      <c r="R1674" t="s">
        <v>4001</v>
      </c>
      <c r="S1674" t="s">
        <v>2882</v>
      </c>
      <c r="V1674" t="s">
        <v>2855</v>
      </c>
      <c r="W1674" t="s">
        <v>2856</v>
      </c>
      <c r="AD1674" t="s">
        <v>4006</v>
      </c>
    </row>
    <row r="1675" spans="1:30" x14ac:dyDescent="0.25">
      <c r="A1675" t="s">
        <v>33</v>
      </c>
      <c r="D1675" t="s">
        <v>2847</v>
      </c>
      <c r="E1675" t="s">
        <v>2848</v>
      </c>
      <c r="F1675" t="s">
        <v>87</v>
      </c>
      <c r="G1675" t="s">
        <v>3666</v>
      </c>
      <c r="H1675" t="s">
        <v>143</v>
      </c>
      <c r="I1675" t="s">
        <v>90</v>
      </c>
      <c r="J1675" t="s">
        <v>145</v>
      </c>
      <c r="K1675" t="s">
        <v>146</v>
      </c>
      <c r="L1675" t="s">
        <v>3667</v>
      </c>
      <c r="M1675" t="s">
        <v>252</v>
      </c>
      <c r="N1675" t="s">
        <v>3668</v>
      </c>
      <c r="O1675" t="s">
        <v>380</v>
      </c>
      <c r="R1675" t="s">
        <v>4007</v>
      </c>
      <c r="S1675" t="s">
        <v>2854</v>
      </c>
      <c r="V1675" t="s">
        <v>2855</v>
      </c>
      <c r="W1675" t="s">
        <v>2856</v>
      </c>
      <c r="AD1675" t="s">
        <v>3996</v>
      </c>
    </row>
    <row r="1676" spans="1:30" x14ac:dyDescent="0.25">
      <c r="A1676" t="s">
        <v>33</v>
      </c>
      <c r="D1676" t="s">
        <v>2847</v>
      </c>
      <c r="E1676" t="s">
        <v>2859</v>
      </c>
      <c r="F1676" t="s">
        <v>87</v>
      </c>
      <c r="G1676" t="s">
        <v>3797</v>
      </c>
      <c r="H1676" t="s">
        <v>38</v>
      </c>
      <c r="I1676" t="s">
        <v>24</v>
      </c>
      <c r="J1676" t="s">
        <v>69</v>
      </c>
      <c r="K1676" t="s">
        <v>41</v>
      </c>
      <c r="L1676" t="s">
        <v>3798</v>
      </c>
      <c r="M1676" t="s">
        <v>176</v>
      </c>
      <c r="N1676" t="s">
        <v>3799</v>
      </c>
      <c r="O1676" t="s">
        <v>509</v>
      </c>
      <c r="R1676" t="s">
        <v>4008</v>
      </c>
      <c r="S1676" t="s">
        <v>2864</v>
      </c>
      <c r="V1676" t="s">
        <v>2855</v>
      </c>
      <c r="W1676" t="s">
        <v>2865</v>
      </c>
      <c r="AD1676" t="s">
        <v>4009</v>
      </c>
    </row>
    <row r="1677" spans="1:30" x14ac:dyDescent="0.25">
      <c r="A1677" t="s">
        <v>33</v>
      </c>
      <c r="D1677" t="s">
        <v>2847</v>
      </c>
      <c r="E1677" t="s">
        <v>2848</v>
      </c>
      <c r="F1677" t="s">
        <v>87</v>
      </c>
      <c r="G1677" t="s">
        <v>4003</v>
      </c>
      <c r="H1677" t="s">
        <v>38</v>
      </c>
      <c r="I1677" t="s">
        <v>24</v>
      </c>
      <c r="J1677" t="s">
        <v>69</v>
      </c>
      <c r="K1677" t="s">
        <v>41</v>
      </c>
      <c r="L1677" t="s">
        <v>4004</v>
      </c>
      <c r="M1677" t="s">
        <v>252</v>
      </c>
      <c r="N1677" t="s">
        <v>4005</v>
      </c>
      <c r="O1677" t="s">
        <v>509</v>
      </c>
      <c r="R1677" t="s">
        <v>4008</v>
      </c>
      <c r="S1677" t="s">
        <v>2882</v>
      </c>
      <c r="V1677" t="s">
        <v>2855</v>
      </c>
      <c r="W1677" t="s">
        <v>2856</v>
      </c>
      <c r="AD1677" t="s">
        <v>4010</v>
      </c>
    </row>
    <row r="1678" spans="1:30" x14ac:dyDescent="0.25">
      <c r="A1678" t="s">
        <v>33</v>
      </c>
      <c r="D1678" t="s">
        <v>2847</v>
      </c>
      <c r="E1678" t="s">
        <v>2848</v>
      </c>
      <c r="F1678" t="s">
        <v>87</v>
      </c>
      <c r="G1678" t="s">
        <v>3666</v>
      </c>
      <c r="H1678" t="s">
        <v>153</v>
      </c>
      <c r="I1678" t="s">
        <v>180</v>
      </c>
      <c r="J1678" t="s">
        <v>154</v>
      </c>
      <c r="K1678" t="s">
        <v>155</v>
      </c>
      <c r="L1678" t="s">
        <v>3667</v>
      </c>
      <c r="N1678" t="s">
        <v>3668</v>
      </c>
      <c r="O1678" t="s">
        <v>187</v>
      </c>
      <c r="R1678" t="s">
        <v>4011</v>
      </c>
      <c r="S1678" t="s">
        <v>2854</v>
      </c>
      <c r="V1678" t="s">
        <v>2855</v>
      </c>
      <c r="W1678" t="s">
        <v>2856</v>
      </c>
      <c r="AD1678" t="s">
        <v>4012</v>
      </c>
    </row>
    <row r="1679" spans="1:30" x14ac:dyDescent="0.25">
      <c r="A1679" t="s">
        <v>33</v>
      </c>
      <c r="D1679" t="s">
        <v>2847</v>
      </c>
      <c r="E1679" t="s">
        <v>2859</v>
      </c>
      <c r="F1679" t="s">
        <v>87</v>
      </c>
      <c r="G1679" t="s">
        <v>3891</v>
      </c>
      <c r="H1679" t="s">
        <v>38</v>
      </c>
      <c r="I1679" t="s">
        <v>25</v>
      </c>
      <c r="J1679" t="s">
        <v>69</v>
      </c>
      <c r="K1679" t="s">
        <v>41</v>
      </c>
      <c r="L1679" t="s">
        <v>3892</v>
      </c>
      <c r="M1679" t="s">
        <v>3327</v>
      </c>
      <c r="N1679" t="s">
        <v>3781</v>
      </c>
      <c r="O1679" t="s">
        <v>512</v>
      </c>
      <c r="R1679" t="s">
        <v>3142</v>
      </c>
      <c r="S1679" t="s">
        <v>2864</v>
      </c>
      <c r="V1679" t="s">
        <v>2855</v>
      </c>
      <c r="W1679" t="s">
        <v>2865</v>
      </c>
      <c r="X1679" t="s">
        <v>1193</v>
      </c>
      <c r="AD1679" t="s">
        <v>3985</v>
      </c>
    </row>
    <row r="1680" spans="1:30" x14ac:dyDescent="0.25">
      <c r="A1680" t="s">
        <v>33</v>
      </c>
      <c r="D1680" t="s">
        <v>2847</v>
      </c>
      <c r="E1680" t="s">
        <v>2848</v>
      </c>
      <c r="F1680" t="s">
        <v>87</v>
      </c>
      <c r="G1680" t="s">
        <v>3666</v>
      </c>
      <c r="H1680" t="s">
        <v>89</v>
      </c>
      <c r="I1680" t="s">
        <v>180</v>
      </c>
      <c r="J1680" t="s">
        <v>91</v>
      </c>
      <c r="K1680" t="s">
        <v>92</v>
      </c>
      <c r="L1680" t="s">
        <v>3667</v>
      </c>
      <c r="M1680" t="s">
        <v>94</v>
      </c>
      <c r="N1680" t="s">
        <v>3668</v>
      </c>
      <c r="O1680" t="s">
        <v>184</v>
      </c>
      <c r="P1680">
        <v>1E-3</v>
      </c>
      <c r="R1680" t="s">
        <v>4013</v>
      </c>
      <c r="S1680" t="s">
        <v>2854</v>
      </c>
      <c r="V1680" t="s">
        <v>2855</v>
      </c>
      <c r="W1680" t="s">
        <v>2856</v>
      </c>
      <c r="AD1680" t="s">
        <v>4014</v>
      </c>
    </row>
    <row r="1681" spans="1:32" x14ac:dyDescent="0.25">
      <c r="A1681" t="s">
        <v>33</v>
      </c>
      <c r="D1681" t="s">
        <v>2847</v>
      </c>
      <c r="E1681" t="s">
        <v>2848</v>
      </c>
      <c r="F1681" t="s">
        <v>87</v>
      </c>
      <c r="G1681" t="s">
        <v>4015</v>
      </c>
      <c r="H1681" t="s">
        <v>38</v>
      </c>
      <c r="I1681" t="s">
        <v>25</v>
      </c>
      <c r="J1681" t="s">
        <v>69</v>
      </c>
      <c r="K1681" t="s">
        <v>41</v>
      </c>
      <c r="L1681" t="s">
        <v>4016</v>
      </c>
      <c r="M1681" t="s">
        <v>493</v>
      </c>
      <c r="N1681" t="s">
        <v>4017</v>
      </c>
      <c r="O1681" t="s">
        <v>512</v>
      </c>
      <c r="R1681" t="s">
        <v>3142</v>
      </c>
      <c r="S1681" t="s">
        <v>2882</v>
      </c>
      <c r="V1681" t="s">
        <v>2855</v>
      </c>
      <c r="W1681" t="s">
        <v>2856</v>
      </c>
      <c r="AD1681" t="s">
        <v>4018</v>
      </c>
    </row>
    <row r="1682" spans="1:32" x14ac:dyDescent="0.25">
      <c r="A1682" t="s">
        <v>33</v>
      </c>
      <c r="D1682" t="s">
        <v>2847</v>
      </c>
      <c r="E1682" t="s">
        <v>2859</v>
      </c>
      <c r="F1682" t="s">
        <v>87</v>
      </c>
      <c r="G1682" t="s">
        <v>3891</v>
      </c>
      <c r="H1682" t="s">
        <v>38</v>
      </c>
      <c r="I1682" t="s">
        <v>24</v>
      </c>
      <c r="J1682" t="s">
        <v>69</v>
      </c>
      <c r="K1682" t="s">
        <v>41</v>
      </c>
      <c r="L1682" t="s">
        <v>3892</v>
      </c>
      <c r="M1682" t="s">
        <v>3327</v>
      </c>
      <c r="N1682" t="s">
        <v>3781</v>
      </c>
      <c r="O1682" t="s">
        <v>509</v>
      </c>
      <c r="R1682" t="s">
        <v>3144</v>
      </c>
      <c r="S1682" t="s">
        <v>2864</v>
      </c>
      <c r="V1682" t="s">
        <v>2855</v>
      </c>
      <c r="W1682" t="s">
        <v>2865</v>
      </c>
      <c r="X1682" t="s">
        <v>1193</v>
      </c>
      <c r="AD1682" t="s">
        <v>3993</v>
      </c>
    </row>
    <row r="1683" spans="1:32" x14ac:dyDescent="0.25">
      <c r="A1683" t="s">
        <v>33</v>
      </c>
      <c r="D1683" t="s">
        <v>2847</v>
      </c>
      <c r="E1683" t="s">
        <v>2848</v>
      </c>
      <c r="F1683" t="s">
        <v>87</v>
      </c>
      <c r="G1683" t="s">
        <v>3666</v>
      </c>
      <c r="H1683" t="s">
        <v>143</v>
      </c>
      <c r="I1683" t="s">
        <v>180</v>
      </c>
      <c r="J1683" t="s">
        <v>145</v>
      </c>
      <c r="K1683" t="s">
        <v>146</v>
      </c>
      <c r="L1683" t="s">
        <v>3667</v>
      </c>
      <c r="M1683" t="s">
        <v>252</v>
      </c>
      <c r="N1683" t="s">
        <v>3668</v>
      </c>
      <c r="O1683" t="s">
        <v>181</v>
      </c>
      <c r="R1683" t="s">
        <v>4019</v>
      </c>
      <c r="S1683" t="s">
        <v>2854</v>
      </c>
      <c r="V1683" t="s">
        <v>2855</v>
      </c>
      <c r="W1683" t="s">
        <v>2856</v>
      </c>
      <c r="AD1683" t="s">
        <v>4020</v>
      </c>
    </row>
    <row r="1684" spans="1:32" x14ac:dyDescent="0.25">
      <c r="A1684" t="s">
        <v>33</v>
      </c>
      <c r="D1684" t="s">
        <v>2847</v>
      </c>
      <c r="E1684" t="s">
        <v>2848</v>
      </c>
      <c r="F1684" t="s">
        <v>87</v>
      </c>
      <c r="G1684" t="s">
        <v>4015</v>
      </c>
      <c r="H1684" t="s">
        <v>38</v>
      </c>
      <c r="I1684" t="s">
        <v>24</v>
      </c>
      <c r="J1684" t="s">
        <v>69</v>
      </c>
      <c r="K1684" t="s">
        <v>41</v>
      </c>
      <c r="L1684" t="s">
        <v>4016</v>
      </c>
      <c r="M1684" t="s">
        <v>493</v>
      </c>
      <c r="N1684" t="s">
        <v>4017</v>
      </c>
      <c r="O1684" t="s">
        <v>509</v>
      </c>
      <c r="R1684" t="s">
        <v>3144</v>
      </c>
      <c r="S1684" t="s">
        <v>2882</v>
      </c>
      <c r="V1684" t="s">
        <v>2855</v>
      </c>
      <c r="W1684" t="s">
        <v>2856</v>
      </c>
      <c r="AD1684" t="s">
        <v>4021</v>
      </c>
    </row>
    <row r="1685" spans="1:32" x14ac:dyDescent="0.25">
      <c r="A1685" t="s">
        <v>33</v>
      </c>
      <c r="D1685" t="s">
        <v>2847</v>
      </c>
      <c r="E1685" t="s">
        <v>2859</v>
      </c>
      <c r="F1685" t="s">
        <v>87</v>
      </c>
      <c r="G1685" t="s">
        <v>3901</v>
      </c>
      <c r="H1685" t="s">
        <v>38</v>
      </c>
      <c r="I1685" t="s">
        <v>25</v>
      </c>
      <c r="J1685" t="s">
        <v>69</v>
      </c>
      <c r="K1685" t="s">
        <v>41</v>
      </c>
      <c r="L1685" t="s">
        <v>3902</v>
      </c>
      <c r="M1685" t="s">
        <v>176</v>
      </c>
      <c r="N1685" t="s">
        <v>3799</v>
      </c>
      <c r="O1685" t="s">
        <v>512</v>
      </c>
      <c r="R1685" t="s">
        <v>4022</v>
      </c>
      <c r="S1685" t="s">
        <v>2864</v>
      </c>
      <c r="V1685" t="s">
        <v>2855</v>
      </c>
      <c r="W1685" t="s">
        <v>2865</v>
      </c>
      <c r="AD1685" t="s">
        <v>4002</v>
      </c>
    </row>
    <row r="1686" spans="1:32" x14ac:dyDescent="0.25">
      <c r="A1686" t="s">
        <v>33</v>
      </c>
      <c r="D1686" t="s">
        <v>2847</v>
      </c>
      <c r="E1686" t="s">
        <v>2848</v>
      </c>
      <c r="F1686" t="s">
        <v>87</v>
      </c>
      <c r="G1686" t="s">
        <v>3666</v>
      </c>
      <c r="H1686" t="s">
        <v>143</v>
      </c>
      <c r="I1686" t="s">
        <v>180</v>
      </c>
      <c r="J1686" t="s">
        <v>145</v>
      </c>
      <c r="K1686" t="s">
        <v>262</v>
      </c>
      <c r="L1686" t="s">
        <v>3667</v>
      </c>
      <c r="M1686" t="s">
        <v>252</v>
      </c>
      <c r="N1686" t="s">
        <v>3668</v>
      </c>
      <c r="O1686" t="s">
        <v>181</v>
      </c>
      <c r="R1686" t="s">
        <v>4023</v>
      </c>
      <c r="S1686" t="s">
        <v>2854</v>
      </c>
      <c r="V1686" t="s">
        <v>2855</v>
      </c>
      <c r="W1686" t="s">
        <v>2856</v>
      </c>
      <c r="AD1686" t="s">
        <v>4020</v>
      </c>
    </row>
    <row r="1687" spans="1:32" x14ac:dyDescent="0.25">
      <c r="A1687" t="s">
        <v>33</v>
      </c>
      <c r="D1687" t="s">
        <v>2847</v>
      </c>
      <c r="E1687" t="s">
        <v>2848</v>
      </c>
      <c r="F1687" t="s">
        <v>87</v>
      </c>
      <c r="G1687" t="s">
        <v>4024</v>
      </c>
      <c r="H1687" t="s">
        <v>38</v>
      </c>
      <c r="I1687" t="s">
        <v>25</v>
      </c>
      <c r="J1687" t="s">
        <v>69</v>
      </c>
      <c r="K1687" t="s">
        <v>41</v>
      </c>
      <c r="L1687" t="s">
        <v>4025</v>
      </c>
      <c r="M1687" t="s">
        <v>493</v>
      </c>
      <c r="N1687" t="s">
        <v>4026</v>
      </c>
      <c r="O1687" t="s">
        <v>512</v>
      </c>
      <c r="R1687" t="s">
        <v>4022</v>
      </c>
      <c r="S1687" t="s">
        <v>2882</v>
      </c>
      <c r="V1687" t="s">
        <v>2855</v>
      </c>
      <c r="W1687" t="s">
        <v>2856</v>
      </c>
      <c r="AD1687" t="s">
        <v>4027</v>
      </c>
    </row>
    <row r="1688" spans="1:32" x14ac:dyDescent="0.25">
      <c r="A1688" t="s">
        <v>33</v>
      </c>
      <c r="D1688" t="s">
        <v>2847</v>
      </c>
      <c r="E1688" t="s">
        <v>2859</v>
      </c>
      <c r="F1688" t="s">
        <v>87</v>
      </c>
      <c r="G1688" t="s">
        <v>3901</v>
      </c>
      <c r="H1688" t="s">
        <v>38</v>
      </c>
      <c r="I1688" t="s">
        <v>24</v>
      </c>
      <c r="J1688" t="s">
        <v>69</v>
      </c>
      <c r="K1688" t="s">
        <v>41</v>
      </c>
      <c r="L1688" t="s">
        <v>3902</v>
      </c>
      <c r="M1688" t="s">
        <v>176</v>
      </c>
      <c r="N1688" t="s">
        <v>3799</v>
      </c>
      <c r="O1688" t="s">
        <v>509</v>
      </c>
      <c r="R1688" t="s">
        <v>4028</v>
      </c>
      <c r="S1688" t="s">
        <v>2864</v>
      </c>
      <c r="V1688" t="s">
        <v>2855</v>
      </c>
      <c r="W1688" t="s">
        <v>2865</v>
      </c>
      <c r="AD1688" t="s">
        <v>4009</v>
      </c>
    </row>
    <row r="1689" spans="1:32" x14ac:dyDescent="0.25">
      <c r="A1689" t="s">
        <v>33</v>
      </c>
      <c r="D1689" t="s">
        <v>2847</v>
      </c>
      <c r="E1689" t="s">
        <v>2848</v>
      </c>
      <c r="F1689" t="s">
        <v>87</v>
      </c>
      <c r="G1689" t="s">
        <v>3666</v>
      </c>
      <c r="H1689" t="s">
        <v>153</v>
      </c>
      <c r="I1689" t="s">
        <v>100</v>
      </c>
      <c r="J1689" t="s">
        <v>154</v>
      </c>
      <c r="K1689" t="s">
        <v>155</v>
      </c>
      <c r="L1689" t="s">
        <v>3667</v>
      </c>
      <c r="N1689" t="s">
        <v>3668</v>
      </c>
      <c r="O1689" t="s">
        <v>448</v>
      </c>
      <c r="R1689" t="s">
        <v>4029</v>
      </c>
      <c r="S1689" t="s">
        <v>2854</v>
      </c>
      <c r="V1689" t="s">
        <v>2855</v>
      </c>
      <c r="W1689" t="s">
        <v>2856</v>
      </c>
      <c r="AC1689" t="s">
        <v>4030</v>
      </c>
      <c r="AD1689" t="s">
        <v>4031</v>
      </c>
      <c r="AE1689" t="s">
        <v>3189</v>
      </c>
      <c r="AF1689">
        <v>3</v>
      </c>
    </row>
    <row r="1690" spans="1:32" x14ac:dyDescent="0.25">
      <c r="A1690" t="s">
        <v>33</v>
      </c>
      <c r="D1690" t="s">
        <v>2847</v>
      </c>
      <c r="E1690" t="s">
        <v>2848</v>
      </c>
      <c r="F1690" t="s">
        <v>87</v>
      </c>
      <c r="G1690" t="s">
        <v>4024</v>
      </c>
      <c r="H1690" t="s">
        <v>38</v>
      </c>
      <c r="I1690" t="s">
        <v>24</v>
      </c>
      <c r="J1690" t="s">
        <v>69</v>
      </c>
      <c r="K1690" t="s">
        <v>41</v>
      </c>
      <c r="L1690" t="s">
        <v>4025</v>
      </c>
      <c r="M1690" t="s">
        <v>493</v>
      </c>
      <c r="N1690" t="s">
        <v>4026</v>
      </c>
      <c r="O1690" t="s">
        <v>509</v>
      </c>
      <c r="R1690" t="s">
        <v>4028</v>
      </c>
      <c r="S1690" t="s">
        <v>2882</v>
      </c>
      <c r="V1690" t="s">
        <v>2855</v>
      </c>
      <c r="W1690" t="s">
        <v>2856</v>
      </c>
      <c r="AD1690" t="s">
        <v>4032</v>
      </c>
    </row>
    <row r="1691" spans="1:32" x14ac:dyDescent="0.25">
      <c r="A1691" t="s">
        <v>33</v>
      </c>
      <c r="D1691" t="s">
        <v>2847</v>
      </c>
      <c r="E1691" t="s">
        <v>2859</v>
      </c>
      <c r="F1691" t="s">
        <v>87</v>
      </c>
      <c r="G1691" t="s">
        <v>3908</v>
      </c>
      <c r="H1691" t="s">
        <v>38</v>
      </c>
      <c r="I1691" t="s">
        <v>25</v>
      </c>
      <c r="J1691" t="s">
        <v>69</v>
      </c>
      <c r="K1691" t="s">
        <v>41</v>
      </c>
      <c r="L1691" t="s">
        <v>3909</v>
      </c>
      <c r="M1691" t="s">
        <v>3327</v>
      </c>
      <c r="N1691" t="s">
        <v>3910</v>
      </c>
      <c r="O1691" t="s">
        <v>512</v>
      </c>
      <c r="R1691" t="s">
        <v>4033</v>
      </c>
      <c r="S1691" t="s">
        <v>2864</v>
      </c>
      <c r="V1691" t="s">
        <v>2855</v>
      </c>
      <c r="W1691" t="s">
        <v>2865</v>
      </c>
      <c r="X1691" t="s">
        <v>1193</v>
      </c>
      <c r="AD1691" t="s">
        <v>4034</v>
      </c>
    </row>
    <row r="1692" spans="1:32" x14ac:dyDescent="0.25">
      <c r="A1692" t="s">
        <v>33</v>
      </c>
      <c r="D1692" t="s">
        <v>2847</v>
      </c>
      <c r="E1692" t="s">
        <v>2848</v>
      </c>
      <c r="F1692" t="s">
        <v>87</v>
      </c>
      <c r="G1692" t="s">
        <v>4035</v>
      </c>
      <c r="H1692" t="s">
        <v>38</v>
      </c>
      <c r="I1692" t="s">
        <v>25</v>
      </c>
      <c r="J1692" t="s">
        <v>69</v>
      </c>
      <c r="K1692" t="s">
        <v>41</v>
      </c>
      <c r="L1692" t="s">
        <v>4036</v>
      </c>
      <c r="M1692" t="s">
        <v>252</v>
      </c>
      <c r="N1692" t="s">
        <v>4037</v>
      </c>
      <c r="O1692" t="s">
        <v>512</v>
      </c>
      <c r="R1692" t="s">
        <v>4033</v>
      </c>
      <c r="S1692" t="s">
        <v>2882</v>
      </c>
      <c r="V1692" t="s">
        <v>2855</v>
      </c>
      <c r="W1692" t="s">
        <v>2856</v>
      </c>
      <c r="AD1692" t="s">
        <v>4038</v>
      </c>
    </row>
    <row r="1693" spans="1:32" x14ac:dyDescent="0.25">
      <c r="A1693" t="s">
        <v>33</v>
      </c>
      <c r="D1693" t="s">
        <v>2847</v>
      </c>
      <c r="E1693" t="s">
        <v>2848</v>
      </c>
      <c r="F1693" t="s">
        <v>87</v>
      </c>
      <c r="G1693" t="s">
        <v>3666</v>
      </c>
      <c r="H1693" t="s">
        <v>89</v>
      </c>
      <c r="I1693" t="s">
        <v>100</v>
      </c>
      <c r="J1693" t="s">
        <v>91</v>
      </c>
      <c r="K1693" t="s">
        <v>92</v>
      </c>
      <c r="L1693" t="s">
        <v>3667</v>
      </c>
      <c r="M1693" t="s">
        <v>94</v>
      </c>
      <c r="N1693" t="s">
        <v>3668</v>
      </c>
      <c r="O1693" t="s">
        <v>445</v>
      </c>
      <c r="P1693">
        <v>1E-3</v>
      </c>
      <c r="R1693" t="s">
        <v>4039</v>
      </c>
      <c r="S1693" t="s">
        <v>2854</v>
      </c>
      <c r="V1693" t="s">
        <v>2855</v>
      </c>
      <c r="W1693" t="s">
        <v>2856</v>
      </c>
      <c r="AD1693" t="s">
        <v>4040</v>
      </c>
    </row>
    <row r="1694" spans="1:32" x14ac:dyDescent="0.25">
      <c r="A1694" t="s">
        <v>33</v>
      </c>
      <c r="D1694" t="s">
        <v>2847</v>
      </c>
      <c r="E1694" t="s">
        <v>2859</v>
      </c>
      <c r="F1694" t="s">
        <v>87</v>
      </c>
      <c r="G1694" t="s">
        <v>3908</v>
      </c>
      <c r="H1694" t="s">
        <v>38</v>
      </c>
      <c r="I1694" t="s">
        <v>24</v>
      </c>
      <c r="J1694" t="s">
        <v>69</v>
      </c>
      <c r="K1694" t="s">
        <v>41</v>
      </c>
      <c r="L1694" t="s">
        <v>3909</v>
      </c>
      <c r="M1694" t="s">
        <v>3327</v>
      </c>
      <c r="N1694" t="s">
        <v>3910</v>
      </c>
      <c r="O1694" t="s">
        <v>509</v>
      </c>
      <c r="R1694" t="s">
        <v>4041</v>
      </c>
      <c r="S1694" t="s">
        <v>2864</v>
      </c>
      <c r="V1694" t="s">
        <v>2855</v>
      </c>
      <c r="W1694" t="s">
        <v>2865</v>
      </c>
      <c r="X1694" t="s">
        <v>1193</v>
      </c>
      <c r="AD1694" t="s">
        <v>4042</v>
      </c>
    </row>
    <row r="1695" spans="1:32" x14ac:dyDescent="0.25">
      <c r="A1695" t="s">
        <v>33</v>
      </c>
      <c r="D1695" t="s">
        <v>2847</v>
      </c>
      <c r="E1695" t="s">
        <v>2848</v>
      </c>
      <c r="F1695" t="s">
        <v>87</v>
      </c>
      <c r="G1695" t="s">
        <v>4035</v>
      </c>
      <c r="H1695" t="s">
        <v>38</v>
      </c>
      <c r="I1695" t="s">
        <v>24</v>
      </c>
      <c r="J1695" t="s">
        <v>69</v>
      </c>
      <c r="K1695" t="s">
        <v>41</v>
      </c>
      <c r="L1695" t="s">
        <v>4036</v>
      </c>
      <c r="M1695" t="s">
        <v>252</v>
      </c>
      <c r="N1695" t="s">
        <v>4037</v>
      </c>
      <c r="O1695" t="s">
        <v>509</v>
      </c>
      <c r="R1695" t="s">
        <v>4041</v>
      </c>
      <c r="S1695" t="s">
        <v>2882</v>
      </c>
      <c r="V1695" t="s">
        <v>2855</v>
      </c>
      <c r="W1695" t="s">
        <v>2856</v>
      </c>
      <c r="AD1695" t="s">
        <v>4043</v>
      </c>
    </row>
    <row r="1696" spans="1:32" x14ac:dyDescent="0.25">
      <c r="A1696" t="s">
        <v>33</v>
      </c>
      <c r="D1696" t="s">
        <v>2847</v>
      </c>
      <c r="E1696" t="s">
        <v>2848</v>
      </c>
      <c r="F1696" t="s">
        <v>87</v>
      </c>
      <c r="G1696" t="s">
        <v>3666</v>
      </c>
      <c r="H1696" t="s">
        <v>143</v>
      </c>
      <c r="I1696" t="s">
        <v>100</v>
      </c>
      <c r="J1696" t="s">
        <v>145</v>
      </c>
      <c r="K1696" t="s">
        <v>262</v>
      </c>
      <c r="L1696" t="s">
        <v>3667</v>
      </c>
      <c r="M1696" t="s">
        <v>252</v>
      </c>
      <c r="N1696" t="s">
        <v>3668</v>
      </c>
      <c r="O1696" t="s">
        <v>442</v>
      </c>
      <c r="R1696" t="s">
        <v>4044</v>
      </c>
      <c r="S1696" t="s">
        <v>2854</v>
      </c>
      <c r="V1696" t="s">
        <v>2855</v>
      </c>
      <c r="W1696" t="s">
        <v>2856</v>
      </c>
      <c r="AD1696" t="s">
        <v>4045</v>
      </c>
    </row>
    <row r="1697" spans="1:30" x14ac:dyDescent="0.25">
      <c r="A1697" t="s">
        <v>33</v>
      </c>
      <c r="D1697" t="s">
        <v>2847</v>
      </c>
      <c r="E1697" t="s">
        <v>2859</v>
      </c>
      <c r="F1697" t="s">
        <v>87</v>
      </c>
      <c r="G1697" t="s">
        <v>3930</v>
      </c>
      <c r="H1697" t="s">
        <v>38</v>
      </c>
      <c r="I1697" t="s">
        <v>25</v>
      </c>
      <c r="J1697" t="s">
        <v>69</v>
      </c>
      <c r="K1697" t="s">
        <v>41</v>
      </c>
      <c r="L1697" t="s">
        <v>3931</v>
      </c>
      <c r="M1697" t="s">
        <v>176</v>
      </c>
      <c r="N1697" t="s">
        <v>3932</v>
      </c>
      <c r="O1697" t="s">
        <v>512</v>
      </c>
      <c r="R1697" t="s">
        <v>4046</v>
      </c>
      <c r="S1697" t="s">
        <v>2864</v>
      </c>
      <c r="V1697" t="s">
        <v>2855</v>
      </c>
      <c r="W1697" t="s">
        <v>2865</v>
      </c>
      <c r="AD1697" t="s">
        <v>4047</v>
      </c>
    </row>
    <row r="1698" spans="1:30" x14ac:dyDescent="0.25">
      <c r="A1698" t="s">
        <v>33</v>
      </c>
      <c r="D1698" t="s">
        <v>2847</v>
      </c>
      <c r="E1698" t="s">
        <v>2848</v>
      </c>
      <c r="F1698" t="s">
        <v>87</v>
      </c>
      <c r="G1698" t="s">
        <v>3666</v>
      </c>
      <c r="H1698" t="s">
        <v>143</v>
      </c>
      <c r="I1698" t="s">
        <v>100</v>
      </c>
      <c r="J1698" t="s">
        <v>145</v>
      </c>
      <c r="K1698" t="s">
        <v>146</v>
      </c>
      <c r="L1698" t="s">
        <v>3667</v>
      </c>
      <c r="M1698" t="s">
        <v>252</v>
      </c>
      <c r="N1698" t="s">
        <v>3668</v>
      </c>
      <c r="O1698" t="s">
        <v>442</v>
      </c>
      <c r="R1698" t="s">
        <v>4048</v>
      </c>
      <c r="S1698" t="s">
        <v>2854</v>
      </c>
      <c r="V1698" t="s">
        <v>2855</v>
      </c>
      <c r="W1698" t="s">
        <v>2856</v>
      </c>
      <c r="AD1698" t="s">
        <v>4045</v>
      </c>
    </row>
    <row r="1699" spans="1:30" x14ac:dyDescent="0.25">
      <c r="A1699" t="s">
        <v>33</v>
      </c>
      <c r="D1699" t="s">
        <v>2847</v>
      </c>
      <c r="E1699" t="s">
        <v>2848</v>
      </c>
      <c r="F1699" t="s">
        <v>87</v>
      </c>
      <c r="G1699" t="s">
        <v>4049</v>
      </c>
      <c r="H1699" t="s">
        <v>38</v>
      </c>
      <c r="I1699" t="s">
        <v>25</v>
      </c>
      <c r="J1699" t="s">
        <v>69</v>
      </c>
      <c r="K1699" t="s">
        <v>41</v>
      </c>
      <c r="L1699" t="s">
        <v>4050</v>
      </c>
      <c r="M1699" t="s">
        <v>493</v>
      </c>
      <c r="N1699" t="s">
        <v>4051</v>
      </c>
      <c r="O1699" t="s">
        <v>512</v>
      </c>
      <c r="R1699" t="s">
        <v>4046</v>
      </c>
      <c r="S1699" t="s">
        <v>2882</v>
      </c>
      <c r="V1699" t="s">
        <v>2855</v>
      </c>
      <c r="W1699" t="s">
        <v>2856</v>
      </c>
      <c r="AD1699" t="s">
        <v>4052</v>
      </c>
    </row>
    <row r="1700" spans="1:30" x14ac:dyDescent="0.25">
      <c r="A1700" t="s">
        <v>33</v>
      </c>
      <c r="D1700" t="s">
        <v>2847</v>
      </c>
      <c r="E1700" t="s">
        <v>2859</v>
      </c>
      <c r="F1700" t="s">
        <v>87</v>
      </c>
      <c r="G1700" t="s">
        <v>3930</v>
      </c>
      <c r="H1700" t="s">
        <v>38</v>
      </c>
      <c r="I1700" t="s">
        <v>24</v>
      </c>
      <c r="J1700" t="s">
        <v>69</v>
      </c>
      <c r="K1700" t="s">
        <v>41</v>
      </c>
      <c r="L1700" t="s">
        <v>3931</v>
      </c>
      <c r="M1700" t="s">
        <v>176</v>
      </c>
      <c r="N1700" t="s">
        <v>3932</v>
      </c>
      <c r="O1700" t="s">
        <v>509</v>
      </c>
      <c r="R1700" t="s">
        <v>4053</v>
      </c>
      <c r="S1700" t="s">
        <v>2864</v>
      </c>
      <c r="V1700" t="s">
        <v>2855</v>
      </c>
      <c r="W1700" t="s">
        <v>2865</v>
      </c>
      <c r="AD1700" t="s">
        <v>4054</v>
      </c>
    </row>
    <row r="1701" spans="1:30" x14ac:dyDescent="0.25">
      <c r="A1701" t="s">
        <v>33</v>
      </c>
      <c r="D1701" t="s">
        <v>2847</v>
      </c>
      <c r="E1701" t="s">
        <v>2848</v>
      </c>
      <c r="F1701" t="s">
        <v>87</v>
      </c>
      <c r="G1701" t="s">
        <v>3666</v>
      </c>
      <c r="H1701" t="s">
        <v>38</v>
      </c>
      <c r="I1701" t="s">
        <v>106</v>
      </c>
      <c r="J1701" t="s">
        <v>40</v>
      </c>
      <c r="K1701" t="s">
        <v>41</v>
      </c>
      <c r="L1701" t="s">
        <v>3667</v>
      </c>
      <c r="M1701" t="s">
        <v>252</v>
      </c>
      <c r="N1701" t="s">
        <v>3668</v>
      </c>
      <c r="O1701" t="s">
        <v>109</v>
      </c>
      <c r="R1701" t="s">
        <v>4055</v>
      </c>
      <c r="S1701" t="s">
        <v>2854</v>
      </c>
      <c r="V1701" t="s">
        <v>2855</v>
      </c>
      <c r="W1701" t="s">
        <v>2856</v>
      </c>
      <c r="AD1701" t="s">
        <v>4056</v>
      </c>
    </row>
    <row r="1702" spans="1:30" x14ac:dyDescent="0.25">
      <c r="A1702" t="s">
        <v>33</v>
      </c>
      <c r="D1702" t="s">
        <v>2847</v>
      </c>
      <c r="E1702" t="s">
        <v>2848</v>
      </c>
      <c r="F1702" t="s">
        <v>87</v>
      </c>
      <c r="G1702" t="s">
        <v>4049</v>
      </c>
      <c r="H1702" t="s">
        <v>38</v>
      </c>
      <c r="I1702" t="s">
        <v>24</v>
      </c>
      <c r="J1702" t="s">
        <v>69</v>
      </c>
      <c r="K1702" t="s">
        <v>41</v>
      </c>
      <c r="L1702" t="s">
        <v>4050</v>
      </c>
      <c r="M1702" t="s">
        <v>493</v>
      </c>
      <c r="N1702" t="s">
        <v>4051</v>
      </c>
      <c r="O1702" t="s">
        <v>509</v>
      </c>
      <c r="R1702" t="s">
        <v>4053</v>
      </c>
      <c r="S1702" t="s">
        <v>2882</v>
      </c>
      <c r="V1702" t="s">
        <v>2855</v>
      </c>
      <c r="W1702" t="s">
        <v>2856</v>
      </c>
      <c r="AD1702" t="s">
        <v>4057</v>
      </c>
    </row>
    <row r="1703" spans="1:30" x14ac:dyDescent="0.25">
      <c r="A1703" t="s">
        <v>33</v>
      </c>
      <c r="D1703" t="s">
        <v>2847</v>
      </c>
      <c r="E1703" t="s">
        <v>2859</v>
      </c>
      <c r="F1703" t="s">
        <v>87</v>
      </c>
      <c r="G1703" t="s">
        <v>2884</v>
      </c>
      <c r="H1703" t="s">
        <v>38</v>
      </c>
      <c r="I1703" t="s">
        <v>25</v>
      </c>
      <c r="J1703" t="s">
        <v>69</v>
      </c>
      <c r="K1703" t="s">
        <v>41</v>
      </c>
      <c r="L1703" t="s">
        <v>2885</v>
      </c>
      <c r="M1703" t="s">
        <v>3327</v>
      </c>
      <c r="N1703" t="s">
        <v>2886</v>
      </c>
      <c r="O1703" t="s">
        <v>512</v>
      </c>
      <c r="R1703" t="s">
        <v>3357</v>
      </c>
      <c r="S1703" t="s">
        <v>2864</v>
      </c>
      <c r="V1703" t="s">
        <v>2855</v>
      </c>
      <c r="W1703" t="s">
        <v>2865</v>
      </c>
      <c r="X1703" t="s">
        <v>1193</v>
      </c>
      <c r="AD1703" t="s">
        <v>4058</v>
      </c>
    </row>
    <row r="1704" spans="1:30" x14ac:dyDescent="0.25">
      <c r="A1704" t="s">
        <v>33</v>
      </c>
      <c r="D1704" t="s">
        <v>2847</v>
      </c>
      <c r="E1704" t="s">
        <v>2848</v>
      </c>
      <c r="F1704" t="s">
        <v>87</v>
      </c>
      <c r="G1704" t="s">
        <v>3666</v>
      </c>
      <c r="H1704" t="s">
        <v>38</v>
      </c>
      <c r="I1704" t="s">
        <v>25</v>
      </c>
      <c r="J1704" t="s">
        <v>69</v>
      </c>
      <c r="K1704" t="s">
        <v>41</v>
      </c>
      <c r="L1704" t="s">
        <v>3667</v>
      </c>
      <c r="M1704" t="s">
        <v>252</v>
      </c>
      <c r="N1704" t="s">
        <v>3668</v>
      </c>
      <c r="O1704" t="s">
        <v>512</v>
      </c>
      <c r="R1704" t="s">
        <v>3984</v>
      </c>
      <c r="S1704" t="s">
        <v>2854</v>
      </c>
      <c r="V1704" t="s">
        <v>2855</v>
      </c>
      <c r="W1704" t="s">
        <v>2856</v>
      </c>
      <c r="AD1704" t="s">
        <v>4059</v>
      </c>
    </row>
    <row r="1705" spans="1:30" x14ac:dyDescent="0.25">
      <c r="A1705" t="s">
        <v>33</v>
      </c>
      <c r="D1705" t="s">
        <v>2847</v>
      </c>
      <c r="E1705" t="s">
        <v>2848</v>
      </c>
      <c r="F1705" t="s">
        <v>87</v>
      </c>
      <c r="G1705" t="s">
        <v>4060</v>
      </c>
      <c r="H1705" t="s">
        <v>38</v>
      </c>
      <c r="I1705" t="s">
        <v>25</v>
      </c>
      <c r="J1705" t="s">
        <v>69</v>
      </c>
      <c r="K1705" t="s">
        <v>41</v>
      </c>
      <c r="L1705" t="s">
        <v>4061</v>
      </c>
      <c r="M1705" t="s">
        <v>493</v>
      </c>
      <c r="N1705" t="s">
        <v>4062</v>
      </c>
      <c r="O1705" t="s">
        <v>512</v>
      </c>
      <c r="R1705" t="s">
        <v>3357</v>
      </c>
      <c r="S1705" t="s">
        <v>2882</v>
      </c>
      <c r="V1705" t="s">
        <v>2855</v>
      </c>
      <c r="W1705" t="s">
        <v>2856</v>
      </c>
      <c r="AD1705" t="s">
        <v>4063</v>
      </c>
    </row>
    <row r="1706" spans="1:30" x14ac:dyDescent="0.25">
      <c r="A1706" t="s">
        <v>33</v>
      </c>
      <c r="D1706" t="s">
        <v>2847</v>
      </c>
      <c r="E1706" t="s">
        <v>2859</v>
      </c>
      <c r="F1706" t="s">
        <v>87</v>
      </c>
      <c r="G1706" t="s">
        <v>2884</v>
      </c>
      <c r="H1706" t="s">
        <v>38</v>
      </c>
      <c r="I1706" t="s">
        <v>24</v>
      </c>
      <c r="J1706" t="s">
        <v>69</v>
      </c>
      <c r="K1706" t="s">
        <v>41</v>
      </c>
      <c r="L1706" t="s">
        <v>2885</v>
      </c>
      <c r="M1706" t="s">
        <v>3327</v>
      </c>
      <c r="N1706" t="s">
        <v>2886</v>
      </c>
      <c r="O1706" t="s">
        <v>509</v>
      </c>
      <c r="R1706" t="s">
        <v>3359</v>
      </c>
      <c r="S1706" t="s">
        <v>2864</v>
      </c>
      <c r="V1706" t="s">
        <v>2855</v>
      </c>
      <c r="W1706" t="s">
        <v>2865</v>
      </c>
      <c r="X1706" t="s">
        <v>1193</v>
      </c>
      <c r="AD1706" t="s">
        <v>4064</v>
      </c>
    </row>
    <row r="1707" spans="1:30" x14ac:dyDescent="0.25">
      <c r="A1707" t="s">
        <v>33</v>
      </c>
      <c r="D1707" t="s">
        <v>2847</v>
      </c>
      <c r="E1707" t="s">
        <v>2848</v>
      </c>
      <c r="F1707" t="s">
        <v>87</v>
      </c>
      <c r="G1707" t="s">
        <v>3666</v>
      </c>
      <c r="H1707" t="s">
        <v>38</v>
      </c>
      <c r="I1707" t="s">
        <v>24</v>
      </c>
      <c r="J1707" t="s">
        <v>69</v>
      </c>
      <c r="K1707" t="s">
        <v>41</v>
      </c>
      <c r="L1707" t="s">
        <v>3667</v>
      </c>
      <c r="M1707" t="s">
        <v>252</v>
      </c>
      <c r="N1707" t="s">
        <v>3668</v>
      </c>
      <c r="O1707" t="s">
        <v>509</v>
      </c>
      <c r="R1707" t="s">
        <v>3992</v>
      </c>
      <c r="S1707" t="s">
        <v>2854</v>
      </c>
      <c r="V1707" t="s">
        <v>2855</v>
      </c>
      <c r="W1707" t="s">
        <v>2856</v>
      </c>
      <c r="AD1707" t="s">
        <v>4065</v>
      </c>
    </row>
    <row r="1708" spans="1:30" x14ac:dyDescent="0.25">
      <c r="A1708" t="s">
        <v>33</v>
      </c>
      <c r="D1708" t="s">
        <v>2847</v>
      </c>
      <c r="E1708" t="s">
        <v>2848</v>
      </c>
      <c r="F1708" t="s">
        <v>87</v>
      </c>
      <c r="G1708" t="s">
        <v>4060</v>
      </c>
      <c r="H1708" t="s">
        <v>38</v>
      </c>
      <c r="I1708" t="s">
        <v>24</v>
      </c>
      <c r="J1708" t="s">
        <v>69</v>
      </c>
      <c r="K1708" t="s">
        <v>41</v>
      </c>
      <c r="L1708" t="s">
        <v>4061</v>
      </c>
      <c r="M1708" t="s">
        <v>493</v>
      </c>
      <c r="N1708" t="s">
        <v>4062</v>
      </c>
      <c r="O1708" t="s">
        <v>509</v>
      </c>
      <c r="R1708" t="s">
        <v>3359</v>
      </c>
      <c r="S1708" t="s">
        <v>2882</v>
      </c>
      <c r="V1708" t="s">
        <v>2855</v>
      </c>
      <c r="W1708" t="s">
        <v>2856</v>
      </c>
      <c r="AD1708" t="s">
        <v>4066</v>
      </c>
    </row>
    <row r="1709" spans="1:30" x14ac:dyDescent="0.25">
      <c r="A1709" t="s">
        <v>33</v>
      </c>
      <c r="D1709" t="s">
        <v>2847</v>
      </c>
      <c r="E1709" t="s">
        <v>2848</v>
      </c>
      <c r="F1709" t="s">
        <v>87</v>
      </c>
      <c r="G1709" t="s">
        <v>389</v>
      </c>
      <c r="H1709" t="s">
        <v>38</v>
      </c>
      <c r="I1709" t="s">
        <v>25</v>
      </c>
      <c r="J1709" t="s">
        <v>69</v>
      </c>
      <c r="K1709" t="s">
        <v>41</v>
      </c>
      <c r="L1709" t="s">
        <v>390</v>
      </c>
      <c r="M1709" t="s">
        <v>53</v>
      </c>
      <c r="N1709" t="s">
        <v>4067</v>
      </c>
      <c r="O1709" t="s">
        <v>512</v>
      </c>
      <c r="R1709" t="s">
        <v>3436</v>
      </c>
      <c r="S1709" t="s">
        <v>2882</v>
      </c>
      <c r="V1709" t="s">
        <v>2855</v>
      </c>
      <c r="W1709" t="s">
        <v>2856</v>
      </c>
      <c r="X1709" t="s">
        <v>56</v>
      </c>
      <c r="AD1709" t="s">
        <v>4068</v>
      </c>
    </row>
    <row r="1710" spans="1:30" x14ac:dyDescent="0.25">
      <c r="A1710" t="s">
        <v>33</v>
      </c>
      <c r="D1710" t="s">
        <v>2847</v>
      </c>
      <c r="E1710" t="s">
        <v>2848</v>
      </c>
      <c r="F1710" t="s">
        <v>87</v>
      </c>
      <c r="G1710" t="s">
        <v>4069</v>
      </c>
      <c r="H1710" t="s">
        <v>153</v>
      </c>
      <c r="I1710" t="s">
        <v>144</v>
      </c>
      <c r="J1710" t="s">
        <v>154</v>
      </c>
      <c r="K1710" t="s">
        <v>155</v>
      </c>
      <c r="L1710" t="s">
        <v>4070</v>
      </c>
      <c r="N1710" t="s">
        <v>4071</v>
      </c>
      <c r="O1710" t="s">
        <v>156</v>
      </c>
      <c r="R1710" t="s">
        <v>4072</v>
      </c>
      <c r="S1710" t="s">
        <v>2854</v>
      </c>
      <c r="V1710" t="s">
        <v>2855</v>
      </c>
      <c r="W1710" t="s">
        <v>2856</v>
      </c>
      <c r="AD1710" t="s">
        <v>4073</v>
      </c>
    </row>
    <row r="1711" spans="1:30" x14ac:dyDescent="0.25">
      <c r="A1711" t="s">
        <v>33</v>
      </c>
      <c r="D1711" t="s">
        <v>2847</v>
      </c>
      <c r="E1711" t="s">
        <v>2848</v>
      </c>
      <c r="F1711" t="s">
        <v>87</v>
      </c>
      <c r="G1711" t="s">
        <v>389</v>
      </c>
      <c r="H1711" t="s">
        <v>38</v>
      </c>
      <c r="I1711" t="s">
        <v>24</v>
      </c>
      <c r="J1711" t="s">
        <v>69</v>
      </c>
      <c r="K1711" t="s">
        <v>41</v>
      </c>
      <c r="L1711" t="s">
        <v>390</v>
      </c>
      <c r="M1711" t="s">
        <v>53</v>
      </c>
      <c r="N1711" t="s">
        <v>4067</v>
      </c>
      <c r="O1711" t="s">
        <v>509</v>
      </c>
      <c r="R1711" t="s">
        <v>3438</v>
      </c>
      <c r="S1711" t="s">
        <v>2882</v>
      </c>
      <c r="V1711" t="s">
        <v>2855</v>
      </c>
      <c r="W1711" t="s">
        <v>2856</v>
      </c>
      <c r="X1711" t="s">
        <v>56</v>
      </c>
      <c r="AD1711" t="s">
        <v>4074</v>
      </c>
    </row>
    <row r="1712" spans="1:30" x14ac:dyDescent="0.25">
      <c r="A1712" t="s">
        <v>33</v>
      </c>
      <c r="D1712" t="s">
        <v>2847</v>
      </c>
      <c r="E1712" t="s">
        <v>2848</v>
      </c>
      <c r="F1712" t="s">
        <v>87</v>
      </c>
      <c r="G1712" t="s">
        <v>4069</v>
      </c>
      <c r="H1712" t="s">
        <v>89</v>
      </c>
      <c r="I1712" t="s">
        <v>144</v>
      </c>
      <c r="J1712" t="s">
        <v>91</v>
      </c>
      <c r="K1712" t="s">
        <v>92</v>
      </c>
      <c r="L1712" t="s">
        <v>4070</v>
      </c>
      <c r="M1712" t="s">
        <v>94</v>
      </c>
      <c r="N1712" t="s">
        <v>4071</v>
      </c>
      <c r="O1712" t="s">
        <v>150</v>
      </c>
      <c r="P1712">
        <v>1E-3</v>
      </c>
      <c r="R1712" t="s">
        <v>4075</v>
      </c>
      <c r="S1712" t="s">
        <v>2854</v>
      </c>
      <c r="V1712" t="s">
        <v>2855</v>
      </c>
      <c r="W1712" t="s">
        <v>2856</v>
      </c>
      <c r="AD1712" t="s">
        <v>4076</v>
      </c>
    </row>
    <row r="1713" spans="1:30" x14ac:dyDescent="0.25">
      <c r="A1713" t="s">
        <v>33</v>
      </c>
      <c r="D1713" t="s">
        <v>2847</v>
      </c>
      <c r="E1713" t="s">
        <v>2848</v>
      </c>
      <c r="F1713" t="s">
        <v>87</v>
      </c>
      <c r="G1713" t="s">
        <v>2220</v>
      </c>
      <c r="H1713" t="s">
        <v>38</v>
      </c>
      <c r="I1713" t="s">
        <v>25</v>
      </c>
      <c r="J1713" t="s">
        <v>69</v>
      </c>
      <c r="K1713" t="s">
        <v>41</v>
      </c>
      <c r="L1713" t="s">
        <v>2221</v>
      </c>
      <c r="M1713" t="s">
        <v>252</v>
      </c>
      <c r="N1713" t="s">
        <v>4077</v>
      </c>
      <c r="O1713" t="s">
        <v>512</v>
      </c>
      <c r="R1713" t="s">
        <v>4078</v>
      </c>
      <c r="S1713" t="s">
        <v>2864</v>
      </c>
      <c r="V1713" t="s">
        <v>2855</v>
      </c>
      <c r="W1713" t="s">
        <v>2856</v>
      </c>
      <c r="AD1713" t="s">
        <v>4079</v>
      </c>
    </row>
    <row r="1714" spans="1:30" x14ac:dyDescent="0.25">
      <c r="A1714" t="s">
        <v>33</v>
      </c>
      <c r="D1714" t="s">
        <v>2847</v>
      </c>
      <c r="E1714" t="s">
        <v>2848</v>
      </c>
      <c r="F1714" t="s">
        <v>87</v>
      </c>
      <c r="G1714" t="s">
        <v>4069</v>
      </c>
      <c r="H1714" t="s">
        <v>143</v>
      </c>
      <c r="I1714" t="s">
        <v>144</v>
      </c>
      <c r="J1714" t="s">
        <v>145</v>
      </c>
      <c r="K1714" t="s">
        <v>146</v>
      </c>
      <c r="L1714" t="s">
        <v>4070</v>
      </c>
      <c r="M1714" t="s">
        <v>252</v>
      </c>
      <c r="N1714" t="s">
        <v>4071</v>
      </c>
      <c r="O1714" t="s">
        <v>147</v>
      </c>
      <c r="R1714" t="s">
        <v>4080</v>
      </c>
      <c r="S1714" t="s">
        <v>2854</v>
      </c>
      <c r="V1714" t="s">
        <v>2855</v>
      </c>
      <c r="W1714" t="s">
        <v>2856</v>
      </c>
      <c r="AD1714" t="s">
        <v>4081</v>
      </c>
    </row>
    <row r="1715" spans="1:30" x14ac:dyDescent="0.25">
      <c r="A1715" t="s">
        <v>33</v>
      </c>
      <c r="D1715" t="s">
        <v>2847</v>
      </c>
      <c r="E1715" t="s">
        <v>2848</v>
      </c>
      <c r="F1715" t="s">
        <v>87</v>
      </c>
      <c r="G1715" t="s">
        <v>2220</v>
      </c>
      <c r="H1715" t="s">
        <v>38</v>
      </c>
      <c r="I1715" t="s">
        <v>24</v>
      </c>
      <c r="J1715" t="s">
        <v>69</v>
      </c>
      <c r="K1715" t="s">
        <v>41</v>
      </c>
      <c r="L1715" t="s">
        <v>2221</v>
      </c>
      <c r="M1715" t="s">
        <v>252</v>
      </c>
      <c r="N1715" t="s">
        <v>4077</v>
      </c>
      <c r="O1715" t="s">
        <v>509</v>
      </c>
      <c r="R1715" t="s">
        <v>4082</v>
      </c>
      <c r="S1715" t="s">
        <v>2864</v>
      </c>
      <c r="V1715" t="s">
        <v>2855</v>
      </c>
      <c r="W1715" t="s">
        <v>2856</v>
      </c>
      <c r="AD1715" t="s">
        <v>4083</v>
      </c>
    </row>
    <row r="1716" spans="1:30" x14ac:dyDescent="0.25">
      <c r="A1716" t="s">
        <v>33</v>
      </c>
      <c r="D1716" t="s">
        <v>2847</v>
      </c>
      <c r="E1716" t="s">
        <v>2848</v>
      </c>
      <c r="F1716" t="s">
        <v>87</v>
      </c>
      <c r="G1716" t="s">
        <v>4069</v>
      </c>
      <c r="H1716" t="s">
        <v>143</v>
      </c>
      <c r="I1716" t="s">
        <v>144</v>
      </c>
      <c r="J1716" t="s">
        <v>145</v>
      </c>
      <c r="K1716" t="s">
        <v>262</v>
      </c>
      <c r="L1716" t="s">
        <v>4070</v>
      </c>
      <c r="M1716" t="s">
        <v>252</v>
      </c>
      <c r="N1716" t="s">
        <v>4071</v>
      </c>
      <c r="O1716" t="s">
        <v>147</v>
      </c>
      <c r="R1716" t="s">
        <v>4084</v>
      </c>
      <c r="S1716" t="s">
        <v>2854</v>
      </c>
      <c r="V1716" t="s">
        <v>2855</v>
      </c>
      <c r="W1716" t="s">
        <v>2856</v>
      </c>
      <c r="AD1716" t="s">
        <v>4081</v>
      </c>
    </row>
    <row r="1717" spans="1:30" x14ac:dyDescent="0.25">
      <c r="A1717" t="s">
        <v>33</v>
      </c>
      <c r="D1717" t="s">
        <v>2847</v>
      </c>
      <c r="E1717" t="s">
        <v>2869</v>
      </c>
      <c r="F1717" t="s">
        <v>87</v>
      </c>
      <c r="G1717" t="s">
        <v>4085</v>
      </c>
      <c r="H1717" t="s">
        <v>38</v>
      </c>
      <c r="I1717" t="s">
        <v>25</v>
      </c>
      <c r="J1717" t="s">
        <v>69</v>
      </c>
      <c r="K1717" t="s">
        <v>41</v>
      </c>
      <c r="L1717" t="s">
        <v>4086</v>
      </c>
      <c r="M1717" t="s">
        <v>252</v>
      </c>
      <c r="N1717" t="s">
        <v>4087</v>
      </c>
      <c r="O1717" t="s">
        <v>512</v>
      </c>
      <c r="R1717" t="s">
        <v>4088</v>
      </c>
      <c r="S1717" t="s">
        <v>2864</v>
      </c>
      <c r="V1717" t="s">
        <v>2855</v>
      </c>
      <c r="W1717" t="s">
        <v>2865</v>
      </c>
      <c r="AD1717" t="s">
        <v>4089</v>
      </c>
    </row>
    <row r="1718" spans="1:30" x14ac:dyDescent="0.25">
      <c r="A1718" t="s">
        <v>33</v>
      </c>
      <c r="D1718" t="s">
        <v>2847</v>
      </c>
      <c r="E1718" t="s">
        <v>2869</v>
      </c>
      <c r="F1718" t="s">
        <v>87</v>
      </c>
      <c r="G1718" t="s">
        <v>4085</v>
      </c>
      <c r="H1718" t="s">
        <v>38</v>
      </c>
      <c r="I1718" t="s">
        <v>24</v>
      </c>
      <c r="J1718" t="s">
        <v>69</v>
      </c>
      <c r="K1718" t="s">
        <v>41</v>
      </c>
      <c r="L1718" t="s">
        <v>4086</v>
      </c>
      <c r="M1718" t="s">
        <v>252</v>
      </c>
      <c r="N1718" t="s">
        <v>4087</v>
      </c>
      <c r="O1718" t="s">
        <v>509</v>
      </c>
      <c r="R1718" t="s">
        <v>4090</v>
      </c>
      <c r="S1718" t="s">
        <v>2864</v>
      </c>
      <c r="V1718" t="s">
        <v>2855</v>
      </c>
      <c r="W1718" t="s">
        <v>2865</v>
      </c>
      <c r="AD1718" t="s">
        <v>4091</v>
      </c>
    </row>
    <row r="1719" spans="1:30" x14ac:dyDescent="0.25">
      <c r="A1719" t="s">
        <v>33</v>
      </c>
      <c r="D1719" t="s">
        <v>2847</v>
      </c>
      <c r="E1719" t="s">
        <v>2848</v>
      </c>
      <c r="F1719" t="s">
        <v>87</v>
      </c>
      <c r="G1719" t="s">
        <v>4069</v>
      </c>
      <c r="H1719" t="s">
        <v>153</v>
      </c>
      <c r="I1719" t="s">
        <v>90</v>
      </c>
      <c r="J1719" t="s">
        <v>154</v>
      </c>
      <c r="K1719" t="s">
        <v>155</v>
      </c>
      <c r="L1719" t="s">
        <v>4070</v>
      </c>
      <c r="N1719" t="s">
        <v>4071</v>
      </c>
      <c r="O1719" t="s">
        <v>386</v>
      </c>
      <c r="R1719" t="s">
        <v>4092</v>
      </c>
      <c r="S1719" t="s">
        <v>2854</v>
      </c>
      <c r="V1719" t="s">
        <v>2855</v>
      </c>
      <c r="W1719" t="s">
        <v>2856</v>
      </c>
      <c r="AD1719" t="s">
        <v>4093</v>
      </c>
    </row>
    <row r="1720" spans="1:30" x14ac:dyDescent="0.25">
      <c r="A1720" t="s">
        <v>33</v>
      </c>
      <c r="D1720" t="s">
        <v>2847</v>
      </c>
      <c r="E1720" t="s">
        <v>2848</v>
      </c>
      <c r="F1720" t="s">
        <v>87</v>
      </c>
      <c r="G1720" t="s">
        <v>4069</v>
      </c>
      <c r="H1720" t="s">
        <v>89</v>
      </c>
      <c r="I1720" t="s">
        <v>90</v>
      </c>
      <c r="J1720" t="s">
        <v>91</v>
      </c>
      <c r="K1720" t="s">
        <v>92</v>
      </c>
      <c r="L1720" t="s">
        <v>4070</v>
      </c>
      <c r="M1720" t="s">
        <v>94</v>
      </c>
      <c r="N1720" t="s">
        <v>4071</v>
      </c>
      <c r="O1720" t="s">
        <v>383</v>
      </c>
      <c r="P1720">
        <v>1E-3</v>
      </c>
      <c r="R1720" t="s">
        <v>4094</v>
      </c>
      <c r="S1720" t="s">
        <v>2854</v>
      </c>
      <c r="V1720" t="s">
        <v>2855</v>
      </c>
      <c r="W1720" t="s">
        <v>2856</v>
      </c>
      <c r="AD1720" t="s">
        <v>4095</v>
      </c>
    </row>
    <row r="1721" spans="1:30" x14ac:dyDescent="0.25">
      <c r="A1721" t="s">
        <v>33</v>
      </c>
      <c r="D1721" t="s">
        <v>2847</v>
      </c>
      <c r="E1721" t="s">
        <v>2848</v>
      </c>
      <c r="F1721" t="s">
        <v>87</v>
      </c>
      <c r="G1721" t="s">
        <v>4069</v>
      </c>
      <c r="H1721" t="s">
        <v>143</v>
      </c>
      <c r="I1721" t="s">
        <v>90</v>
      </c>
      <c r="J1721" t="s">
        <v>145</v>
      </c>
      <c r="K1721" t="s">
        <v>262</v>
      </c>
      <c r="L1721" t="s">
        <v>4070</v>
      </c>
      <c r="M1721" t="s">
        <v>252</v>
      </c>
      <c r="N1721" t="s">
        <v>4071</v>
      </c>
      <c r="O1721" t="s">
        <v>380</v>
      </c>
      <c r="R1721" t="s">
        <v>4096</v>
      </c>
      <c r="S1721" t="s">
        <v>2854</v>
      </c>
      <c r="V1721" t="s">
        <v>2855</v>
      </c>
      <c r="W1721" t="s">
        <v>2856</v>
      </c>
      <c r="AD1721" t="s">
        <v>4097</v>
      </c>
    </row>
    <row r="1722" spans="1:30" x14ac:dyDescent="0.25">
      <c r="A1722" t="s">
        <v>33</v>
      </c>
      <c r="D1722" t="s">
        <v>2847</v>
      </c>
      <c r="E1722" t="s">
        <v>2848</v>
      </c>
      <c r="F1722" t="s">
        <v>87</v>
      </c>
      <c r="G1722" t="s">
        <v>4069</v>
      </c>
      <c r="H1722" t="s">
        <v>143</v>
      </c>
      <c r="I1722" t="s">
        <v>90</v>
      </c>
      <c r="J1722" t="s">
        <v>145</v>
      </c>
      <c r="K1722" t="s">
        <v>146</v>
      </c>
      <c r="L1722" t="s">
        <v>4070</v>
      </c>
      <c r="M1722" t="s">
        <v>252</v>
      </c>
      <c r="N1722" t="s">
        <v>4071</v>
      </c>
      <c r="O1722" t="s">
        <v>380</v>
      </c>
      <c r="R1722" t="s">
        <v>4098</v>
      </c>
      <c r="S1722" t="s">
        <v>2854</v>
      </c>
      <c r="V1722" t="s">
        <v>2855</v>
      </c>
      <c r="W1722" t="s">
        <v>2856</v>
      </c>
      <c r="AD1722" t="s">
        <v>4097</v>
      </c>
    </row>
    <row r="1723" spans="1:30" x14ac:dyDescent="0.25">
      <c r="A1723" t="s">
        <v>33</v>
      </c>
      <c r="D1723" t="s">
        <v>2847</v>
      </c>
      <c r="E1723" t="s">
        <v>2848</v>
      </c>
      <c r="F1723" t="s">
        <v>87</v>
      </c>
      <c r="G1723" t="s">
        <v>4069</v>
      </c>
      <c r="H1723" t="s">
        <v>153</v>
      </c>
      <c r="I1723" t="s">
        <v>180</v>
      </c>
      <c r="J1723" t="s">
        <v>154</v>
      </c>
      <c r="K1723" t="s">
        <v>155</v>
      </c>
      <c r="L1723" t="s">
        <v>4070</v>
      </c>
      <c r="N1723" t="s">
        <v>4071</v>
      </c>
      <c r="O1723" t="s">
        <v>187</v>
      </c>
      <c r="R1723" t="s">
        <v>4099</v>
      </c>
      <c r="S1723" t="s">
        <v>2854</v>
      </c>
      <c r="V1723" t="s">
        <v>2855</v>
      </c>
      <c r="W1723" t="s">
        <v>2856</v>
      </c>
      <c r="AD1723" t="s">
        <v>4100</v>
      </c>
    </row>
    <row r="1724" spans="1:30" x14ac:dyDescent="0.25">
      <c r="A1724" t="s">
        <v>33</v>
      </c>
      <c r="D1724" t="s">
        <v>2847</v>
      </c>
      <c r="E1724" t="s">
        <v>2848</v>
      </c>
      <c r="F1724" t="s">
        <v>87</v>
      </c>
      <c r="G1724" t="s">
        <v>4069</v>
      </c>
      <c r="H1724" t="s">
        <v>89</v>
      </c>
      <c r="I1724" t="s">
        <v>180</v>
      </c>
      <c r="J1724" t="s">
        <v>91</v>
      </c>
      <c r="K1724" t="s">
        <v>92</v>
      </c>
      <c r="L1724" t="s">
        <v>4070</v>
      </c>
      <c r="M1724" t="s">
        <v>94</v>
      </c>
      <c r="N1724" t="s">
        <v>4071</v>
      </c>
      <c r="O1724" t="s">
        <v>184</v>
      </c>
      <c r="P1724">
        <v>1E-3</v>
      </c>
      <c r="R1724" t="s">
        <v>4101</v>
      </c>
      <c r="S1724" t="s">
        <v>2854</v>
      </c>
      <c r="V1724" t="s">
        <v>2855</v>
      </c>
      <c r="W1724" t="s">
        <v>2856</v>
      </c>
      <c r="AD1724" t="s">
        <v>4102</v>
      </c>
    </row>
    <row r="1725" spans="1:30" x14ac:dyDescent="0.25">
      <c r="A1725" t="s">
        <v>33</v>
      </c>
      <c r="D1725" t="s">
        <v>2847</v>
      </c>
      <c r="E1725" t="s">
        <v>2848</v>
      </c>
      <c r="F1725" t="s">
        <v>87</v>
      </c>
      <c r="G1725" t="s">
        <v>4069</v>
      </c>
      <c r="H1725" t="s">
        <v>143</v>
      </c>
      <c r="I1725" t="s">
        <v>180</v>
      </c>
      <c r="J1725" t="s">
        <v>145</v>
      </c>
      <c r="K1725" t="s">
        <v>146</v>
      </c>
      <c r="L1725" t="s">
        <v>4070</v>
      </c>
      <c r="M1725" t="s">
        <v>252</v>
      </c>
      <c r="N1725" t="s">
        <v>4071</v>
      </c>
      <c r="O1725" t="s">
        <v>181</v>
      </c>
      <c r="R1725" t="s">
        <v>4103</v>
      </c>
      <c r="S1725" t="s">
        <v>2854</v>
      </c>
      <c r="V1725" t="s">
        <v>2855</v>
      </c>
      <c r="W1725" t="s">
        <v>2856</v>
      </c>
      <c r="AD1725" t="s">
        <v>4104</v>
      </c>
    </row>
    <row r="1726" spans="1:30" x14ac:dyDescent="0.25">
      <c r="A1726" t="s">
        <v>33</v>
      </c>
      <c r="D1726" t="s">
        <v>2847</v>
      </c>
      <c r="E1726" t="s">
        <v>2848</v>
      </c>
      <c r="F1726" t="s">
        <v>87</v>
      </c>
      <c r="G1726" t="s">
        <v>4069</v>
      </c>
      <c r="H1726" t="s">
        <v>143</v>
      </c>
      <c r="I1726" t="s">
        <v>180</v>
      </c>
      <c r="J1726" t="s">
        <v>145</v>
      </c>
      <c r="K1726" t="s">
        <v>262</v>
      </c>
      <c r="L1726" t="s">
        <v>4070</v>
      </c>
      <c r="M1726" t="s">
        <v>252</v>
      </c>
      <c r="N1726" t="s">
        <v>4071</v>
      </c>
      <c r="O1726" t="s">
        <v>181</v>
      </c>
      <c r="R1726" t="s">
        <v>4105</v>
      </c>
      <c r="S1726" t="s">
        <v>2854</v>
      </c>
      <c r="V1726" t="s">
        <v>2855</v>
      </c>
      <c r="W1726" t="s">
        <v>2856</v>
      </c>
      <c r="AD1726" t="s">
        <v>4104</v>
      </c>
    </row>
    <row r="1727" spans="1:30" x14ac:dyDescent="0.25">
      <c r="A1727" t="s">
        <v>33</v>
      </c>
      <c r="D1727" t="s">
        <v>2847</v>
      </c>
      <c r="E1727" t="s">
        <v>2848</v>
      </c>
      <c r="F1727" t="s">
        <v>87</v>
      </c>
      <c r="G1727" t="s">
        <v>4069</v>
      </c>
      <c r="H1727" t="s">
        <v>153</v>
      </c>
      <c r="I1727" t="s">
        <v>100</v>
      </c>
      <c r="J1727" t="s">
        <v>154</v>
      </c>
      <c r="K1727" t="s">
        <v>155</v>
      </c>
      <c r="L1727" t="s">
        <v>4070</v>
      </c>
      <c r="N1727" t="s">
        <v>4071</v>
      </c>
      <c r="O1727" t="s">
        <v>448</v>
      </c>
      <c r="R1727" t="s">
        <v>4106</v>
      </c>
      <c r="S1727" t="s">
        <v>2854</v>
      </c>
      <c r="V1727" t="s">
        <v>2855</v>
      </c>
      <c r="W1727" t="s">
        <v>2856</v>
      </c>
      <c r="AD1727" t="s">
        <v>4107</v>
      </c>
    </row>
    <row r="1728" spans="1:30" x14ac:dyDescent="0.25">
      <c r="A1728" t="s">
        <v>33</v>
      </c>
      <c r="D1728" t="s">
        <v>2847</v>
      </c>
      <c r="E1728" t="s">
        <v>2848</v>
      </c>
      <c r="F1728" t="s">
        <v>87</v>
      </c>
      <c r="G1728" t="s">
        <v>4069</v>
      </c>
      <c r="H1728" t="s">
        <v>89</v>
      </c>
      <c r="I1728" t="s">
        <v>100</v>
      </c>
      <c r="J1728" t="s">
        <v>91</v>
      </c>
      <c r="K1728" t="s">
        <v>92</v>
      </c>
      <c r="L1728" t="s">
        <v>4070</v>
      </c>
      <c r="M1728" t="s">
        <v>94</v>
      </c>
      <c r="N1728" t="s">
        <v>4071</v>
      </c>
      <c r="O1728" t="s">
        <v>445</v>
      </c>
      <c r="P1728">
        <v>1E-3</v>
      </c>
      <c r="R1728" t="s">
        <v>4108</v>
      </c>
      <c r="S1728" t="s">
        <v>2854</v>
      </c>
      <c r="V1728" t="s">
        <v>2855</v>
      </c>
      <c r="W1728" t="s">
        <v>2856</v>
      </c>
      <c r="AD1728" t="s">
        <v>4109</v>
      </c>
    </row>
    <row r="1729" spans="1:32" x14ac:dyDescent="0.25">
      <c r="A1729" t="s">
        <v>33</v>
      </c>
      <c r="D1729" t="s">
        <v>2847</v>
      </c>
      <c r="E1729" t="s">
        <v>2848</v>
      </c>
      <c r="F1729" t="s">
        <v>87</v>
      </c>
      <c r="G1729" t="s">
        <v>4069</v>
      </c>
      <c r="H1729" t="s">
        <v>143</v>
      </c>
      <c r="I1729" t="s">
        <v>100</v>
      </c>
      <c r="J1729" t="s">
        <v>145</v>
      </c>
      <c r="K1729" t="s">
        <v>262</v>
      </c>
      <c r="L1729" t="s">
        <v>4070</v>
      </c>
      <c r="M1729" t="s">
        <v>252</v>
      </c>
      <c r="N1729" t="s">
        <v>4071</v>
      </c>
      <c r="O1729" t="s">
        <v>442</v>
      </c>
      <c r="R1729" t="s">
        <v>4110</v>
      </c>
      <c r="S1729" t="s">
        <v>2854</v>
      </c>
      <c r="V1729" t="s">
        <v>2855</v>
      </c>
      <c r="W1729" t="s">
        <v>2856</v>
      </c>
      <c r="AD1729" t="s">
        <v>4111</v>
      </c>
    </row>
    <row r="1730" spans="1:32" x14ac:dyDescent="0.25">
      <c r="A1730" t="s">
        <v>33</v>
      </c>
      <c r="D1730" t="s">
        <v>2847</v>
      </c>
      <c r="E1730" t="s">
        <v>2848</v>
      </c>
      <c r="F1730" t="s">
        <v>87</v>
      </c>
      <c r="G1730" t="s">
        <v>4069</v>
      </c>
      <c r="H1730" t="s">
        <v>143</v>
      </c>
      <c r="I1730" t="s">
        <v>100</v>
      </c>
      <c r="J1730" t="s">
        <v>145</v>
      </c>
      <c r="K1730" t="s">
        <v>146</v>
      </c>
      <c r="L1730" t="s">
        <v>4070</v>
      </c>
      <c r="M1730" t="s">
        <v>252</v>
      </c>
      <c r="N1730" t="s">
        <v>4071</v>
      </c>
      <c r="O1730" t="s">
        <v>442</v>
      </c>
      <c r="R1730" t="s">
        <v>4112</v>
      </c>
      <c r="S1730" t="s">
        <v>2854</v>
      </c>
      <c r="V1730" t="s">
        <v>2855</v>
      </c>
      <c r="W1730" t="s">
        <v>2856</v>
      </c>
      <c r="AD1730" t="s">
        <v>4111</v>
      </c>
    </row>
    <row r="1731" spans="1:32" x14ac:dyDescent="0.25">
      <c r="A1731" t="s">
        <v>33</v>
      </c>
      <c r="D1731" t="s">
        <v>2847</v>
      </c>
      <c r="E1731" t="s">
        <v>2848</v>
      </c>
      <c r="F1731" t="s">
        <v>87</v>
      </c>
      <c r="G1731" t="s">
        <v>4069</v>
      </c>
      <c r="H1731" t="s">
        <v>38</v>
      </c>
      <c r="I1731" t="s">
        <v>106</v>
      </c>
      <c r="J1731" t="s">
        <v>40</v>
      </c>
      <c r="K1731" t="s">
        <v>41</v>
      </c>
      <c r="L1731" t="s">
        <v>4070</v>
      </c>
      <c r="M1731" t="s">
        <v>252</v>
      </c>
      <c r="N1731" t="s">
        <v>4071</v>
      </c>
      <c r="O1731" t="s">
        <v>109</v>
      </c>
      <c r="R1731" t="s">
        <v>4113</v>
      </c>
      <c r="S1731" t="s">
        <v>2854</v>
      </c>
      <c r="V1731" t="s">
        <v>2855</v>
      </c>
      <c r="W1731" t="s">
        <v>2856</v>
      </c>
      <c r="AD1731" t="s">
        <v>4114</v>
      </c>
    </row>
    <row r="1732" spans="1:32" x14ac:dyDescent="0.25">
      <c r="A1732" t="s">
        <v>33</v>
      </c>
      <c r="D1732" t="s">
        <v>2847</v>
      </c>
      <c r="E1732" t="s">
        <v>2848</v>
      </c>
      <c r="F1732" t="s">
        <v>87</v>
      </c>
      <c r="G1732" t="s">
        <v>4069</v>
      </c>
      <c r="H1732" t="s">
        <v>38</v>
      </c>
      <c r="I1732" t="s">
        <v>25</v>
      </c>
      <c r="J1732" t="s">
        <v>69</v>
      </c>
      <c r="K1732" t="s">
        <v>41</v>
      </c>
      <c r="L1732" t="s">
        <v>4070</v>
      </c>
      <c r="M1732" t="s">
        <v>252</v>
      </c>
      <c r="N1732" t="s">
        <v>4071</v>
      </c>
      <c r="O1732" t="s">
        <v>512</v>
      </c>
      <c r="R1732" t="s">
        <v>537</v>
      </c>
      <c r="S1732" t="s">
        <v>2854</v>
      </c>
      <c r="V1732" t="s">
        <v>2855</v>
      </c>
      <c r="W1732" t="s">
        <v>2856</v>
      </c>
      <c r="AD1732" t="s">
        <v>4115</v>
      </c>
    </row>
    <row r="1733" spans="1:32" x14ac:dyDescent="0.25">
      <c r="A1733" t="s">
        <v>33</v>
      </c>
      <c r="D1733" t="s">
        <v>2847</v>
      </c>
      <c r="E1733" t="s">
        <v>2848</v>
      </c>
      <c r="F1733" t="s">
        <v>87</v>
      </c>
      <c r="G1733" t="s">
        <v>4069</v>
      </c>
      <c r="H1733" t="s">
        <v>38</v>
      </c>
      <c r="I1733" t="s">
        <v>24</v>
      </c>
      <c r="J1733" t="s">
        <v>69</v>
      </c>
      <c r="K1733" t="s">
        <v>41</v>
      </c>
      <c r="L1733" t="s">
        <v>4070</v>
      </c>
      <c r="M1733" t="s">
        <v>252</v>
      </c>
      <c r="N1733" t="s">
        <v>4071</v>
      </c>
      <c r="O1733" t="s">
        <v>509</v>
      </c>
      <c r="R1733" t="s">
        <v>535</v>
      </c>
      <c r="S1733" t="s">
        <v>2854</v>
      </c>
      <c r="V1733" t="s">
        <v>2855</v>
      </c>
      <c r="W1733" t="s">
        <v>2856</v>
      </c>
      <c r="AD1733" t="s">
        <v>4116</v>
      </c>
    </row>
    <row r="1734" spans="1:32" x14ac:dyDescent="0.25">
      <c r="A1734" t="s">
        <v>33</v>
      </c>
      <c r="D1734" t="s">
        <v>2847</v>
      </c>
      <c r="E1734" t="s">
        <v>2848</v>
      </c>
      <c r="F1734" t="s">
        <v>87</v>
      </c>
      <c r="G1734" t="s">
        <v>4117</v>
      </c>
      <c r="H1734" t="s">
        <v>153</v>
      </c>
      <c r="I1734" t="s">
        <v>144</v>
      </c>
      <c r="J1734" t="s">
        <v>154</v>
      </c>
      <c r="K1734" t="s">
        <v>155</v>
      </c>
      <c r="L1734" t="s">
        <v>4118</v>
      </c>
      <c r="N1734" t="s">
        <v>4119</v>
      </c>
      <c r="O1734" t="s">
        <v>156</v>
      </c>
      <c r="R1734" t="s">
        <v>4120</v>
      </c>
      <c r="S1734" t="s">
        <v>2854</v>
      </c>
      <c r="V1734" t="s">
        <v>2855</v>
      </c>
      <c r="W1734" t="s">
        <v>2856</v>
      </c>
      <c r="AD1734" t="s">
        <v>4121</v>
      </c>
    </row>
    <row r="1735" spans="1:32" x14ac:dyDescent="0.25">
      <c r="A1735" t="s">
        <v>33</v>
      </c>
      <c r="D1735" t="s">
        <v>2847</v>
      </c>
      <c r="E1735" t="s">
        <v>2848</v>
      </c>
      <c r="F1735" t="s">
        <v>87</v>
      </c>
      <c r="G1735" t="s">
        <v>4117</v>
      </c>
      <c r="H1735" t="s">
        <v>89</v>
      </c>
      <c r="I1735" t="s">
        <v>144</v>
      </c>
      <c r="J1735" t="s">
        <v>91</v>
      </c>
      <c r="K1735" t="s">
        <v>92</v>
      </c>
      <c r="L1735" t="s">
        <v>4118</v>
      </c>
      <c r="M1735" t="s">
        <v>94</v>
      </c>
      <c r="N1735" t="s">
        <v>4119</v>
      </c>
      <c r="O1735" t="s">
        <v>150</v>
      </c>
      <c r="P1735">
        <v>1E-3</v>
      </c>
      <c r="R1735" t="s">
        <v>4122</v>
      </c>
      <c r="S1735" t="s">
        <v>2854</v>
      </c>
      <c r="V1735" t="s">
        <v>2855</v>
      </c>
      <c r="W1735" t="s">
        <v>2856</v>
      </c>
      <c r="AD1735" t="s">
        <v>4123</v>
      </c>
    </row>
    <row r="1736" spans="1:32" x14ac:dyDescent="0.25">
      <c r="A1736" t="s">
        <v>33</v>
      </c>
      <c r="D1736" t="s">
        <v>2847</v>
      </c>
      <c r="E1736" t="s">
        <v>2848</v>
      </c>
      <c r="F1736" t="s">
        <v>87</v>
      </c>
      <c r="G1736" t="s">
        <v>4117</v>
      </c>
      <c r="H1736" t="s">
        <v>143</v>
      </c>
      <c r="I1736" t="s">
        <v>144</v>
      </c>
      <c r="J1736" t="s">
        <v>145</v>
      </c>
      <c r="K1736" t="s">
        <v>146</v>
      </c>
      <c r="L1736" t="s">
        <v>4118</v>
      </c>
      <c r="M1736" t="s">
        <v>252</v>
      </c>
      <c r="N1736" t="s">
        <v>4119</v>
      </c>
      <c r="O1736" t="s">
        <v>147</v>
      </c>
      <c r="R1736" t="s">
        <v>4124</v>
      </c>
      <c r="S1736" t="s">
        <v>2854</v>
      </c>
      <c r="V1736" t="s">
        <v>2855</v>
      </c>
      <c r="W1736" t="s">
        <v>2856</v>
      </c>
      <c r="AD1736" t="s">
        <v>4125</v>
      </c>
    </row>
    <row r="1737" spans="1:32" x14ac:dyDescent="0.25">
      <c r="A1737" t="s">
        <v>33</v>
      </c>
      <c r="D1737" t="s">
        <v>2847</v>
      </c>
      <c r="E1737" t="s">
        <v>2848</v>
      </c>
      <c r="F1737" t="s">
        <v>87</v>
      </c>
      <c r="G1737" t="s">
        <v>4117</v>
      </c>
      <c r="H1737" t="s">
        <v>143</v>
      </c>
      <c r="I1737" t="s">
        <v>144</v>
      </c>
      <c r="J1737" t="s">
        <v>145</v>
      </c>
      <c r="K1737" t="s">
        <v>262</v>
      </c>
      <c r="L1737" t="s">
        <v>4118</v>
      </c>
      <c r="M1737" t="s">
        <v>252</v>
      </c>
      <c r="N1737" t="s">
        <v>4119</v>
      </c>
      <c r="O1737" t="s">
        <v>147</v>
      </c>
      <c r="R1737" t="s">
        <v>4126</v>
      </c>
      <c r="S1737" t="s">
        <v>2854</v>
      </c>
      <c r="V1737" t="s">
        <v>2855</v>
      </c>
      <c r="W1737" t="s">
        <v>2856</v>
      </c>
      <c r="AD1737" t="s">
        <v>4125</v>
      </c>
    </row>
    <row r="1738" spans="1:32" x14ac:dyDescent="0.25">
      <c r="A1738" t="s">
        <v>33</v>
      </c>
      <c r="D1738" t="s">
        <v>2847</v>
      </c>
      <c r="E1738" t="s">
        <v>2848</v>
      </c>
      <c r="F1738" t="s">
        <v>87</v>
      </c>
      <c r="G1738" t="s">
        <v>4117</v>
      </c>
      <c r="H1738" t="s">
        <v>153</v>
      </c>
      <c r="I1738" t="s">
        <v>90</v>
      </c>
      <c r="J1738" t="s">
        <v>154</v>
      </c>
      <c r="K1738" t="s">
        <v>155</v>
      </c>
      <c r="L1738" t="s">
        <v>4118</v>
      </c>
      <c r="N1738" t="s">
        <v>4119</v>
      </c>
      <c r="O1738" t="s">
        <v>386</v>
      </c>
      <c r="R1738" t="s">
        <v>4127</v>
      </c>
      <c r="S1738" t="s">
        <v>2854</v>
      </c>
      <c r="V1738" t="s">
        <v>2855</v>
      </c>
      <c r="W1738" t="s">
        <v>2856</v>
      </c>
      <c r="AC1738" t="s">
        <v>4128</v>
      </c>
      <c r="AD1738" t="s">
        <v>4129</v>
      </c>
      <c r="AE1738" t="s">
        <v>2995</v>
      </c>
      <c r="AF1738">
        <v>4</v>
      </c>
    </row>
    <row r="1739" spans="1:32" x14ac:dyDescent="0.25">
      <c r="A1739" t="s">
        <v>33</v>
      </c>
      <c r="D1739" t="s">
        <v>2847</v>
      </c>
      <c r="E1739" t="s">
        <v>2848</v>
      </c>
      <c r="F1739" t="s">
        <v>87</v>
      </c>
      <c r="G1739" t="s">
        <v>4117</v>
      </c>
      <c r="H1739" t="s">
        <v>89</v>
      </c>
      <c r="I1739" t="s">
        <v>90</v>
      </c>
      <c r="J1739" t="s">
        <v>91</v>
      </c>
      <c r="K1739" t="s">
        <v>92</v>
      </c>
      <c r="L1739" t="s">
        <v>4118</v>
      </c>
      <c r="M1739" t="s">
        <v>94</v>
      </c>
      <c r="N1739" t="s">
        <v>4119</v>
      </c>
      <c r="O1739" t="s">
        <v>383</v>
      </c>
      <c r="P1739">
        <v>1E-3</v>
      </c>
      <c r="R1739" t="s">
        <v>4130</v>
      </c>
      <c r="S1739" t="s">
        <v>2854</v>
      </c>
      <c r="V1739" t="s">
        <v>2855</v>
      </c>
      <c r="W1739" t="s">
        <v>2856</v>
      </c>
      <c r="AD1739" t="s">
        <v>4131</v>
      </c>
    </row>
    <row r="1740" spans="1:32" x14ac:dyDescent="0.25">
      <c r="A1740" t="s">
        <v>33</v>
      </c>
      <c r="D1740" t="s">
        <v>2847</v>
      </c>
      <c r="E1740" t="s">
        <v>2848</v>
      </c>
      <c r="F1740" t="s">
        <v>87</v>
      </c>
      <c r="G1740" t="s">
        <v>4117</v>
      </c>
      <c r="H1740" t="s">
        <v>143</v>
      </c>
      <c r="I1740" t="s">
        <v>90</v>
      </c>
      <c r="J1740" t="s">
        <v>145</v>
      </c>
      <c r="K1740" t="s">
        <v>262</v>
      </c>
      <c r="L1740" t="s">
        <v>4118</v>
      </c>
      <c r="M1740" t="s">
        <v>252</v>
      </c>
      <c r="N1740" t="s">
        <v>4119</v>
      </c>
      <c r="O1740" t="s">
        <v>380</v>
      </c>
      <c r="R1740" t="s">
        <v>4132</v>
      </c>
      <c r="S1740" t="s">
        <v>2854</v>
      </c>
      <c r="V1740" t="s">
        <v>2855</v>
      </c>
      <c r="W1740" t="s">
        <v>2856</v>
      </c>
      <c r="AD1740" t="s">
        <v>4133</v>
      </c>
    </row>
    <row r="1741" spans="1:32" x14ac:dyDescent="0.25">
      <c r="A1741" t="s">
        <v>33</v>
      </c>
      <c r="D1741" t="s">
        <v>2847</v>
      </c>
      <c r="E1741" t="s">
        <v>2848</v>
      </c>
      <c r="F1741" t="s">
        <v>87</v>
      </c>
      <c r="G1741" t="s">
        <v>4117</v>
      </c>
      <c r="H1741" t="s">
        <v>143</v>
      </c>
      <c r="I1741" t="s">
        <v>90</v>
      </c>
      <c r="J1741" t="s">
        <v>145</v>
      </c>
      <c r="K1741" t="s">
        <v>146</v>
      </c>
      <c r="L1741" t="s">
        <v>4118</v>
      </c>
      <c r="M1741" t="s">
        <v>252</v>
      </c>
      <c r="N1741" t="s">
        <v>4119</v>
      </c>
      <c r="O1741" t="s">
        <v>380</v>
      </c>
      <c r="R1741" t="s">
        <v>4134</v>
      </c>
      <c r="S1741" t="s">
        <v>2854</v>
      </c>
      <c r="V1741" t="s">
        <v>2855</v>
      </c>
      <c r="W1741" t="s">
        <v>2856</v>
      </c>
      <c r="AD1741" t="s">
        <v>4133</v>
      </c>
    </row>
    <row r="1742" spans="1:32" x14ac:dyDescent="0.25">
      <c r="A1742" t="s">
        <v>33</v>
      </c>
      <c r="D1742" t="s">
        <v>2847</v>
      </c>
      <c r="E1742" t="s">
        <v>2848</v>
      </c>
      <c r="F1742" t="s">
        <v>87</v>
      </c>
      <c r="G1742" t="s">
        <v>4117</v>
      </c>
      <c r="H1742" t="s">
        <v>153</v>
      </c>
      <c r="I1742" t="s">
        <v>180</v>
      </c>
      <c r="J1742" t="s">
        <v>154</v>
      </c>
      <c r="K1742" t="s">
        <v>155</v>
      </c>
      <c r="L1742" t="s">
        <v>4118</v>
      </c>
      <c r="N1742" t="s">
        <v>4119</v>
      </c>
      <c r="O1742" t="s">
        <v>187</v>
      </c>
      <c r="R1742" t="s">
        <v>4135</v>
      </c>
      <c r="S1742" t="s">
        <v>2854</v>
      </c>
      <c r="V1742" t="s">
        <v>2855</v>
      </c>
      <c r="W1742" t="s">
        <v>2856</v>
      </c>
      <c r="AD1742" t="s">
        <v>4136</v>
      </c>
    </row>
    <row r="1743" spans="1:32" x14ac:dyDescent="0.25">
      <c r="A1743" t="s">
        <v>33</v>
      </c>
      <c r="D1743" t="s">
        <v>2847</v>
      </c>
      <c r="E1743" t="s">
        <v>2848</v>
      </c>
      <c r="F1743" t="s">
        <v>87</v>
      </c>
      <c r="G1743" t="s">
        <v>4117</v>
      </c>
      <c r="H1743" t="s">
        <v>89</v>
      </c>
      <c r="I1743" t="s">
        <v>180</v>
      </c>
      <c r="J1743" t="s">
        <v>91</v>
      </c>
      <c r="K1743" t="s">
        <v>92</v>
      </c>
      <c r="L1743" t="s">
        <v>4118</v>
      </c>
      <c r="M1743" t="s">
        <v>94</v>
      </c>
      <c r="N1743" t="s">
        <v>4119</v>
      </c>
      <c r="O1743" t="s">
        <v>184</v>
      </c>
      <c r="P1743">
        <v>1E-3</v>
      </c>
      <c r="R1743" t="s">
        <v>4137</v>
      </c>
      <c r="S1743" t="s">
        <v>2854</v>
      </c>
      <c r="V1743" t="s">
        <v>2855</v>
      </c>
      <c r="W1743" t="s">
        <v>2856</v>
      </c>
      <c r="AD1743" t="s">
        <v>4138</v>
      </c>
    </row>
    <row r="1744" spans="1:32" x14ac:dyDescent="0.25">
      <c r="A1744" t="s">
        <v>33</v>
      </c>
      <c r="D1744" t="s">
        <v>2847</v>
      </c>
      <c r="E1744" t="s">
        <v>2848</v>
      </c>
      <c r="F1744" t="s">
        <v>87</v>
      </c>
      <c r="G1744" t="s">
        <v>4117</v>
      </c>
      <c r="H1744" t="s">
        <v>143</v>
      </c>
      <c r="I1744" t="s">
        <v>180</v>
      </c>
      <c r="J1744" t="s">
        <v>145</v>
      </c>
      <c r="K1744" t="s">
        <v>146</v>
      </c>
      <c r="L1744" t="s">
        <v>4118</v>
      </c>
      <c r="M1744" t="s">
        <v>252</v>
      </c>
      <c r="N1744" t="s">
        <v>4119</v>
      </c>
      <c r="O1744" t="s">
        <v>181</v>
      </c>
      <c r="R1744" t="s">
        <v>4139</v>
      </c>
      <c r="S1744" t="s">
        <v>2854</v>
      </c>
      <c r="V1744" t="s">
        <v>2855</v>
      </c>
      <c r="W1744" t="s">
        <v>2856</v>
      </c>
      <c r="AD1744" t="s">
        <v>4140</v>
      </c>
    </row>
    <row r="1745" spans="1:32" x14ac:dyDescent="0.25">
      <c r="A1745" t="s">
        <v>33</v>
      </c>
      <c r="D1745" t="s">
        <v>2847</v>
      </c>
      <c r="E1745" t="s">
        <v>2848</v>
      </c>
      <c r="F1745" t="s">
        <v>87</v>
      </c>
      <c r="G1745" t="s">
        <v>4117</v>
      </c>
      <c r="H1745" t="s">
        <v>143</v>
      </c>
      <c r="I1745" t="s">
        <v>180</v>
      </c>
      <c r="J1745" t="s">
        <v>145</v>
      </c>
      <c r="K1745" t="s">
        <v>262</v>
      </c>
      <c r="L1745" t="s">
        <v>4118</v>
      </c>
      <c r="M1745" t="s">
        <v>252</v>
      </c>
      <c r="N1745" t="s">
        <v>4119</v>
      </c>
      <c r="O1745" t="s">
        <v>181</v>
      </c>
      <c r="R1745" t="s">
        <v>4141</v>
      </c>
      <c r="S1745" t="s">
        <v>2854</v>
      </c>
      <c r="V1745" t="s">
        <v>2855</v>
      </c>
      <c r="W1745" t="s">
        <v>2856</v>
      </c>
      <c r="AD1745" t="s">
        <v>4140</v>
      </c>
    </row>
    <row r="1746" spans="1:32" x14ac:dyDescent="0.25">
      <c r="A1746" t="s">
        <v>33</v>
      </c>
      <c r="D1746" t="s">
        <v>2847</v>
      </c>
      <c r="E1746" t="s">
        <v>2848</v>
      </c>
      <c r="F1746" t="s">
        <v>87</v>
      </c>
      <c r="G1746" t="s">
        <v>4117</v>
      </c>
      <c r="H1746" t="s">
        <v>153</v>
      </c>
      <c r="I1746" t="s">
        <v>100</v>
      </c>
      <c r="J1746" t="s">
        <v>154</v>
      </c>
      <c r="K1746" t="s">
        <v>155</v>
      </c>
      <c r="L1746" t="s">
        <v>4118</v>
      </c>
      <c r="N1746" t="s">
        <v>4119</v>
      </c>
      <c r="O1746" t="s">
        <v>448</v>
      </c>
      <c r="R1746" t="s">
        <v>4142</v>
      </c>
      <c r="S1746" t="s">
        <v>2854</v>
      </c>
      <c r="V1746" t="s">
        <v>2855</v>
      </c>
      <c r="W1746" t="s">
        <v>2856</v>
      </c>
      <c r="AD1746" t="s">
        <v>4143</v>
      </c>
    </row>
    <row r="1747" spans="1:32" x14ac:dyDescent="0.25">
      <c r="A1747" t="s">
        <v>33</v>
      </c>
      <c r="D1747" t="s">
        <v>2847</v>
      </c>
      <c r="E1747" t="s">
        <v>2848</v>
      </c>
      <c r="F1747" t="s">
        <v>87</v>
      </c>
      <c r="G1747" t="s">
        <v>4117</v>
      </c>
      <c r="H1747" t="s">
        <v>89</v>
      </c>
      <c r="I1747" t="s">
        <v>100</v>
      </c>
      <c r="J1747" t="s">
        <v>91</v>
      </c>
      <c r="K1747" t="s">
        <v>92</v>
      </c>
      <c r="L1747" t="s">
        <v>4118</v>
      </c>
      <c r="M1747" t="s">
        <v>94</v>
      </c>
      <c r="N1747" t="s">
        <v>4119</v>
      </c>
      <c r="O1747" t="s">
        <v>445</v>
      </c>
      <c r="P1747">
        <v>1E-3</v>
      </c>
      <c r="R1747" t="s">
        <v>4144</v>
      </c>
      <c r="S1747" t="s">
        <v>2854</v>
      </c>
      <c r="V1747" t="s">
        <v>2855</v>
      </c>
      <c r="W1747" t="s">
        <v>2856</v>
      </c>
      <c r="AD1747" t="s">
        <v>4145</v>
      </c>
    </row>
    <row r="1748" spans="1:32" x14ac:dyDescent="0.25">
      <c r="A1748" t="s">
        <v>33</v>
      </c>
      <c r="D1748" t="s">
        <v>2847</v>
      </c>
      <c r="E1748" t="s">
        <v>2848</v>
      </c>
      <c r="F1748" t="s">
        <v>87</v>
      </c>
      <c r="G1748" t="s">
        <v>4117</v>
      </c>
      <c r="H1748" t="s">
        <v>143</v>
      </c>
      <c r="I1748" t="s">
        <v>100</v>
      </c>
      <c r="J1748" t="s">
        <v>145</v>
      </c>
      <c r="K1748" t="s">
        <v>262</v>
      </c>
      <c r="L1748" t="s">
        <v>4118</v>
      </c>
      <c r="M1748" t="s">
        <v>252</v>
      </c>
      <c r="N1748" t="s">
        <v>4119</v>
      </c>
      <c r="O1748" t="s">
        <v>442</v>
      </c>
      <c r="R1748" t="s">
        <v>4146</v>
      </c>
      <c r="S1748" t="s">
        <v>2854</v>
      </c>
      <c r="V1748" t="s">
        <v>2855</v>
      </c>
      <c r="W1748" t="s">
        <v>2856</v>
      </c>
      <c r="AD1748" t="s">
        <v>4147</v>
      </c>
    </row>
    <row r="1749" spans="1:32" x14ac:dyDescent="0.25">
      <c r="A1749" t="s">
        <v>33</v>
      </c>
      <c r="D1749" t="s">
        <v>2847</v>
      </c>
      <c r="E1749" t="s">
        <v>2848</v>
      </c>
      <c r="F1749" t="s">
        <v>87</v>
      </c>
      <c r="G1749" t="s">
        <v>4117</v>
      </c>
      <c r="H1749" t="s">
        <v>143</v>
      </c>
      <c r="I1749" t="s">
        <v>100</v>
      </c>
      <c r="J1749" t="s">
        <v>145</v>
      </c>
      <c r="K1749" t="s">
        <v>146</v>
      </c>
      <c r="L1749" t="s">
        <v>4118</v>
      </c>
      <c r="M1749" t="s">
        <v>252</v>
      </c>
      <c r="N1749" t="s">
        <v>4119</v>
      </c>
      <c r="O1749" t="s">
        <v>442</v>
      </c>
      <c r="R1749" t="s">
        <v>4148</v>
      </c>
      <c r="S1749" t="s">
        <v>2854</v>
      </c>
      <c r="V1749" t="s">
        <v>2855</v>
      </c>
      <c r="W1749" t="s">
        <v>2856</v>
      </c>
      <c r="AD1749" t="s">
        <v>4147</v>
      </c>
    </row>
    <row r="1750" spans="1:32" x14ac:dyDescent="0.25">
      <c r="A1750" t="s">
        <v>33</v>
      </c>
      <c r="D1750" t="s">
        <v>2847</v>
      </c>
      <c r="E1750" t="s">
        <v>2848</v>
      </c>
      <c r="F1750" t="s">
        <v>87</v>
      </c>
      <c r="G1750" t="s">
        <v>4117</v>
      </c>
      <c r="H1750" t="s">
        <v>38</v>
      </c>
      <c r="I1750" t="s">
        <v>106</v>
      </c>
      <c r="J1750" t="s">
        <v>40</v>
      </c>
      <c r="K1750" t="s">
        <v>41</v>
      </c>
      <c r="L1750" t="s">
        <v>4118</v>
      </c>
      <c r="M1750" t="s">
        <v>252</v>
      </c>
      <c r="N1750" t="s">
        <v>4119</v>
      </c>
      <c r="O1750" t="s">
        <v>109</v>
      </c>
      <c r="R1750" t="s">
        <v>4149</v>
      </c>
      <c r="S1750" t="s">
        <v>2854</v>
      </c>
      <c r="V1750" t="s">
        <v>2855</v>
      </c>
      <c r="W1750" t="s">
        <v>2856</v>
      </c>
      <c r="AD1750" t="s">
        <v>4150</v>
      </c>
    </row>
    <row r="1751" spans="1:32" x14ac:dyDescent="0.25">
      <c r="A1751" t="s">
        <v>33</v>
      </c>
      <c r="D1751" t="s">
        <v>2847</v>
      </c>
      <c r="E1751" t="s">
        <v>2848</v>
      </c>
      <c r="F1751" t="s">
        <v>87</v>
      </c>
      <c r="G1751" t="s">
        <v>4117</v>
      </c>
      <c r="H1751" t="s">
        <v>38</v>
      </c>
      <c r="I1751" t="s">
        <v>25</v>
      </c>
      <c r="J1751" t="s">
        <v>69</v>
      </c>
      <c r="K1751" t="s">
        <v>41</v>
      </c>
      <c r="L1751" t="s">
        <v>4118</v>
      </c>
      <c r="M1751" t="s">
        <v>252</v>
      </c>
      <c r="N1751" t="s">
        <v>4119</v>
      </c>
      <c r="O1751" t="s">
        <v>512</v>
      </c>
      <c r="R1751" t="s">
        <v>4078</v>
      </c>
      <c r="S1751" t="s">
        <v>2854</v>
      </c>
      <c r="V1751" t="s">
        <v>2855</v>
      </c>
      <c r="W1751" t="s">
        <v>2856</v>
      </c>
      <c r="AD1751" t="s">
        <v>4151</v>
      </c>
    </row>
    <row r="1752" spans="1:32" x14ac:dyDescent="0.25">
      <c r="A1752" t="s">
        <v>33</v>
      </c>
      <c r="D1752" t="s">
        <v>2847</v>
      </c>
      <c r="E1752" t="s">
        <v>2848</v>
      </c>
      <c r="F1752" t="s">
        <v>87</v>
      </c>
      <c r="G1752" t="s">
        <v>4117</v>
      </c>
      <c r="H1752" t="s">
        <v>38</v>
      </c>
      <c r="I1752" t="s">
        <v>24</v>
      </c>
      <c r="J1752" t="s">
        <v>69</v>
      </c>
      <c r="K1752" t="s">
        <v>41</v>
      </c>
      <c r="L1752" t="s">
        <v>4118</v>
      </c>
      <c r="M1752" t="s">
        <v>252</v>
      </c>
      <c r="N1752" t="s">
        <v>4119</v>
      </c>
      <c r="O1752" t="s">
        <v>509</v>
      </c>
      <c r="R1752" t="s">
        <v>4082</v>
      </c>
      <c r="S1752" t="s">
        <v>2854</v>
      </c>
      <c r="V1752" t="s">
        <v>2855</v>
      </c>
      <c r="W1752" t="s">
        <v>2856</v>
      </c>
      <c r="AD1752" t="s">
        <v>4152</v>
      </c>
    </row>
    <row r="1753" spans="1:32" x14ac:dyDescent="0.25">
      <c r="A1753" t="s">
        <v>33</v>
      </c>
      <c r="D1753" t="s">
        <v>2847</v>
      </c>
      <c r="E1753" t="s">
        <v>2848</v>
      </c>
      <c r="F1753" t="s">
        <v>87</v>
      </c>
      <c r="G1753" t="s">
        <v>4153</v>
      </c>
      <c r="H1753" t="s">
        <v>153</v>
      </c>
      <c r="I1753" t="s">
        <v>144</v>
      </c>
      <c r="J1753" t="s">
        <v>154</v>
      </c>
      <c r="K1753" t="s">
        <v>155</v>
      </c>
      <c r="L1753" t="s">
        <v>4154</v>
      </c>
      <c r="N1753" t="s">
        <v>4155</v>
      </c>
      <c r="O1753" t="s">
        <v>156</v>
      </c>
      <c r="R1753" t="s">
        <v>4156</v>
      </c>
      <c r="S1753" t="s">
        <v>2854</v>
      </c>
      <c r="V1753" t="s">
        <v>2855</v>
      </c>
      <c r="W1753" t="s">
        <v>2856</v>
      </c>
      <c r="AD1753" t="s">
        <v>4157</v>
      </c>
    </row>
    <row r="1754" spans="1:32" x14ac:dyDescent="0.25">
      <c r="A1754" t="s">
        <v>33</v>
      </c>
      <c r="D1754" t="s">
        <v>2847</v>
      </c>
      <c r="E1754" t="s">
        <v>2848</v>
      </c>
      <c r="F1754" t="s">
        <v>87</v>
      </c>
      <c r="G1754" t="s">
        <v>4153</v>
      </c>
      <c r="H1754" t="s">
        <v>89</v>
      </c>
      <c r="I1754" t="s">
        <v>144</v>
      </c>
      <c r="J1754" t="s">
        <v>91</v>
      </c>
      <c r="K1754" t="s">
        <v>92</v>
      </c>
      <c r="L1754" t="s">
        <v>4154</v>
      </c>
      <c r="M1754" t="s">
        <v>94</v>
      </c>
      <c r="N1754" t="s">
        <v>4155</v>
      </c>
      <c r="O1754" t="s">
        <v>150</v>
      </c>
      <c r="P1754">
        <v>1E-3</v>
      </c>
      <c r="R1754" t="s">
        <v>4158</v>
      </c>
      <c r="S1754" t="s">
        <v>2854</v>
      </c>
      <c r="V1754" t="s">
        <v>2855</v>
      </c>
      <c r="W1754" t="s">
        <v>2856</v>
      </c>
      <c r="AD1754" t="s">
        <v>4159</v>
      </c>
    </row>
    <row r="1755" spans="1:32" x14ac:dyDescent="0.25">
      <c r="A1755" t="s">
        <v>33</v>
      </c>
      <c r="D1755" t="s">
        <v>2847</v>
      </c>
      <c r="E1755" t="s">
        <v>2848</v>
      </c>
      <c r="F1755" t="s">
        <v>87</v>
      </c>
      <c r="G1755" t="s">
        <v>4153</v>
      </c>
      <c r="H1755" t="s">
        <v>143</v>
      </c>
      <c r="I1755" t="s">
        <v>144</v>
      </c>
      <c r="J1755" t="s">
        <v>145</v>
      </c>
      <c r="K1755" t="s">
        <v>146</v>
      </c>
      <c r="L1755" t="s">
        <v>4154</v>
      </c>
      <c r="M1755" t="s">
        <v>252</v>
      </c>
      <c r="N1755" t="s">
        <v>4155</v>
      </c>
      <c r="O1755" t="s">
        <v>147</v>
      </c>
      <c r="R1755" t="s">
        <v>4160</v>
      </c>
      <c r="S1755" t="s">
        <v>2854</v>
      </c>
      <c r="V1755" t="s">
        <v>2855</v>
      </c>
      <c r="W1755" t="s">
        <v>2856</v>
      </c>
      <c r="AD1755" t="s">
        <v>4161</v>
      </c>
    </row>
    <row r="1756" spans="1:32" x14ac:dyDescent="0.25">
      <c r="A1756" t="s">
        <v>33</v>
      </c>
      <c r="D1756" t="s">
        <v>2847</v>
      </c>
      <c r="E1756" t="s">
        <v>2848</v>
      </c>
      <c r="F1756" t="s">
        <v>87</v>
      </c>
      <c r="G1756" t="s">
        <v>4153</v>
      </c>
      <c r="H1756" t="s">
        <v>143</v>
      </c>
      <c r="I1756" t="s">
        <v>144</v>
      </c>
      <c r="J1756" t="s">
        <v>145</v>
      </c>
      <c r="K1756" t="s">
        <v>262</v>
      </c>
      <c r="L1756" t="s">
        <v>4154</v>
      </c>
      <c r="M1756" t="s">
        <v>252</v>
      </c>
      <c r="N1756" t="s">
        <v>4155</v>
      </c>
      <c r="O1756" t="s">
        <v>147</v>
      </c>
      <c r="R1756" t="s">
        <v>4162</v>
      </c>
      <c r="S1756" t="s">
        <v>2854</v>
      </c>
      <c r="V1756" t="s">
        <v>2855</v>
      </c>
      <c r="W1756" t="s">
        <v>2856</v>
      </c>
      <c r="AD1756" t="s">
        <v>4161</v>
      </c>
    </row>
    <row r="1757" spans="1:32" x14ac:dyDescent="0.25">
      <c r="A1757" t="s">
        <v>33</v>
      </c>
      <c r="D1757" t="s">
        <v>2847</v>
      </c>
      <c r="E1757" t="s">
        <v>2848</v>
      </c>
      <c r="F1757" t="s">
        <v>87</v>
      </c>
      <c r="G1757" t="s">
        <v>4153</v>
      </c>
      <c r="H1757" t="s">
        <v>153</v>
      </c>
      <c r="I1757" t="s">
        <v>90</v>
      </c>
      <c r="J1757" t="s">
        <v>154</v>
      </c>
      <c r="K1757" t="s">
        <v>155</v>
      </c>
      <c r="L1757" t="s">
        <v>4154</v>
      </c>
      <c r="N1757" t="s">
        <v>4155</v>
      </c>
      <c r="O1757" t="s">
        <v>386</v>
      </c>
      <c r="R1757" t="s">
        <v>4163</v>
      </c>
      <c r="S1757" t="s">
        <v>2854</v>
      </c>
      <c r="V1757" t="s">
        <v>2855</v>
      </c>
      <c r="W1757" t="s">
        <v>2856</v>
      </c>
      <c r="AC1757" t="s">
        <v>4164</v>
      </c>
      <c r="AD1757" t="s">
        <v>4165</v>
      </c>
      <c r="AE1757" t="s">
        <v>3034</v>
      </c>
      <c r="AF1757">
        <v>5</v>
      </c>
    </row>
    <row r="1758" spans="1:32" x14ac:dyDescent="0.25">
      <c r="A1758" t="s">
        <v>33</v>
      </c>
      <c r="D1758" t="s">
        <v>2847</v>
      </c>
      <c r="E1758" t="s">
        <v>2848</v>
      </c>
      <c r="F1758" t="s">
        <v>87</v>
      </c>
      <c r="G1758" t="s">
        <v>4153</v>
      </c>
      <c r="H1758" t="s">
        <v>89</v>
      </c>
      <c r="I1758" t="s">
        <v>90</v>
      </c>
      <c r="J1758" t="s">
        <v>91</v>
      </c>
      <c r="K1758" t="s">
        <v>92</v>
      </c>
      <c r="L1758" t="s">
        <v>4154</v>
      </c>
      <c r="M1758" t="s">
        <v>94</v>
      </c>
      <c r="N1758" t="s">
        <v>4155</v>
      </c>
      <c r="O1758" t="s">
        <v>383</v>
      </c>
      <c r="P1758">
        <v>1E-3</v>
      </c>
      <c r="R1758" t="s">
        <v>4166</v>
      </c>
      <c r="S1758" t="s">
        <v>2854</v>
      </c>
      <c r="V1758" t="s">
        <v>2855</v>
      </c>
      <c r="W1758" t="s">
        <v>2856</v>
      </c>
      <c r="AD1758" t="s">
        <v>4167</v>
      </c>
    </row>
    <row r="1759" spans="1:32" x14ac:dyDescent="0.25">
      <c r="A1759" t="s">
        <v>33</v>
      </c>
      <c r="D1759" t="s">
        <v>2847</v>
      </c>
      <c r="E1759" t="s">
        <v>2848</v>
      </c>
      <c r="F1759" t="s">
        <v>87</v>
      </c>
      <c r="G1759" t="s">
        <v>4153</v>
      </c>
      <c r="H1759" t="s">
        <v>143</v>
      </c>
      <c r="I1759" t="s">
        <v>90</v>
      </c>
      <c r="J1759" t="s">
        <v>145</v>
      </c>
      <c r="K1759" t="s">
        <v>262</v>
      </c>
      <c r="L1759" t="s">
        <v>4154</v>
      </c>
      <c r="M1759" t="s">
        <v>252</v>
      </c>
      <c r="N1759" t="s">
        <v>4155</v>
      </c>
      <c r="O1759" t="s">
        <v>380</v>
      </c>
      <c r="R1759" t="s">
        <v>4168</v>
      </c>
      <c r="S1759" t="s">
        <v>2854</v>
      </c>
      <c r="V1759" t="s">
        <v>2855</v>
      </c>
      <c r="W1759" t="s">
        <v>2856</v>
      </c>
      <c r="AD1759" t="s">
        <v>4169</v>
      </c>
    </row>
    <row r="1760" spans="1:32" x14ac:dyDescent="0.25">
      <c r="A1760" t="s">
        <v>33</v>
      </c>
      <c r="D1760" t="s">
        <v>2847</v>
      </c>
      <c r="E1760" t="s">
        <v>2848</v>
      </c>
      <c r="F1760" t="s">
        <v>87</v>
      </c>
      <c r="G1760" t="s">
        <v>4153</v>
      </c>
      <c r="H1760" t="s">
        <v>143</v>
      </c>
      <c r="I1760" t="s">
        <v>90</v>
      </c>
      <c r="J1760" t="s">
        <v>145</v>
      </c>
      <c r="K1760" t="s">
        <v>146</v>
      </c>
      <c r="L1760" t="s">
        <v>4154</v>
      </c>
      <c r="M1760" t="s">
        <v>252</v>
      </c>
      <c r="N1760" t="s">
        <v>4155</v>
      </c>
      <c r="O1760" t="s">
        <v>380</v>
      </c>
      <c r="R1760" t="s">
        <v>4170</v>
      </c>
      <c r="S1760" t="s">
        <v>2854</v>
      </c>
      <c r="V1760" t="s">
        <v>2855</v>
      </c>
      <c r="W1760" t="s">
        <v>2856</v>
      </c>
      <c r="AD1760" t="s">
        <v>4169</v>
      </c>
    </row>
    <row r="1761" spans="1:32" x14ac:dyDescent="0.25">
      <c r="A1761" t="s">
        <v>33</v>
      </c>
      <c r="D1761" t="s">
        <v>2847</v>
      </c>
      <c r="E1761" t="s">
        <v>2848</v>
      </c>
      <c r="F1761" t="s">
        <v>87</v>
      </c>
      <c r="G1761" t="s">
        <v>4153</v>
      </c>
      <c r="H1761" t="s">
        <v>153</v>
      </c>
      <c r="I1761" t="s">
        <v>180</v>
      </c>
      <c r="J1761" t="s">
        <v>154</v>
      </c>
      <c r="K1761" t="s">
        <v>155</v>
      </c>
      <c r="L1761" t="s">
        <v>4154</v>
      </c>
      <c r="N1761" t="s">
        <v>4155</v>
      </c>
      <c r="O1761" t="s">
        <v>187</v>
      </c>
      <c r="R1761" t="s">
        <v>4171</v>
      </c>
      <c r="S1761" t="s">
        <v>2854</v>
      </c>
      <c r="V1761" t="s">
        <v>2855</v>
      </c>
      <c r="W1761" t="s">
        <v>2856</v>
      </c>
      <c r="AD1761" t="s">
        <v>4172</v>
      </c>
    </row>
    <row r="1762" spans="1:32" x14ac:dyDescent="0.25">
      <c r="A1762" t="s">
        <v>33</v>
      </c>
      <c r="D1762" t="s">
        <v>2847</v>
      </c>
      <c r="E1762" t="s">
        <v>2848</v>
      </c>
      <c r="F1762" t="s">
        <v>87</v>
      </c>
      <c r="G1762" t="s">
        <v>4153</v>
      </c>
      <c r="H1762" t="s">
        <v>89</v>
      </c>
      <c r="I1762" t="s">
        <v>180</v>
      </c>
      <c r="J1762" t="s">
        <v>91</v>
      </c>
      <c r="K1762" t="s">
        <v>92</v>
      </c>
      <c r="L1762" t="s">
        <v>4154</v>
      </c>
      <c r="M1762" t="s">
        <v>94</v>
      </c>
      <c r="N1762" t="s">
        <v>4155</v>
      </c>
      <c r="O1762" t="s">
        <v>184</v>
      </c>
      <c r="P1762">
        <v>1E-3</v>
      </c>
      <c r="R1762" t="s">
        <v>4173</v>
      </c>
      <c r="S1762" t="s">
        <v>2854</v>
      </c>
      <c r="V1762" t="s">
        <v>2855</v>
      </c>
      <c r="W1762" t="s">
        <v>2856</v>
      </c>
      <c r="AD1762" t="s">
        <v>4174</v>
      </c>
    </row>
    <row r="1763" spans="1:32" x14ac:dyDescent="0.25">
      <c r="A1763" t="s">
        <v>33</v>
      </c>
      <c r="D1763" t="s">
        <v>2847</v>
      </c>
      <c r="E1763" t="s">
        <v>2848</v>
      </c>
      <c r="F1763" t="s">
        <v>87</v>
      </c>
      <c r="G1763" t="s">
        <v>4153</v>
      </c>
      <c r="H1763" t="s">
        <v>143</v>
      </c>
      <c r="I1763" t="s">
        <v>180</v>
      </c>
      <c r="J1763" t="s">
        <v>145</v>
      </c>
      <c r="K1763" t="s">
        <v>146</v>
      </c>
      <c r="L1763" t="s">
        <v>4154</v>
      </c>
      <c r="M1763" t="s">
        <v>252</v>
      </c>
      <c r="N1763" t="s">
        <v>4155</v>
      </c>
      <c r="O1763" t="s">
        <v>181</v>
      </c>
      <c r="R1763" t="s">
        <v>4175</v>
      </c>
      <c r="S1763" t="s">
        <v>2854</v>
      </c>
      <c r="V1763" t="s">
        <v>2855</v>
      </c>
      <c r="W1763" t="s">
        <v>2856</v>
      </c>
      <c r="AD1763" t="s">
        <v>4176</v>
      </c>
    </row>
    <row r="1764" spans="1:32" x14ac:dyDescent="0.25">
      <c r="A1764" t="s">
        <v>33</v>
      </c>
      <c r="D1764" t="s">
        <v>2847</v>
      </c>
      <c r="E1764" t="s">
        <v>2848</v>
      </c>
      <c r="F1764" t="s">
        <v>87</v>
      </c>
      <c r="G1764" t="s">
        <v>4153</v>
      </c>
      <c r="H1764" t="s">
        <v>143</v>
      </c>
      <c r="I1764" t="s">
        <v>180</v>
      </c>
      <c r="J1764" t="s">
        <v>145</v>
      </c>
      <c r="K1764" t="s">
        <v>262</v>
      </c>
      <c r="L1764" t="s">
        <v>4154</v>
      </c>
      <c r="M1764" t="s">
        <v>252</v>
      </c>
      <c r="N1764" t="s">
        <v>4155</v>
      </c>
      <c r="O1764" t="s">
        <v>181</v>
      </c>
      <c r="R1764" t="s">
        <v>4177</v>
      </c>
      <c r="S1764" t="s">
        <v>2854</v>
      </c>
      <c r="V1764" t="s">
        <v>2855</v>
      </c>
      <c r="W1764" t="s">
        <v>2856</v>
      </c>
      <c r="AD1764" t="s">
        <v>4176</v>
      </c>
    </row>
    <row r="1765" spans="1:32" x14ac:dyDescent="0.25">
      <c r="A1765" t="s">
        <v>33</v>
      </c>
      <c r="D1765" t="s">
        <v>2847</v>
      </c>
      <c r="E1765" t="s">
        <v>2848</v>
      </c>
      <c r="F1765" t="s">
        <v>87</v>
      </c>
      <c r="G1765" t="s">
        <v>4153</v>
      </c>
      <c r="H1765" t="s">
        <v>153</v>
      </c>
      <c r="I1765" t="s">
        <v>100</v>
      </c>
      <c r="J1765" t="s">
        <v>154</v>
      </c>
      <c r="K1765" t="s">
        <v>155</v>
      </c>
      <c r="L1765" t="s">
        <v>4154</v>
      </c>
      <c r="N1765" t="s">
        <v>4155</v>
      </c>
      <c r="O1765" t="s">
        <v>448</v>
      </c>
      <c r="R1765" t="s">
        <v>4178</v>
      </c>
      <c r="S1765" t="s">
        <v>2854</v>
      </c>
      <c r="V1765" t="s">
        <v>2855</v>
      </c>
      <c r="W1765" t="s">
        <v>2856</v>
      </c>
      <c r="AD1765" t="s">
        <v>4179</v>
      </c>
    </row>
    <row r="1766" spans="1:32" x14ac:dyDescent="0.25">
      <c r="A1766" t="s">
        <v>33</v>
      </c>
      <c r="D1766" t="s">
        <v>2847</v>
      </c>
      <c r="E1766" t="s">
        <v>2848</v>
      </c>
      <c r="F1766" t="s">
        <v>87</v>
      </c>
      <c r="G1766" t="s">
        <v>4153</v>
      </c>
      <c r="H1766" t="s">
        <v>89</v>
      </c>
      <c r="I1766" t="s">
        <v>100</v>
      </c>
      <c r="J1766" t="s">
        <v>91</v>
      </c>
      <c r="K1766" t="s">
        <v>92</v>
      </c>
      <c r="L1766" t="s">
        <v>4154</v>
      </c>
      <c r="M1766" t="s">
        <v>94</v>
      </c>
      <c r="N1766" t="s">
        <v>4155</v>
      </c>
      <c r="O1766" t="s">
        <v>445</v>
      </c>
      <c r="P1766">
        <v>1E-3</v>
      </c>
      <c r="R1766" t="s">
        <v>4180</v>
      </c>
      <c r="S1766" t="s">
        <v>2854</v>
      </c>
      <c r="V1766" t="s">
        <v>2855</v>
      </c>
      <c r="W1766" t="s">
        <v>2856</v>
      </c>
      <c r="AD1766" t="s">
        <v>4181</v>
      </c>
    </row>
    <row r="1767" spans="1:32" x14ac:dyDescent="0.25">
      <c r="A1767" t="s">
        <v>33</v>
      </c>
      <c r="D1767" t="s">
        <v>2847</v>
      </c>
      <c r="E1767" t="s">
        <v>2848</v>
      </c>
      <c r="F1767" t="s">
        <v>87</v>
      </c>
      <c r="G1767" t="s">
        <v>4153</v>
      </c>
      <c r="H1767" t="s">
        <v>143</v>
      </c>
      <c r="I1767" t="s">
        <v>100</v>
      </c>
      <c r="J1767" t="s">
        <v>145</v>
      </c>
      <c r="K1767" t="s">
        <v>262</v>
      </c>
      <c r="L1767" t="s">
        <v>4154</v>
      </c>
      <c r="M1767" t="s">
        <v>252</v>
      </c>
      <c r="N1767" t="s">
        <v>4155</v>
      </c>
      <c r="O1767" t="s">
        <v>442</v>
      </c>
      <c r="R1767" t="s">
        <v>4182</v>
      </c>
      <c r="S1767" t="s">
        <v>2854</v>
      </c>
      <c r="V1767" t="s">
        <v>2855</v>
      </c>
      <c r="W1767" t="s">
        <v>2856</v>
      </c>
      <c r="AD1767" t="s">
        <v>4183</v>
      </c>
    </row>
    <row r="1768" spans="1:32" x14ac:dyDescent="0.25">
      <c r="A1768" t="s">
        <v>33</v>
      </c>
      <c r="D1768" t="s">
        <v>2847</v>
      </c>
      <c r="E1768" t="s">
        <v>2848</v>
      </c>
      <c r="F1768" t="s">
        <v>87</v>
      </c>
      <c r="G1768" t="s">
        <v>4153</v>
      </c>
      <c r="H1768" t="s">
        <v>143</v>
      </c>
      <c r="I1768" t="s">
        <v>100</v>
      </c>
      <c r="J1768" t="s">
        <v>145</v>
      </c>
      <c r="K1768" t="s">
        <v>146</v>
      </c>
      <c r="L1768" t="s">
        <v>4154</v>
      </c>
      <c r="M1768" t="s">
        <v>252</v>
      </c>
      <c r="N1768" t="s">
        <v>4155</v>
      </c>
      <c r="O1768" t="s">
        <v>442</v>
      </c>
      <c r="R1768" t="s">
        <v>4184</v>
      </c>
      <c r="S1768" t="s">
        <v>2854</v>
      </c>
      <c r="V1768" t="s">
        <v>2855</v>
      </c>
      <c r="W1768" t="s">
        <v>2856</v>
      </c>
      <c r="AD1768" t="s">
        <v>4183</v>
      </c>
    </row>
    <row r="1769" spans="1:32" x14ac:dyDescent="0.25">
      <c r="A1769" t="s">
        <v>33</v>
      </c>
      <c r="D1769" t="s">
        <v>2847</v>
      </c>
      <c r="E1769" t="s">
        <v>2848</v>
      </c>
      <c r="F1769" t="s">
        <v>87</v>
      </c>
      <c r="G1769" t="s">
        <v>4153</v>
      </c>
      <c r="H1769" t="s">
        <v>38</v>
      </c>
      <c r="I1769" t="s">
        <v>106</v>
      </c>
      <c r="J1769" t="s">
        <v>40</v>
      </c>
      <c r="K1769" t="s">
        <v>41</v>
      </c>
      <c r="L1769" t="s">
        <v>4154</v>
      </c>
      <c r="M1769" t="s">
        <v>252</v>
      </c>
      <c r="N1769" t="s">
        <v>4155</v>
      </c>
      <c r="O1769" t="s">
        <v>109</v>
      </c>
      <c r="R1769" t="s">
        <v>4185</v>
      </c>
      <c r="S1769" t="s">
        <v>2854</v>
      </c>
      <c r="V1769" t="s">
        <v>2855</v>
      </c>
      <c r="W1769" t="s">
        <v>2856</v>
      </c>
      <c r="AD1769" t="s">
        <v>4186</v>
      </c>
    </row>
    <row r="1770" spans="1:32" x14ac:dyDescent="0.25">
      <c r="A1770" t="s">
        <v>33</v>
      </c>
      <c r="D1770" t="s">
        <v>2847</v>
      </c>
      <c r="E1770" t="s">
        <v>2859</v>
      </c>
      <c r="F1770" t="s">
        <v>87</v>
      </c>
      <c r="G1770" t="s">
        <v>4187</v>
      </c>
      <c r="H1770" t="s">
        <v>166</v>
      </c>
      <c r="I1770" t="s">
        <v>216</v>
      </c>
      <c r="J1770" t="s">
        <v>167</v>
      </c>
      <c r="K1770" t="s">
        <v>41</v>
      </c>
      <c r="L1770" t="s">
        <v>4188</v>
      </c>
      <c r="N1770" t="s">
        <v>4189</v>
      </c>
      <c r="O1770" t="s">
        <v>217</v>
      </c>
      <c r="Q1770" t="s">
        <v>3192</v>
      </c>
      <c r="R1770" t="s">
        <v>4190</v>
      </c>
      <c r="S1770" t="s">
        <v>2864</v>
      </c>
      <c r="V1770" t="s">
        <v>2855</v>
      </c>
      <c r="W1770" t="s">
        <v>2865</v>
      </c>
      <c r="AD1770" t="s">
        <v>4191</v>
      </c>
    </row>
    <row r="1771" spans="1:32" x14ac:dyDescent="0.25">
      <c r="A1771" t="s">
        <v>33</v>
      </c>
      <c r="D1771" t="s">
        <v>2847</v>
      </c>
      <c r="E1771" t="s">
        <v>2893</v>
      </c>
      <c r="F1771" t="s">
        <v>866</v>
      </c>
      <c r="G1771" t="s">
        <v>3675</v>
      </c>
      <c r="H1771" t="s">
        <v>153</v>
      </c>
      <c r="I1771" t="s">
        <v>598</v>
      </c>
      <c r="J1771" t="s">
        <v>154</v>
      </c>
      <c r="K1771" t="s">
        <v>155</v>
      </c>
      <c r="L1771" t="s">
        <v>3676</v>
      </c>
      <c r="N1771" t="s">
        <v>3677</v>
      </c>
      <c r="O1771" t="s">
        <v>599</v>
      </c>
      <c r="R1771" t="s">
        <v>4192</v>
      </c>
      <c r="S1771" t="s">
        <v>2864</v>
      </c>
      <c r="V1771" t="s">
        <v>2855</v>
      </c>
      <c r="W1771" t="s">
        <v>2898</v>
      </c>
      <c r="AD1771" t="s">
        <v>4193</v>
      </c>
      <c r="AE1771" t="s">
        <v>4194</v>
      </c>
      <c r="AF1771">
        <v>1</v>
      </c>
    </row>
    <row r="1772" spans="1:32" x14ac:dyDescent="0.25">
      <c r="A1772" t="s">
        <v>33</v>
      </c>
      <c r="D1772" t="s">
        <v>2847</v>
      </c>
      <c r="E1772" t="s">
        <v>2869</v>
      </c>
      <c r="F1772" t="s">
        <v>2870</v>
      </c>
      <c r="G1772" t="s">
        <v>2871</v>
      </c>
      <c r="H1772" t="s">
        <v>166</v>
      </c>
      <c r="I1772" t="s">
        <v>468</v>
      </c>
      <c r="J1772" t="s">
        <v>167</v>
      </c>
      <c r="K1772" t="s">
        <v>41</v>
      </c>
      <c r="L1772" t="s">
        <v>2873</v>
      </c>
      <c r="N1772" t="s">
        <v>2874</v>
      </c>
      <c r="O1772" t="s">
        <v>471</v>
      </c>
      <c r="Q1772" t="s">
        <v>4195</v>
      </c>
      <c r="R1772" t="s">
        <v>4196</v>
      </c>
      <c r="S1772" t="s">
        <v>2864</v>
      </c>
      <c r="V1772" t="s">
        <v>2855</v>
      </c>
      <c r="W1772" t="s">
        <v>2865</v>
      </c>
      <c r="AD1772" t="s">
        <v>4197</v>
      </c>
    </row>
    <row r="1773" spans="1:32" x14ac:dyDescent="0.25">
      <c r="A1773" t="s">
        <v>33</v>
      </c>
      <c r="D1773" t="s">
        <v>2847</v>
      </c>
      <c r="E1773" t="s">
        <v>2848</v>
      </c>
      <c r="F1773" t="s">
        <v>87</v>
      </c>
      <c r="G1773" t="s">
        <v>4153</v>
      </c>
      <c r="H1773" t="s">
        <v>38</v>
      </c>
      <c r="I1773" t="s">
        <v>25</v>
      </c>
      <c r="J1773" t="s">
        <v>69</v>
      </c>
      <c r="K1773" t="s">
        <v>41</v>
      </c>
      <c r="L1773" t="s">
        <v>4154</v>
      </c>
      <c r="M1773" t="s">
        <v>252</v>
      </c>
      <c r="N1773" t="s">
        <v>4155</v>
      </c>
      <c r="O1773" t="s">
        <v>512</v>
      </c>
      <c r="R1773" t="s">
        <v>563</v>
      </c>
      <c r="S1773" t="s">
        <v>2854</v>
      </c>
      <c r="V1773" t="s">
        <v>2855</v>
      </c>
      <c r="W1773" t="s">
        <v>2856</v>
      </c>
      <c r="AD1773" t="s">
        <v>4198</v>
      </c>
    </row>
    <row r="1774" spans="1:32" x14ac:dyDescent="0.25">
      <c r="A1774" t="s">
        <v>33</v>
      </c>
      <c r="D1774" t="s">
        <v>2847</v>
      </c>
      <c r="E1774" t="s">
        <v>2848</v>
      </c>
      <c r="F1774" t="s">
        <v>87</v>
      </c>
      <c r="G1774" t="s">
        <v>4153</v>
      </c>
      <c r="H1774" t="s">
        <v>38</v>
      </c>
      <c r="I1774" t="s">
        <v>24</v>
      </c>
      <c r="J1774" t="s">
        <v>69</v>
      </c>
      <c r="K1774" t="s">
        <v>41</v>
      </c>
      <c r="L1774" t="s">
        <v>4154</v>
      </c>
      <c r="M1774" t="s">
        <v>252</v>
      </c>
      <c r="N1774" t="s">
        <v>4155</v>
      </c>
      <c r="O1774" t="s">
        <v>509</v>
      </c>
      <c r="R1774" t="s">
        <v>561</v>
      </c>
      <c r="S1774" t="s">
        <v>2854</v>
      </c>
      <c r="V1774" t="s">
        <v>2855</v>
      </c>
      <c r="W1774" t="s">
        <v>2856</v>
      </c>
      <c r="AD1774" t="s">
        <v>4199</v>
      </c>
    </row>
    <row r="1775" spans="1:32" x14ac:dyDescent="0.25">
      <c r="A1775" t="s">
        <v>33</v>
      </c>
      <c r="D1775" t="s">
        <v>2847</v>
      </c>
      <c r="E1775" t="s">
        <v>2859</v>
      </c>
      <c r="F1775" t="s">
        <v>36</v>
      </c>
      <c r="G1775" t="s">
        <v>2921</v>
      </c>
      <c r="H1775" t="s">
        <v>38</v>
      </c>
      <c r="I1775" t="s">
        <v>25</v>
      </c>
      <c r="J1775" t="s">
        <v>69</v>
      </c>
      <c r="K1775" t="s">
        <v>41</v>
      </c>
      <c r="L1775" t="s">
        <v>2922</v>
      </c>
      <c r="M1775" t="s">
        <v>3483</v>
      </c>
      <c r="N1775" t="s">
        <v>2923</v>
      </c>
      <c r="O1775" t="s">
        <v>512</v>
      </c>
      <c r="R1775" t="s">
        <v>4200</v>
      </c>
      <c r="S1775" t="s">
        <v>2864</v>
      </c>
      <c r="V1775" t="s">
        <v>2855</v>
      </c>
      <c r="W1775" t="s">
        <v>2865</v>
      </c>
      <c r="X1775" t="s">
        <v>963</v>
      </c>
      <c r="AD1775" t="s">
        <v>4201</v>
      </c>
    </row>
    <row r="1776" spans="1:32" x14ac:dyDescent="0.25">
      <c r="A1776" t="s">
        <v>33</v>
      </c>
      <c r="D1776" t="s">
        <v>2847</v>
      </c>
      <c r="E1776" t="s">
        <v>2859</v>
      </c>
      <c r="F1776" t="s">
        <v>36</v>
      </c>
      <c r="G1776" t="s">
        <v>2921</v>
      </c>
      <c r="H1776" t="s">
        <v>38</v>
      </c>
      <c r="I1776" t="s">
        <v>24</v>
      </c>
      <c r="J1776" t="s">
        <v>69</v>
      </c>
      <c r="K1776" t="s">
        <v>41</v>
      </c>
      <c r="L1776" t="s">
        <v>2922</v>
      </c>
      <c r="M1776" t="s">
        <v>3483</v>
      </c>
      <c r="N1776" t="s">
        <v>2923</v>
      </c>
      <c r="O1776" t="s">
        <v>509</v>
      </c>
      <c r="R1776" t="s">
        <v>4202</v>
      </c>
      <c r="S1776" t="s">
        <v>2864</v>
      </c>
      <c r="V1776" t="s">
        <v>2855</v>
      </c>
      <c r="W1776" t="s">
        <v>2865</v>
      </c>
      <c r="X1776" t="s">
        <v>963</v>
      </c>
      <c r="AD1776" t="s">
        <v>4203</v>
      </c>
    </row>
    <row r="1777" spans="1:30" x14ac:dyDescent="0.25">
      <c r="A1777" t="s">
        <v>33</v>
      </c>
      <c r="D1777" t="s">
        <v>2847</v>
      </c>
      <c r="E1777" t="s">
        <v>2859</v>
      </c>
      <c r="F1777" t="s">
        <v>87</v>
      </c>
      <c r="G1777" t="s">
        <v>3946</v>
      </c>
      <c r="H1777" t="s">
        <v>38</v>
      </c>
      <c r="I1777" t="s">
        <v>25</v>
      </c>
      <c r="J1777" t="s">
        <v>69</v>
      </c>
      <c r="K1777" t="s">
        <v>41</v>
      </c>
      <c r="L1777" t="s">
        <v>3947</v>
      </c>
      <c r="M1777" t="s">
        <v>1191</v>
      </c>
      <c r="N1777" t="s">
        <v>3948</v>
      </c>
      <c r="O1777" t="s">
        <v>512</v>
      </c>
      <c r="R1777" t="s">
        <v>4204</v>
      </c>
      <c r="S1777" t="s">
        <v>2864</v>
      </c>
      <c r="V1777" t="s">
        <v>2855</v>
      </c>
      <c r="W1777" t="s">
        <v>2865</v>
      </c>
      <c r="X1777" t="s">
        <v>1193</v>
      </c>
      <c r="AD1777" t="s">
        <v>4205</v>
      </c>
    </row>
    <row r="1778" spans="1:30" x14ac:dyDescent="0.25">
      <c r="A1778" t="s">
        <v>33</v>
      </c>
      <c r="D1778" t="s">
        <v>2847</v>
      </c>
      <c r="E1778" t="s">
        <v>2859</v>
      </c>
      <c r="F1778" t="s">
        <v>87</v>
      </c>
      <c r="G1778" t="s">
        <v>3946</v>
      </c>
      <c r="H1778" t="s">
        <v>38</v>
      </c>
      <c r="I1778" t="s">
        <v>24</v>
      </c>
      <c r="J1778" t="s">
        <v>69</v>
      </c>
      <c r="K1778" t="s">
        <v>41</v>
      </c>
      <c r="L1778" t="s">
        <v>3947</v>
      </c>
      <c r="M1778" t="s">
        <v>1191</v>
      </c>
      <c r="N1778" t="s">
        <v>3948</v>
      </c>
      <c r="O1778" t="s">
        <v>509</v>
      </c>
      <c r="R1778" t="s">
        <v>4206</v>
      </c>
      <c r="S1778" t="s">
        <v>2864</v>
      </c>
      <c r="V1778" t="s">
        <v>2855</v>
      </c>
      <c r="W1778" t="s">
        <v>2865</v>
      </c>
      <c r="X1778" t="s">
        <v>1193</v>
      </c>
      <c r="AD1778" t="s">
        <v>4207</v>
      </c>
    </row>
    <row r="1779" spans="1:30" x14ac:dyDescent="0.25">
      <c r="A1779" t="s">
        <v>33</v>
      </c>
      <c r="D1779" t="s">
        <v>2847</v>
      </c>
      <c r="E1779" t="s">
        <v>2859</v>
      </c>
      <c r="F1779" t="s">
        <v>87</v>
      </c>
      <c r="G1779" t="s">
        <v>3953</v>
      </c>
      <c r="H1779" t="s">
        <v>38</v>
      </c>
      <c r="I1779" t="s">
        <v>25</v>
      </c>
      <c r="J1779" t="s">
        <v>69</v>
      </c>
      <c r="K1779" t="s">
        <v>41</v>
      </c>
      <c r="L1779" t="s">
        <v>3954</v>
      </c>
      <c r="M1779" t="s">
        <v>3327</v>
      </c>
      <c r="N1779" t="s">
        <v>3955</v>
      </c>
      <c r="O1779" t="s">
        <v>512</v>
      </c>
      <c r="R1779" t="s">
        <v>4208</v>
      </c>
      <c r="S1779" t="s">
        <v>2864</v>
      </c>
      <c r="V1779" t="s">
        <v>2855</v>
      </c>
      <c r="W1779" t="s">
        <v>2865</v>
      </c>
      <c r="X1779" t="s">
        <v>1193</v>
      </c>
      <c r="AD1779" t="s">
        <v>4209</v>
      </c>
    </row>
    <row r="1780" spans="1:30" x14ac:dyDescent="0.25">
      <c r="A1780" t="s">
        <v>33</v>
      </c>
      <c r="D1780" t="s">
        <v>2847</v>
      </c>
      <c r="E1780" t="s">
        <v>2859</v>
      </c>
      <c r="F1780" t="s">
        <v>87</v>
      </c>
      <c r="G1780" t="s">
        <v>3953</v>
      </c>
      <c r="H1780" t="s">
        <v>38</v>
      </c>
      <c r="I1780" t="s">
        <v>24</v>
      </c>
      <c r="J1780" t="s">
        <v>69</v>
      </c>
      <c r="K1780" t="s">
        <v>41</v>
      </c>
      <c r="L1780" t="s">
        <v>3954</v>
      </c>
      <c r="M1780" t="s">
        <v>3327</v>
      </c>
      <c r="N1780" t="s">
        <v>3955</v>
      </c>
      <c r="O1780" t="s">
        <v>509</v>
      </c>
      <c r="R1780" t="s">
        <v>4210</v>
      </c>
      <c r="S1780" t="s">
        <v>2864</v>
      </c>
      <c r="V1780" t="s">
        <v>2855</v>
      </c>
      <c r="W1780" t="s">
        <v>2865</v>
      </c>
      <c r="X1780" t="s">
        <v>1193</v>
      </c>
      <c r="AD1780" t="s">
        <v>4211</v>
      </c>
    </row>
    <row r="1781" spans="1:30" x14ac:dyDescent="0.25">
      <c r="A1781" t="s">
        <v>33</v>
      </c>
      <c r="D1781" t="s">
        <v>2847</v>
      </c>
      <c r="E1781" t="s">
        <v>2859</v>
      </c>
      <c r="F1781" t="s">
        <v>36</v>
      </c>
      <c r="G1781" t="s">
        <v>3488</v>
      </c>
      <c r="H1781" t="s">
        <v>38</v>
      </c>
      <c r="I1781" t="s">
        <v>25</v>
      </c>
      <c r="J1781" t="s">
        <v>69</v>
      </c>
      <c r="K1781" t="s">
        <v>41</v>
      </c>
      <c r="L1781" t="s">
        <v>3489</v>
      </c>
      <c r="M1781" t="s">
        <v>3483</v>
      </c>
      <c r="N1781" t="s">
        <v>3490</v>
      </c>
      <c r="O1781" t="s">
        <v>512</v>
      </c>
      <c r="R1781" t="s">
        <v>4212</v>
      </c>
      <c r="S1781" t="s">
        <v>2864</v>
      </c>
      <c r="V1781" t="s">
        <v>2855</v>
      </c>
      <c r="W1781" t="s">
        <v>2865</v>
      </c>
      <c r="X1781" t="s">
        <v>963</v>
      </c>
      <c r="AD1781" t="s">
        <v>4213</v>
      </c>
    </row>
    <row r="1782" spans="1:30" x14ac:dyDescent="0.25">
      <c r="A1782" t="s">
        <v>33</v>
      </c>
      <c r="D1782" t="s">
        <v>2847</v>
      </c>
      <c r="E1782" t="s">
        <v>2859</v>
      </c>
      <c r="F1782" t="s">
        <v>36</v>
      </c>
      <c r="G1782" t="s">
        <v>3488</v>
      </c>
      <c r="H1782" t="s">
        <v>38</v>
      </c>
      <c r="I1782" t="s">
        <v>24</v>
      </c>
      <c r="J1782" t="s">
        <v>69</v>
      </c>
      <c r="K1782" t="s">
        <v>41</v>
      </c>
      <c r="L1782" t="s">
        <v>3489</v>
      </c>
      <c r="M1782" t="s">
        <v>3483</v>
      </c>
      <c r="N1782" t="s">
        <v>3490</v>
      </c>
      <c r="O1782" t="s">
        <v>509</v>
      </c>
      <c r="R1782" t="s">
        <v>4214</v>
      </c>
      <c r="S1782" t="s">
        <v>2864</v>
      </c>
      <c r="V1782" t="s">
        <v>2855</v>
      </c>
      <c r="W1782" t="s">
        <v>2865</v>
      </c>
      <c r="X1782" t="s">
        <v>963</v>
      </c>
      <c r="AD1782" t="s">
        <v>4215</v>
      </c>
    </row>
    <row r="1783" spans="1:30" x14ac:dyDescent="0.25">
      <c r="A1783" t="s">
        <v>33</v>
      </c>
      <c r="D1783" t="s">
        <v>2847</v>
      </c>
      <c r="E1783" t="s">
        <v>2893</v>
      </c>
      <c r="F1783" t="s">
        <v>87</v>
      </c>
      <c r="G1783" t="s">
        <v>2906</v>
      </c>
      <c r="H1783" t="s">
        <v>38</v>
      </c>
      <c r="I1783" t="s">
        <v>25</v>
      </c>
      <c r="J1783" t="s">
        <v>69</v>
      </c>
      <c r="K1783" t="s">
        <v>41</v>
      </c>
      <c r="L1783" t="s">
        <v>2907</v>
      </c>
      <c r="M1783" t="s">
        <v>3327</v>
      </c>
      <c r="N1783" t="s">
        <v>2195</v>
      </c>
      <c r="O1783" t="s">
        <v>512</v>
      </c>
      <c r="R1783" t="s">
        <v>4216</v>
      </c>
      <c r="S1783" t="s">
        <v>2864</v>
      </c>
      <c r="V1783" t="s">
        <v>2855</v>
      </c>
      <c r="W1783" t="s">
        <v>2898</v>
      </c>
      <c r="X1783" t="s">
        <v>1193</v>
      </c>
      <c r="AD1783" t="s">
        <v>2200</v>
      </c>
    </row>
    <row r="1784" spans="1:30" x14ac:dyDescent="0.25">
      <c r="A1784" t="s">
        <v>33</v>
      </c>
      <c r="D1784" t="s">
        <v>2847</v>
      </c>
      <c r="E1784" t="s">
        <v>2893</v>
      </c>
      <c r="F1784" t="s">
        <v>87</v>
      </c>
      <c r="G1784" t="s">
        <v>2906</v>
      </c>
      <c r="H1784" t="s">
        <v>38</v>
      </c>
      <c r="I1784" t="s">
        <v>24</v>
      </c>
      <c r="J1784" t="s">
        <v>69</v>
      </c>
      <c r="K1784" t="s">
        <v>41</v>
      </c>
      <c r="L1784" t="s">
        <v>2907</v>
      </c>
      <c r="M1784" t="s">
        <v>3327</v>
      </c>
      <c r="N1784" t="s">
        <v>2195</v>
      </c>
      <c r="O1784" t="s">
        <v>509</v>
      </c>
      <c r="R1784" t="s">
        <v>4217</v>
      </c>
      <c r="S1784" t="s">
        <v>2864</v>
      </c>
      <c r="V1784" t="s">
        <v>2855</v>
      </c>
      <c r="W1784" t="s">
        <v>2898</v>
      </c>
      <c r="X1784" t="s">
        <v>1193</v>
      </c>
      <c r="AD1784" t="s">
        <v>2201</v>
      </c>
    </row>
    <row r="1785" spans="1:30" x14ac:dyDescent="0.25">
      <c r="A1785" t="s">
        <v>33</v>
      </c>
      <c r="D1785" t="s">
        <v>2847</v>
      </c>
      <c r="E1785" t="s">
        <v>2859</v>
      </c>
      <c r="F1785" t="s">
        <v>87</v>
      </c>
      <c r="G1785" t="s">
        <v>2926</v>
      </c>
      <c r="H1785" t="s">
        <v>38</v>
      </c>
      <c r="I1785" t="s">
        <v>25</v>
      </c>
      <c r="J1785" t="s">
        <v>69</v>
      </c>
      <c r="K1785" t="s">
        <v>41</v>
      </c>
      <c r="L1785" t="s">
        <v>2927</v>
      </c>
      <c r="M1785" t="s">
        <v>252</v>
      </c>
      <c r="N1785" t="s">
        <v>2928</v>
      </c>
      <c r="O1785" t="s">
        <v>512</v>
      </c>
      <c r="R1785" t="s">
        <v>4218</v>
      </c>
      <c r="S1785" t="s">
        <v>2864</v>
      </c>
      <c r="V1785" t="s">
        <v>2855</v>
      </c>
      <c r="W1785" t="s">
        <v>2865</v>
      </c>
      <c r="AD1785" t="s">
        <v>4219</v>
      </c>
    </row>
    <row r="1786" spans="1:30" x14ac:dyDescent="0.25">
      <c r="A1786" t="s">
        <v>33</v>
      </c>
      <c r="D1786" t="s">
        <v>2847</v>
      </c>
      <c r="E1786" t="s">
        <v>2859</v>
      </c>
      <c r="F1786" t="s">
        <v>87</v>
      </c>
      <c r="G1786" t="s">
        <v>2926</v>
      </c>
      <c r="H1786" t="s">
        <v>38</v>
      </c>
      <c r="I1786" t="s">
        <v>24</v>
      </c>
      <c r="J1786" t="s">
        <v>69</v>
      </c>
      <c r="K1786" t="s">
        <v>41</v>
      </c>
      <c r="L1786" t="s">
        <v>2927</v>
      </c>
      <c r="M1786" t="s">
        <v>252</v>
      </c>
      <c r="N1786" t="s">
        <v>2928</v>
      </c>
      <c r="O1786" t="s">
        <v>509</v>
      </c>
      <c r="R1786" t="s">
        <v>4220</v>
      </c>
      <c r="S1786" t="s">
        <v>2864</v>
      </c>
      <c r="V1786" t="s">
        <v>2855</v>
      </c>
      <c r="W1786" t="s">
        <v>2865</v>
      </c>
      <c r="AD1786" t="s">
        <v>4221</v>
      </c>
    </row>
    <row r="1787" spans="1:30" x14ac:dyDescent="0.25">
      <c r="A1787" t="s">
        <v>33</v>
      </c>
      <c r="D1787" t="s">
        <v>2847</v>
      </c>
      <c r="E1787" t="s">
        <v>2859</v>
      </c>
      <c r="F1787" t="s">
        <v>87</v>
      </c>
      <c r="G1787" t="s">
        <v>4222</v>
      </c>
      <c r="H1787" t="s">
        <v>38</v>
      </c>
      <c r="I1787" t="s">
        <v>25</v>
      </c>
      <c r="J1787" t="s">
        <v>69</v>
      </c>
      <c r="K1787" t="s">
        <v>41</v>
      </c>
      <c r="L1787" t="s">
        <v>4223</v>
      </c>
      <c r="M1787" t="s">
        <v>252</v>
      </c>
      <c r="N1787" t="s">
        <v>4224</v>
      </c>
      <c r="O1787" t="s">
        <v>512</v>
      </c>
      <c r="R1787" t="s">
        <v>4225</v>
      </c>
      <c r="S1787" t="s">
        <v>2864</v>
      </c>
      <c r="V1787" t="s">
        <v>2855</v>
      </c>
      <c r="W1787" t="s">
        <v>2865</v>
      </c>
      <c r="AD1787" t="s">
        <v>4226</v>
      </c>
    </row>
    <row r="1788" spans="1:30" x14ac:dyDescent="0.25">
      <c r="A1788" t="s">
        <v>33</v>
      </c>
      <c r="D1788" t="s">
        <v>2847</v>
      </c>
      <c r="E1788" t="s">
        <v>2859</v>
      </c>
      <c r="F1788" t="s">
        <v>87</v>
      </c>
      <c r="G1788" t="s">
        <v>4222</v>
      </c>
      <c r="H1788" t="s">
        <v>38</v>
      </c>
      <c r="I1788" t="s">
        <v>24</v>
      </c>
      <c r="J1788" t="s">
        <v>69</v>
      </c>
      <c r="K1788" t="s">
        <v>41</v>
      </c>
      <c r="L1788" t="s">
        <v>4223</v>
      </c>
      <c r="M1788" t="s">
        <v>252</v>
      </c>
      <c r="N1788" t="s">
        <v>4224</v>
      </c>
      <c r="O1788" t="s">
        <v>509</v>
      </c>
      <c r="R1788" t="s">
        <v>4227</v>
      </c>
      <c r="S1788" t="s">
        <v>2864</v>
      </c>
      <c r="V1788" t="s">
        <v>2855</v>
      </c>
      <c r="W1788" t="s">
        <v>2865</v>
      </c>
      <c r="AD1788" t="s">
        <v>4228</v>
      </c>
    </row>
    <row r="1789" spans="1:30" x14ac:dyDescent="0.25">
      <c r="A1789" t="s">
        <v>33</v>
      </c>
      <c r="D1789" t="s">
        <v>2847</v>
      </c>
      <c r="E1789" t="s">
        <v>2859</v>
      </c>
      <c r="F1789" t="s">
        <v>87</v>
      </c>
      <c r="G1789" t="s">
        <v>3939</v>
      </c>
      <c r="H1789" t="s">
        <v>38</v>
      </c>
      <c r="I1789" t="s">
        <v>25</v>
      </c>
      <c r="J1789" t="s">
        <v>69</v>
      </c>
      <c r="K1789" t="s">
        <v>41</v>
      </c>
      <c r="L1789" t="s">
        <v>3940</v>
      </c>
      <c r="M1789" t="s">
        <v>1191</v>
      </c>
      <c r="N1789" t="s">
        <v>3941</v>
      </c>
      <c r="O1789" t="s">
        <v>512</v>
      </c>
      <c r="R1789" t="s">
        <v>4229</v>
      </c>
      <c r="S1789" t="s">
        <v>2864</v>
      </c>
      <c r="V1789" t="s">
        <v>2855</v>
      </c>
      <c r="W1789" t="s">
        <v>2865</v>
      </c>
      <c r="X1789" t="s">
        <v>1193</v>
      </c>
      <c r="AD1789" t="s">
        <v>4230</v>
      </c>
    </row>
    <row r="1790" spans="1:30" x14ac:dyDescent="0.25">
      <c r="A1790" t="s">
        <v>33</v>
      </c>
      <c r="D1790" t="s">
        <v>2847</v>
      </c>
      <c r="E1790" t="s">
        <v>2859</v>
      </c>
      <c r="F1790" t="s">
        <v>87</v>
      </c>
      <c r="G1790" t="s">
        <v>3939</v>
      </c>
      <c r="H1790" t="s">
        <v>38</v>
      </c>
      <c r="I1790" t="s">
        <v>24</v>
      </c>
      <c r="J1790" t="s">
        <v>69</v>
      </c>
      <c r="K1790" t="s">
        <v>41</v>
      </c>
      <c r="L1790" t="s">
        <v>3940</v>
      </c>
      <c r="M1790" t="s">
        <v>1191</v>
      </c>
      <c r="N1790" t="s">
        <v>3941</v>
      </c>
      <c r="O1790" t="s">
        <v>509</v>
      </c>
      <c r="R1790" t="s">
        <v>4231</v>
      </c>
      <c r="S1790" t="s">
        <v>2864</v>
      </c>
      <c r="V1790" t="s">
        <v>2855</v>
      </c>
      <c r="W1790" t="s">
        <v>2865</v>
      </c>
      <c r="X1790" t="s">
        <v>1193</v>
      </c>
      <c r="AD1790" t="s">
        <v>4232</v>
      </c>
    </row>
    <row r="1791" spans="1:30" x14ac:dyDescent="0.25">
      <c r="A1791" t="s">
        <v>33</v>
      </c>
      <c r="D1791" t="s">
        <v>2847</v>
      </c>
      <c r="E1791" t="s">
        <v>2859</v>
      </c>
      <c r="F1791" t="s">
        <v>36</v>
      </c>
      <c r="G1791" t="s">
        <v>3488</v>
      </c>
      <c r="H1791" t="s">
        <v>38</v>
      </c>
      <c r="I1791" t="s">
        <v>63</v>
      </c>
      <c r="J1791" t="s">
        <v>40</v>
      </c>
      <c r="K1791" t="s">
        <v>41</v>
      </c>
      <c r="L1791" t="s">
        <v>3489</v>
      </c>
      <c r="M1791" t="s">
        <v>3483</v>
      </c>
      <c r="N1791" t="s">
        <v>3490</v>
      </c>
      <c r="O1791" t="s">
        <v>65</v>
      </c>
      <c r="R1791" t="s">
        <v>4233</v>
      </c>
      <c r="S1791" t="s">
        <v>2864</v>
      </c>
      <c r="V1791" t="s">
        <v>2855</v>
      </c>
      <c r="W1791" t="s">
        <v>2865</v>
      </c>
      <c r="X1791" t="s">
        <v>963</v>
      </c>
      <c r="AD1791" t="s">
        <v>4234</v>
      </c>
    </row>
    <row r="1792" spans="1:30" x14ac:dyDescent="0.25">
      <c r="A1792" t="s">
        <v>33</v>
      </c>
      <c r="D1792" t="s">
        <v>2847</v>
      </c>
      <c r="E1792" t="s">
        <v>2869</v>
      </c>
      <c r="F1792" t="s">
        <v>2870</v>
      </c>
      <c r="G1792" t="s">
        <v>4235</v>
      </c>
      <c r="H1792" t="s">
        <v>280</v>
      </c>
      <c r="I1792" t="s">
        <v>504</v>
      </c>
      <c r="J1792" t="s">
        <v>282</v>
      </c>
      <c r="K1792" t="s">
        <v>283</v>
      </c>
      <c r="L1792" t="s">
        <v>4236</v>
      </c>
      <c r="N1792" t="s">
        <v>4237</v>
      </c>
      <c r="O1792" t="s">
        <v>505</v>
      </c>
      <c r="Q1792" t="s">
        <v>506</v>
      </c>
      <c r="R1792" t="s">
        <v>4238</v>
      </c>
      <c r="S1792" t="s">
        <v>2854</v>
      </c>
      <c r="V1792" t="s">
        <v>2855</v>
      </c>
      <c r="W1792" t="s">
        <v>2856</v>
      </c>
      <c r="AD1792" t="s">
        <v>4239</v>
      </c>
    </row>
    <row r="1793" spans="1:32" x14ac:dyDescent="0.25">
      <c r="A1793" t="s">
        <v>33</v>
      </c>
      <c r="D1793" t="s">
        <v>2847</v>
      </c>
      <c r="E1793" t="s">
        <v>2859</v>
      </c>
      <c r="F1793" t="s">
        <v>87</v>
      </c>
      <c r="G1793" t="s">
        <v>3946</v>
      </c>
      <c r="H1793" t="s">
        <v>38</v>
      </c>
      <c r="I1793" t="s">
        <v>106</v>
      </c>
      <c r="J1793" t="s">
        <v>40</v>
      </c>
      <c r="K1793" t="s">
        <v>41</v>
      </c>
      <c r="L1793" t="s">
        <v>3947</v>
      </c>
      <c r="M1793" t="s">
        <v>1191</v>
      </c>
      <c r="N1793" t="s">
        <v>3948</v>
      </c>
      <c r="O1793" t="s">
        <v>109</v>
      </c>
      <c r="R1793" t="s">
        <v>4240</v>
      </c>
      <c r="S1793" t="s">
        <v>2864</v>
      </c>
      <c r="V1793" t="s">
        <v>2855</v>
      </c>
      <c r="W1793" t="s">
        <v>2865</v>
      </c>
      <c r="X1793" t="s">
        <v>1193</v>
      </c>
      <c r="AD1793" t="s">
        <v>4241</v>
      </c>
    </row>
    <row r="1794" spans="1:32" x14ac:dyDescent="0.25">
      <c r="A1794" t="s">
        <v>947</v>
      </c>
      <c r="B1794" t="s">
        <v>1948</v>
      </c>
      <c r="C1794" t="s">
        <v>949</v>
      </c>
      <c r="D1794" t="s">
        <v>2847</v>
      </c>
      <c r="E1794" t="s">
        <v>2869</v>
      </c>
      <c r="F1794" t="s">
        <v>2870</v>
      </c>
      <c r="G1794" t="s">
        <v>4235</v>
      </c>
      <c r="H1794" t="s">
        <v>153</v>
      </c>
      <c r="I1794" t="s">
        <v>2419</v>
      </c>
      <c r="J1794" t="s">
        <v>154</v>
      </c>
      <c r="K1794" t="s">
        <v>155</v>
      </c>
      <c r="L1794" t="s">
        <v>4236</v>
      </c>
      <c r="N1794" t="s">
        <v>4237</v>
      </c>
      <c r="O1794" t="s">
        <v>4242</v>
      </c>
      <c r="R1794" t="s">
        <v>4243</v>
      </c>
      <c r="S1794" t="s">
        <v>2854</v>
      </c>
      <c r="V1794" t="s">
        <v>2855</v>
      </c>
      <c r="W1794" t="s">
        <v>2856</v>
      </c>
      <c r="AD1794" t="s">
        <v>4244</v>
      </c>
      <c r="AE1794" t="s">
        <v>3189</v>
      </c>
      <c r="AF1794">
        <v>4</v>
      </c>
    </row>
    <row r="1795" spans="1:32" x14ac:dyDescent="0.25">
      <c r="A1795" t="s">
        <v>947</v>
      </c>
      <c r="B1795" t="s">
        <v>1948</v>
      </c>
      <c r="C1795" t="s">
        <v>949</v>
      </c>
      <c r="D1795" t="s">
        <v>2847</v>
      </c>
      <c r="E1795" t="s">
        <v>2869</v>
      </c>
      <c r="F1795" t="s">
        <v>2870</v>
      </c>
      <c r="G1795" t="s">
        <v>4235</v>
      </c>
      <c r="H1795" t="s">
        <v>166</v>
      </c>
      <c r="I1795" t="s">
        <v>2419</v>
      </c>
      <c r="J1795" t="s">
        <v>167</v>
      </c>
      <c r="K1795" t="s">
        <v>41</v>
      </c>
      <c r="L1795" t="s">
        <v>4236</v>
      </c>
      <c r="N1795" t="s">
        <v>4237</v>
      </c>
      <c r="O1795" t="s">
        <v>2421</v>
      </c>
      <c r="Q1795" t="s">
        <v>488</v>
      </c>
      <c r="R1795" t="s">
        <v>4245</v>
      </c>
      <c r="S1795" t="s">
        <v>2854</v>
      </c>
      <c r="V1795" t="s">
        <v>2855</v>
      </c>
      <c r="W1795" t="s">
        <v>2856</v>
      </c>
      <c r="AD1795" t="s">
        <v>4246</v>
      </c>
    </row>
    <row r="1796" spans="1:32" x14ac:dyDescent="0.25">
      <c r="A1796" t="s">
        <v>947</v>
      </c>
      <c r="B1796" t="s">
        <v>1948</v>
      </c>
      <c r="C1796" t="s">
        <v>949</v>
      </c>
      <c r="D1796" t="s">
        <v>2847</v>
      </c>
      <c r="E1796" t="s">
        <v>2869</v>
      </c>
      <c r="F1796" t="s">
        <v>2870</v>
      </c>
      <c r="G1796" t="s">
        <v>4235</v>
      </c>
      <c r="H1796" t="s">
        <v>153</v>
      </c>
      <c r="I1796" t="s">
        <v>4247</v>
      </c>
      <c r="J1796" t="s">
        <v>154</v>
      </c>
      <c r="K1796" t="s">
        <v>155</v>
      </c>
      <c r="L1796" t="s">
        <v>4236</v>
      </c>
      <c r="N1796" t="s">
        <v>4237</v>
      </c>
      <c r="O1796" t="s">
        <v>4248</v>
      </c>
      <c r="R1796" t="s">
        <v>4249</v>
      </c>
      <c r="S1796" t="s">
        <v>2854</v>
      </c>
      <c r="V1796" t="s">
        <v>2855</v>
      </c>
      <c r="W1796" t="s">
        <v>2856</v>
      </c>
      <c r="AD1796" t="s">
        <v>4250</v>
      </c>
      <c r="AE1796" t="s">
        <v>3189</v>
      </c>
      <c r="AF1796">
        <v>5</v>
      </c>
    </row>
    <row r="1797" spans="1:32" x14ac:dyDescent="0.25">
      <c r="A1797" t="s">
        <v>33</v>
      </c>
      <c r="D1797" t="s">
        <v>2847</v>
      </c>
      <c r="E1797" t="s">
        <v>2869</v>
      </c>
      <c r="F1797" t="s">
        <v>2870</v>
      </c>
      <c r="G1797" t="s">
        <v>4235</v>
      </c>
      <c r="H1797" t="s">
        <v>166</v>
      </c>
      <c r="I1797" t="s">
        <v>4251</v>
      </c>
      <c r="J1797" t="s">
        <v>167</v>
      </c>
      <c r="K1797" t="s">
        <v>41</v>
      </c>
      <c r="L1797" t="s">
        <v>4236</v>
      </c>
      <c r="N1797" t="s">
        <v>4237</v>
      </c>
      <c r="O1797" t="s">
        <v>4252</v>
      </c>
      <c r="Q1797" t="s">
        <v>863</v>
      </c>
      <c r="R1797" t="s">
        <v>4253</v>
      </c>
      <c r="S1797" t="s">
        <v>2854</v>
      </c>
      <c r="V1797" t="s">
        <v>2855</v>
      </c>
      <c r="W1797" t="s">
        <v>2856</v>
      </c>
      <c r="AD1797" t="s">
        <v>4254</v>
      </c>
    </row>
    <row r="1798" spans="1:32" x14ac:dyDescent="0.25">
      <c r="A1798" t="s">
        <v>33</v>
      </c>
      <c r="D1798" t="s">
        <v>2847</v>
      </c>
      <c r="E1798" t="s">
        <v>2869</v>
      </c>
      <c r="F1798" t="s">
        <v>2870</v>
      </c>
      <c r="G1798" t="s">
        <v>4235</v>
      </c>
      <c r="H1798" t="s">
        <v>89</v>
      </c>
      <c r="I1798" t="s">
        <v>4251</v>
      </c>
      <c r="J1798" t="s">
        <v>91</v>
      </c>
      <c r="K1798" t="s">
        <v>92</v>
      </c>
      <c r="L1798" t="s">
        <v>4236</v>
      </c>
      <c r="M1798" t="s">
        <v>94</v>
      </c>
      <c r="N1798" t="s">
        <v>4237</v>
      </c>
      <c r="O1798" t="s">
        <v>4255</v>
      </c>
      <c r="P1798">
        <v>1E-3</v>
      </c>
      <c r="R1798" t="s">
        <v>4256</v>
      </c>
      <c r="S1798" t="s">
        <v>2854</v>
      </c>
      <c r="V1798" t="s">
        <v>2855</v>
      </c>
      <c r="W1798" t="s">
        <v>2856</v>
      </c>
      <c r="AD1798" t="s">
        <v>4257</v>
      </c>
    </row>
    <row r="1799" spans="1:32" x14ac:dyDescent="0.25">
      <c r="A1799" t="s">
        <v>33</v>
      </c>
      <c r="D1799" t="s">
        <v>2847</v>
      </c>
      <c r="E1799" t="s">
        <v>2869</v>
      </c>
      <c r="F1799" t="s">
        <v>2870</v>
      </c>
      <c r="G1799" t="s">
        <v>4235</v>
      </c>
      <c r="H1799" t="s">
        <v>153</v>
      </c>
      <c r="I1799" t="s">
        <v>479</v>
      </c>
      <c r="J1799" t="s">
        <v>154</v>
      </c>
      <c r="K1799" t="s">
        <v>155</v>
      </c>
      <c r="L1799" t="s">
        <v>4236</v>
      </c>
      <c r="N1799" t="s">
        <v>4237</v>
      </c>
      <c r="O1799" t="s">
        <v>480</v>
      </c>
      <c r="R1799" t="s">
        <v>4258</v>
      </c>
      <c r="S1799" t="s">
        <v>2854</v>
      </c>
      <c r="V1799" t="s">
        <v>2855</v>
      </c>
      <c r="W1799" t="s">
        <v>2856</v>
      </c>
      <c r="AC1799" t="s">
        <v>813</v>
      </c>
      <c r="AD1799" t="s">
        <v>4259</v>
      </c>
      <c r="AE1799" t="s">
        <v>3189</v>
      </c>
      <c r="AF1799">
        <v>6</v>
      </c>
    </row>
    <row r="1800" spans="1:32" x14ac:dyDescent="0.25">
      <c r="A1800" t="s">
        <v>33</v>
      </c>
      <c r="D1800" t="s">
        <v>2847</v>
      </c>
      <c r="E1800" t="s">
        <v>2869</v>
      </c>
      <c r="F1800" t="s">
        <v>2870</v>
      </c>
      <c r="G1800" t="s">
        <v>4235</v>
      </c>
      <c r="H1800" t="s">
        <v>166</v>
      </c>
      <c r="I1800" t="s">
        <v>479</v>
      </c>
      <c r="J1800" t="s">
        <v>167</v>
      </c>
      <c r="K1800" t="s">
        <v>41</v>
      </c>
      <c r="L1800" t="s">
        <v>4236</v>
      </c>
      <c r="N1800" t="s">
        <v>4237</v>
      </c>
      <c r="O1800" t="s">
        <v>487</v>
      </c>
      <c r="Q1800" t="s">
        <v>488</v>
      </c>
      <c r="R1800" t="s">
        <v>4260</v>
      </c>
      <c r="S1800" t="s">
        <v>2854</v>
      </c>
      <c r="V1800" t="s">
        <v>2855</v>
      </c>
      <c r="W1800" t="s">
        <v>2856</v>
      </c>
      <c r="AD1800" t="s">
        <v>4261</v>
      </c>
    </row>
    <row r="1801" spans="1:32" x14ac:dyDescent="0.25">
      <c r="A1801" t="s">
        <v>33</v>
      </c>
      <c r="D1801" t="s">
        <v>2847</v>
      </c>
      <c r="E1801" t="s">
        <v>2893</v>
      </c>
      <c r="F1801" t="s">
        <v>87</v>
      </c>
      <c r="G1801" t="s">
        <v>2900</v>
      </c>
      <c r="H1801" t="s">
        <v>166</v>
      </c>
      <c r="I1801" t="s">
        <v>216</v>
      </c>
      <c r="J1801" t="s">
        <v>167</v>
      </c>
      <c r="K1801" t="s">
        <v>41</v>
      </c>
      <c r="L1801" t="s">
        <v>2901</v>
      </c>
      <c r="N1801" t="s">
        <v>2902</v>
      </c>
      <c r="O1801" t="s">
        <v>217</v>
      </c>
      <c r="Q1801" t="s">
        <v>4262</v>
      </c>
      <c r="R1801" t="s">
        <v>4263</v>
      </c>
      <c r="S1801" t="s">
        <v>2864</v>
      </c>
      <c r="V1801" t="s">
        <v>2855</v>
      </c>
      <c r="W1801" t="s">
        <v>2898</v>
      </c>
      <c r="AD1801" t="s">
        <v>4264</v>
      </c>
    </row>
    <row r="1802" spans="1:32" x14ac:dyDescent="0.25">
      <c r="A1802" t="s">
        <v>947</v>
      </c>
      <c r="B1802" t="s">
        <v>1948</v>
      </c>
      <c r="C1802" t="s">
        <v>949</v>
      </c>
      <c r="D1802" t="s">
        <v>2847</v>
      </c>
      <c r="E1802" t="s">
        <v>2869</v>
      </c>
      <c r="F1802" t="s">
        <v>2870</v>
      </c>
      <c r="G1802" t="s">
        <v>4235</v>
      </c>
      <c r="H1802" t="s">
        <v>153</v>
      </c>
      <c r="I1802" t="s">
        <v>4265</v>
      </c>
      <c r="J1802" t="s">
        <v>154</v>
      </c>
      <c r="K1802" t="s">
        <v>155</v>
      </c>
      <c r="L1802" t="s">
        <v>4236</v>
      </c>
      <c r="N1802" t="s">
        <v>4237</v>
      </c>
      <c r="O1802" t="s">
        <v>4266</v>
      </c>
      <c r="R1802" t="s">
        <v>4267</v>
      </c>
      <c r="S1802" t="s">
        <v>2854</v>
      </c>
      <c r="V1802" t="s">
        <v>2855</v>
      </c>
      <c r="W1802" t="s">
        <v>2856</v>
      </c>
      <c r="AC1802" t="s">
        <v>4268</v>
      </c>
      <c r="AD1802" t="s">
        <v>4269</v>
      </c>
      <c r="AE1802" t="s">
        <v>3189</v>
      </c>
      <c r="AF1802">
        <v>7</v>
      </c>
    </row>
    <row r="1803" spans="1:32" x14ac:dyDescent="0.25">
      <c r="A1803" t="s">
        <v>947</v>
      </c>
      <c r="B1803" t="s">
        <v>1948</v>
      </c>
      <c r="C1803" t="s">
        <v>949</v>
      </c>
      <c r="D1803" t="s">
        <v>2847</v>
      </c>
      <c r="E1803" t="s">
        <v>2869</v>
      </c>
      <c r="F1803" t="s">
        <v>2870</v>
      </c>
      <c r="G1803" t="s">
        <v>4235</v>
      </c>
      <c r="H1803" t="s">
        <v>166</v>
      </c>
      <c r="I1803" t="s">
        <v>4265</v>
      </c>
      <c r="J1803" t="s">
        <v>167</v>
      </c>
      <c r="K1803" t="s">
        <v>41</v>
      </c>
      <c r="L1803" t="s">
        <v>4236</v>
      </c>
      <c r="N1803" t="s">
        <v>4237</v>
      </c>
      <c r="O1803" t="s">
        <v>4270</v>
      </c>
      <c r="Q1803" t="s">
        <v>488</v>
      </c>
      <c r="R1803" t="s">
        <v>4271</v>
      </c>
      <c r="S1803" t="s">
        <v>2854</v>
      </c>
      <c r="V1803" t="s">
        <v>2855</v>
      </c>
      <c r="W1803" t="s">
        <v>2856</v>
      </c>
      <c r="AD1803" t="s">
        <v>4272</v>
      </c>
    </row>
    <row r="1804" spans="1:32" x14ac:dyDescent="0.25">
      <c r="A1804" t="s">
        <v>33</v>
      </c>
      <c r="D1804" t="s">
        <v>2847</v>
      </c>
      <c r="E1804" t="s">
        <v>2848</v>
      </c>
      <c r="F1804" t="s">
        <v>248</v>
      </c>
      <c r="G1804" t="s">
        <v>4273</v>
      </c>
      <c r="H1804" t="s">
        <v>280</v>
      </c>
      <c r="I1804" t="s">
        <v>281</v>
      </c>
      <c r="J1804" t="s">
        <v>282</v>
      </c>
      <c r="K1804" t="s">
        <v>283</v>
      </c>
      <c r="L1804" t="s">
        <v>4274</v>
      </c>
      <c r="N1804" t="s">
        <v>4275</v>
      </c>
      <c r="O1804" t="s">
        <v>284</v>
      </c>
      <c r="Q1804" t="s">
        <v>285</v>
      </c>
      <c r="R1804" t="s">
        <v>4276</v>
      </c>
      <c r="S1804" t="s">
        <v>2854</v>
      </c>
      <c r="V1804" t="s">
        <v>2855</v>
      </c>
      <c r="W1804" t="s">
        <v>2856</v>
      </c>
      <c r="AD1804" t="s">
        <v>4277</v>
      </c>
    </row>
    <row r="1805" spans="1:32" x14ac:dyDescent="0.25">
      <c r="A1805" t="s">
        <v>33</v>
      </c>
      <c r="D1805" t="s">
        <v>2847</v>
      </c>
      <c r="E1805" t="s">
        <v>2848</v>
      </c>
      <c r="F1805" t="s">
        <v>248</v>
      </c>
      <c r="G1805" t="s">
        <v>4273</v>
      </c>
      <c r="H1805" t="s">
        <v>38</v>
      </c>
      <c r="I1805" t="s">
        <v>257</v>
      </c>
      <c r="J1805" t="s">
        <v>40</v>
      </c>
      <c r="K1805" t="s">
        <v>41</v>
      </c>
      <c r="L1805" t="s">
        <v>4274</v>
      </c>
      <c r="M1805" t="s">
        <v>82</v>
      </c>
      <c r="N1805" t="s">
        <v>4275</v>
      </c>
      <c r="O1805" t="s">
        <v>258</v>
      </c>
      <c r="R1805" t="s">
        <v>4278</v>
      </c>
      <c r="S1805" t="s">
        <v>2854</v>
      </c>
      <c r="V1805" t="s">
        <v>2855</v>
      </c>
      <c r="W1805" t="s">
        <v>2856</v>
      </c>
      <c r="AD1805" t="s">
        <v>4279</v>
      </c>
    </row>
    <row r="1806" spans="1:32" x14ac:dyDescent="0.25">
      <c r="A1806" t="s">
        <v>33</v>
      </c>
      <c r="D1806" t="s">
        <v>2847</v>
      </c>
      <c r="E1806" t="s">
        <v>2859</v>
      </c>
      <c r="F1806" t="s">
        <v>87</v>
      </c>
      <c r="G1806" t="s">
        <v>3939</v>
      </c>
      <c r="H1806" t="s">
        <v>38</v>
      </c>
      <c r="I1806" t="s">
        <v>106</v>
      </c>
      <c r="J1806" t="s">
        <v>40</v>
      </c>
      <c r="K1806" t="s">
        <v>41</v>
      </c>
      <c r="L1806" t="s">
        <v>3940</v>
      </c>
      <c r="M1806" t="s">
        <v>1191</v>
      </c>
      <c r="N1806" t="s">
        <v>3941</v>
      </c>
      <c r="O1806" t="s">
        <v>109</v>
      </c>
      <c r="R1806" t="s">
        <v>4280</v>
      </c>
      <c r="S1806" t="s">
        <v>2864</v>
      </c>
      <c r="V1806" t="s">
        <v>2855</v>
      </c>
      <c r="W1806" t="s">
        <v>2865</v>
      </c>
      <c r="X1806" t="s">
        <v>1193</v>
      </c>
      <c r="AD1806" t="s">
        <v>4281</v>
      </c>
    </row>
    <row r="1807" spans="1:32" x14ac:dyDescent="0.25">
      <c r="A1807" t="s">
        <v>33</v>
      </c>
      <c r="D1807" t="s">
        <v>2847</v>
      </c>
      <c r="E1807" t="s">
        <v>2848</v>
      </c>
      <c r="F1807" t="s">
        <v>248</v>
      </c>
      <c r="G1807" t="s">
        <v>4273</v>
      </c>
      <c r="H1807" t="s">
        <v>143</v>
      </c>
      <c r="I1807" t="s">
        <v>276</v>
      </c>
      <c r="J1807" t="s">
        <v>145</v>
      </c>
      <c r="K1807" t="s">
        <v>146</v>
      </c>
      <c r="L1807" t="s">
        <v>4274</v>
      </c>
      <c r="N1807" t="s">
        <v>4275</v>
      </c>
      <c r="O1807" t="s">
        <v>277</v>
      </c>
      <c r="R1807" t="s">
        <v>4282</v>
      </c>
      <c r="S1807" t="s">
        <v>2854</v>
      </c>
      <c r="V1807" t="s">
        <v>2855</v>
      </c>
      <c r="W1807" t="s">
        <v>2856</v>
      </c>
      <c r="X1807" t="s">
        <v>270</v>
      </c>
      <c r="AD1807" t="s">
        <v>4283</v>
      </c>
    </row>
    <row r="1808" spans="1:32" x14ac:dyDescent="0.25">
      <c r="A1808" t="s">
        <v>33</v>
      </c>
      <c r="D1808" t="s">
        <v>2847</v>
      </c>
      <c r="E1808" t="s">
        <v>2848</v>
      </c>
      <c r="F1808" t="s">
        <v>248</v>
      </c>
      <c r="G1808" t="s">
        <v>4273</v>
      </c>
      <c r="H1808" t="s">
        <v>143</v>
      </c>
      <c r="I1808" t="s">
        <v>272</v>
      </c>
      <c r="J1808" t="s">
        <v>145</v>
      </c>
      <c r="K1808" t="s">
        <v>146</v>
      </c>
      <c r="L1808" t="s">
        <v>4274</v>
      </c>
      <c r="N1808" t="s">
        <v>4275</v>
      </c>
      <c r="O1808" t="s">
        <v>273</v>
      </c>
      <c r="R1808" t="s">
        <v>4284</v>
      </c>
      <c r="S1808" t="s">
        <v>2854</v>
      </c>
      <c r="V1808" t="s">
        <v>2855</v>
      </c>
      <c r="W1808" t="s">
        <v>2856</v>
      </c>
      <c r="X1808" t="s">
        <v>270</v>
      </c>
      <c r="AD1808" t="s">
        <v>4285</v>
      </c>
    </row>
    <row r="1809" spans="1:32" x14ac:dyDescent="0.25">
      <c r="A1809" t="s">
        <v>33</v>
      </c>
      <c r="D1809" t="s">
        <v>2847</v>
      </c>
      <c r="E1809" t="s">
        <v>2848</v>
      </c>
      <c r="F1809" t="s">
        <v>248</v>
      </c>
      <c r="G1809" t="s">
        <v>4273</v>
      </c>
      <c r="H1809" t="s">
        <v>143</v>
      </c>
      <c r="I1809" t="s">
        <v>257</v>
      </c>
      <c r="J1809" t="s">
        <v>145</v>
      </c>
      <c r="K1809" t="s">
        <v>146</v>
      </c>
      <c r="L1809" t="s">
        <v>4274</v>
      </c>
      <c r="M1809" t="s">
        <v>82</v>
      </c>
      <c r="N1809" t="s">
        <v>4275</v>
      </c>
      <c r="O1809" t="s">
        <v>292</v>
      </c>
      <c r="R1809" t="s">
        <v>4286</v>
      </c>
      <c r="S1809" t="s">
        <v>2854</v>
      </c>
      <c r="V1809" t="s">
        <v>2855</v>
      </c>
      <c r="W1809" t="s">
        <v>2856</v>
      </c>
      <c r="AD1809" t="s">
        <v>4287</v>
      </c>
    </row>
    <row r="1810" spans="1:32" x14ac:dyDescent="0.25">
      <c r="A1810" t="s">
        <v>33</v>
      </c>
      <c r="D1810" t="s">
        <v>2847</v>
      </c>
      <c r="E1810" t="s">
        <v>2848</v>
      </c>
      <c r="F1810" t="s">
        <v>248</v>
      </c>
      <c r="G1810" t="s">
        <v>4273</v>
      </c>
      <c r="H1810" t="s">
        <v>143</v>
      </c>
      <c r="I1810" t="s">
        <v>295</v>
      </c>
      <c r="J1810" t="s">
        <v>145</v>
      </c>
      <c r="K1810" t="s">
        <v>146</v>
      </c>
      <c r="L1810" t="s">
        <v>4274</v>
      </c>
      <c r="M1810" t="s">
        <v>82</v>
      </c>
      <c r="N1810" t="s">
        <v>4275</v>
      </c>
      <c r="O1810" t="s">
        <v>296</v>
      </c>
      <c r="R1810" t="s">
        <v>4288</v>
      </c>
      <c r="S1810" t="s">
        <v>2854</v>
      </c>
      <c r="V1810" t="s">
        <v>2855</v>
      </c>
      <c r="W1810" t="s">
        <v>2856</v>
      </c>
      <c r="AD1810" t="s">
        <v>4289</v>
      </c>
    </row>
    <row r="1811" spans="1:32" x14ac:dyDescent="0.25">
      <c r="A1811" t="s">
        <v>33</v>
      </c>
      <c r="D1811" t="s">
        <v>2847</v>
      </c>
      <c r="E1811" t="s">
        <v>2848</v>
      </c>
      <c r="F1811" t="s">
        <v>248</v>
      </c>
      <c r="G1811" t="s">
        <v>4273</v>
      </c>
      <c r="H1811" t="s">
        <v>143</v>
      </c>
      <c r="I1811" t="s">
        <v>299</v>
      </c>
      <c r="J1811" t="s">
        <v>145</v>
      </c>
      <c r="K1811" t="s">
        <v>146</v>
      </c>
      <c r="L1811" t="s">
        <v>4274</v>
      </c>
      <c r="M1811" t="s">
        <v>82</v>
      </c>
      <c r="N1811" t="s">
        <v>4275</v>
      </c>
      <c r="O1811" t="s">
        <v>300</v>
      </c>
      <c r="R1811" t="s">
        <v>4290</v>
      </c>
      <c r="S1811" t="s">
        <v>2854</v>
      </c>
      <c r="V1811" t="s">
        <v>2855</v>
      </c>
      <c r="W1811" t="s">
        <v>2856</v>
      </c>
      <c r="AD1811" t="s">
        <v>4291</v>
      </c>
    </row>
    <row r="1812" spans="1:32" x14ac:dyDescent="0.25">
      <c r="A1812" t="s">
        <v>33</v>
      </c>
      <c r="D1812" t="s">
        <v>2847</v>
      </c>
      <c r="E1812" t="s">
        <v>2893</v>
      </c>
      <c r="F1812" t="s">
        <v>87</v>
      </c>
      <c r="G1812" t="s">
        <v>4292</v>
      </c>
      <c r="H1812" t="s">
        <v>166</v>
      </c>
      <c r="I1812" t="s">
        <v>216</v>
      </c>
      <c r="J1812" t="s">
        <v>167</v>
      </c>
      <c r="K1812" t="s">
        <v>41</v>
      </c>
      <c r="L1812" t="s">
        <v>4293</v>
      </c>
      <c r="N1812" t="s">
        <v>4294</v>
      </c>
      <c r="O1812" t="s">
        <v>217</v>
      </c>
      <c r="Q1812" t="s">
        <v>1227</v>
      </c>
      <c r="R1812" t="s">
        <v>4295</v>
      </c>
      <c r="S1812" t="s">
        <v>2864</v>
      </c>
      <c r="V1812" t="s">
        <v>2855</v>
      </c>
      <c r="W1812" t="s">
        <v>2898</v>
      </c>
      <c r="AD1812" t="s">
        <v>4296</v>
      </c>
    </row>
    <row r="1813" spans="1:32" x14ac:dyDescent="0.25">
      <c r="A1813" t="s">
        <v>33</v>
      </c>
      <c r="D1813" t="s">
        <v>2847</v>
      </c>
      <c r="E1813" t="s">
        <v>2848</v>
      </c>
      <c r="F1813" t="s">
        <v>248</v>
      </c>
      <c r="G1813" t="s">
        <v>4273</v>
      </c>
      <c r="H1813" t="s">
        <v>38</v>
      </c>
      <c r="I1813" t="s">
        <v>250</v>
      </c>
      <c r="J1813" t="s">
        <v>40</v>
      </c>
      <c r="K1813" t="s">
        <v>41</v>
      </c>
      <c r="L1813" t="s">
        <v>4274</v>
      </c>
      <c r="M1813" t="s">
        <v>252</v>
      </c>
      <c r="N1813" t="s">
        <v>4275</v>
      </c>
      <c r="O1813" t="s">
        <v>254</v>
      </c>
      <c r="R1813" t="s">
        <v>4297</v>
      </c>
      <c r="S1813" t="s">
        <v>2854</v>
      </c>
      <c r="V1813" t="s">
        <v>2855</v>
      </c>
      <c r="W1813" t="s">
        <v>2856</v>
      </c>
      <c r="AD1813" t="s">
        <v>4298</v>
      </c>
    </row>
    <row r="1814" spans="1:32" x14ac:dyDescent="0.25">
      <c r="A1814" t="s">
        <v>33</v>
      </c>
      <c r="D1814" t="s">
        <v>2847</v>
      </c>
      <c r="E1814" t="s">
        <v>2893</v>
      </c>
      <c r="F1814" t="s">
        <v>87</v>
      </c>
      <c r="G1814" t="s">
        <v>4292</v>
      </c>
      <c r="H1814" t="s">
        <v>153</v>
      </c>
      <c r="I1814" t="s">
        <v>100</v>
      </c>
      <c r="J1814" t="s">
        <v>154</v>
      </c>
      <c r="K1814" t="s">
        <v>155</v>
      </c>
      <c r="L1814" t="s">
        <v>4293</v>
      </c>
      <c r="N1814" t="s">
        <v>4294</v>
      </c>
      <c r="O1814" t="s">
        <v>213</v>
      </c>
      <c r="R1814" t="s">
        <v>4299</v>
      </c>
      <c r="S1814" t="s">
        <v>2864</v>
      </c>
      <c r="V1814" t="s">
        <v>2855</v>
      </c>
      <c r="W1814" t="s">
        <v>2898</v>
      </c>
      <c r="AC1814" t="s">
        <v>4300</v>
      </c>
      <c r="AD1814" t="s">
        <v>4301</v>
      </c>
      <c r="AE1814" t="s">
        <v>3508</v>
      </c>
      <c r="AF1814">
        <v>1</v>
      </c>
    </row>
    <row r="1815" spans="1:32" x14ac:dyDescent="0.25">
      <c r="A1815" t="s">
        <v>33</v>
      </c>
      <c r="D1815" t="s">
        <v>2847</v>
      </c>
      <c r="E1815" t="s">
        <v>2893</v>
      </c>
      <c r="F1815" t="s">
        <v>87</v>
      </c>
      <c r="G1815" t="s">
        <v>4292</v>
      </c>
      <c r="H1815" t="s">
        <v>89</v>
      </c>
      <c r="I1815" t="s">
        <v>100</v>
      </c>
      <c r="J1815" t="s">
        <v>91</v>
      </c>
      <c r="K1815" t="s">
        <v>92</v>
      </c>
      <c r="L1815" t="s">
        <v>4293</v>
      </c>
      <c r="M1815" t="s">
        <v>94</v>
      </c>
      <c r="N1815" t="s">
        <v>4294</v>
      </c>
      <c r="O1815" t="s">
        <v>96</v>
      </c>
      <c r="P1815">
        <v>1E-3</v>
      </c>
      <c r="R1815" t="s">
        <v>4302</v>
      </c>
      <c r="S1815" t="s">
        <v>2864</v>
      </c>
      <c r="V1815" t="s">
        <v>2855</v>
      </c>
      <c r="W1815" t="s">
        <v>2898</v>
      </c>
      <c r="AD1815" t="s">
        <v>4303</v>
      </c>
    </row>
    <row r="1816" spans="1:32" x14ac:dyDescent="0.25">
      <c r="A1816" t="s">
        <v>33</v>
      </c>
      <c r="D1816" t="s">
        <v>2847</v>
      </c>
      <c r="E1816" t="s">
        <v>2893</v>
      </c>
      <c r="F1816" t="s">
        <v>87</v>
      </c>
      <c r="G1816" t="s">
        <v>2911</v>
      </c>
      <c r="H1816" t="s">
        <v>166</v>
      </c>
      <c r="I1816" t="s">
        <v>216</v>
      </c>
      <c r="J1816" t="s">
        <v>167</v>
      </c>
      <c r="K1816" t="s">
        <v>41</v>
      </c>
      <c r="L1816" t="s">
        <v>2912</v>
      </c>
      <c r="N1816" t="s">
        <v>2913</v>
      </c>
      <c r="O1816" t="s">
        <v>217</v>
      </c>
      <c r="Q1816" t="s">
        <v>3977</v>
      </c>
      <c r="R1816" t="s">
        <v>4304</v>
      </c>
      <c r="S1816" t="s">
        <v>2864</v>
      </c>
      <c r="V1816" t="s">
        <v>2855</v>
      </c>
      <c r="W1816" t="s">
        <v>2898</v>
      </c>
      <c r="AD1816" t="s">
        <v>4305</v>
      </c>
    </row>
    <row r="1817" spans="1:32" x14ac:dyDescent="0.25">
      <c r="A1817" t="s">
        <v>33</v>
      </c>
      <c r="D1817" t="s">
        <v>2847</v>
      </c>
      <c r="E1817" t="s">
        <v>2859</v>
      </c>
      <c r="F1817" t="s">
        <v>87</v>
      </c>
      <c r="G1817" t="s">
        <v>4306</v>
      </c>
      <c r="H1817" t="s">
        <v>166</v>
      </c>
      <c r="I1817" t="s">
        <v>216</v>
      </c>
      <c r="J1817" t="s">
        <v>167</v>
      </c>
      <c r="K1817" t="s">
        <v>41</v>
      </c>
      <c r="L1817" t="s">
        <v>4307</v>
      </c>
      <c r="N1817" t="s">
        <v>4308</v>
      </c>
      <c r="O1817" t="s">
        <v>217</v>
      </c>
      <c r="Q1817" t="s">
        <v>3977</v>
      </c>
      <c r="R1817" t="s">
        <v>4309</v>
      </c>
      <c r="S1817" t="s">
        <v>2864</v>
      </c>
      <c r="V1817" t="s">
        <v>2855</v>
      </c>
      <c r="W1817" t="s">
        <v>2865</v>
      </c>
      <c r="AD1817" t="s">
        <v>4310</v>
      </c>
    </row>
    <row r="1818" spans="1:32" x14ac:dyDescent="0.25">
      <c r="A1818" t="s">
        <v>33</v>
      </c>
      <c r="D1818" t="s">
        <v>2847</v>
      </c>
      <c r="E1818" t="s">
        <v>2848</v>
      </c>
      <c r="F1818" t="s">
        <v>248</v>
      </c>
      <c r="G1818" t="s">
        <v>4273</v>
      </c>
      <c r="H1818" t="s">
        <v>143</v>
      </c>
      <c r="I1818" t="s">
        <v>267</v>
      </c>
      <c r="J1818" t="s">
        <v>145</v>
      </c>
      <c r="K1818" t="s">
        <v>146</v>
      </c>
      <c r="L1818" t="s">
        <v>4274</v>
      </c>
      <c r="N1818" t="s">
        <v>4275</v>
      </c>
      <c r="O1818" t="s">
        <v>268</v>
      </c>
      <c r="R1818" t="s">
        <v>4311</v>
      </c>
      <c r="S1818" t="s">
        <v>2854</v>
      </c>
      <c r="V1818" t="s">
        <v>2855</v>
      </c>
      <c r="W1818" t="s">
        <v>2856</v>
      </c>
      <c r="X1818" t="s">
        <v>270</v>
      </c>
      <c r="AD1818" t="s">
        <v>4312</v>
      </c>
    </row>
    <row r="1819" spans="1:32" x14ac:dyDescent="0.25">
      <c r="A1819" t="s">
        <v>33</v>
      </c>
      <c r="D1819" t="s">
        <v>2847</v>
      </c>
      <c r="E1819" t="s">
        <v>2848</v>
      </c>
      <c r="F1819" t="s">
        <v>248</v>
      </c>
      <c r="G1819" t="s">
        <v>4273</v>
      </c>
      <c r="H1819" t="s">
        <v>143</v>
      </c>
      <c r="I1819" t="s">
        <v>261</v>
      </c>
      <c r="J1819" t="s">
        <v>145</v>
      </c>
      <c r="K1819" t="s">
        <v>146</v>
      </c>
      <c r="L1819" t="s">
        <v>4274</v>
      </c>
      <c r="M1819" t="s">
        <v>252</v>
      </c>
      <c r="N1819" t="s">
        <v>4275</v>
      </c>
      <c r="O1819" t="s">
        <v>263</v>
      </c>
      <c r="R1819" t="s">
        <v>4313</v>
      </c>
      <c r="S1819" t="s">
        <v>2854</v>
      </c>
      <c r="V1819" t="s">
        <v>2855</v>
      </c>
      <c r="W1819" t="s">
        <v>2856</v>
      </c>
      <c r="AD1819" t="s">
        <v>4314</v>
      </c>
    </row>
    <row r="1820" spans="1:32" x14ac:dyDescent="0.25">
      <c r="A1820" t="s">
        <v>33</v>
      </c>
      <c r="D1820" t="s">
        <v>2847</v>
      </c>
      <c r="E1820" t="s">
        <v>2848</v>
      </c>
      <c r="F1820" t="s">
        <v>248</v>
      </c>
      <c r="G1820" t="s">
        <v>4315</v>
      </c>
      <c r="H1820" t="s">
        <v>280</v>
      </c>
      <c r="I1820" t="s">
        <v>281</v>
      </c>
      <c r="J1820" t="s">
        <v>282</v>
      </c>
      <c r="K1820" t="s">
        <v>283</v>
      </c>
      <c r="L1820" t="s">
        <v>4316</v>
      </c>
      <c r="N1820" t="s">
        <v>4317</v>
      </c>
      <c r="O1820" t="s">
        <v>284</v>
      </c>
      <c r="Q1820" t="s">
        <v>285</v>
      </c>
      <c r="R1820" t="s">
        <v>4318</v>
      </c>
      <c r="S1820" t="s">
        <v>2854</v>
      </c>
      <c r="V1820" t="s">
        <v>2855</v>
      </c>
      <c r="W1820" t="s">
        <v>2856</v>
      </c>
      <c r="AD1820" t="s">
        <v>4319</v>
      </c>
    </row>
    <row r="1821" spans="1:32" x14ac:dyDescent="0.25">
      <c r="A1821" t="s">
        <v>33</v>
      </c>
      <c r="D1821" t="s">
        <v>2847</v>
      </c>
      <c r="E1821" t="s">
        <v>2848</v>
      </c>
      <c r="F1821" t="s">
        <v>248</v>
      </c>
      <c r="G1821" t="s">
        <v>4315</v>
      </c>
      <c r="H1821" t="s">
        <v>38</v>
      </c>
      <c r="I1821" t="s">
        <v>257</v>
      </c>
      <c r="J1821" t="s">
        <v>40</v>
      </c>
      <c r="K1821" t="s">
        <v>41</v>
      </c>
      <c r="L1821" t="s">
        <v>4316</v>
      </c>
      <c r="M1821" t="s">
        <v>82</v>
      </c>
      <c r="N1821" t="s">
        <v>4317</v>
      </c>
      <c r="O1821" t="s">
        <v>258</v>
      </c>
      <c r="R1821" t="s">
        <v>4320</v>
      </c>
      <c r="S1821" t="s">
        <v>2854</v>
      </c>
      <c r="V1821" t="s">
        <v>2855</v>
      </c>
      <c r="W1821" t="s">
        <v>2856</v>
      </c>
      <c r="AD1821" t="s">
        <v>4321</v>
      </c>
    </row>
    <row r="1822" spans="1:32" x14ac:dyDescent="0.25">
      <c r="A1822" t="s">
        <v>33</v>
      </c>
      <c r="D1822" t="s">
        <v>2847</v>
      </c>
      <c r="E1822" t="s">
        <v>2848</v>
      </c>
      <c r="F1822" t="s">
        <v>248</v>
      </c>
      <c r="G1822" t="s">
        <v>4315</v>
      </c>
      <c r="H1822" t="s">
        <v>143</v>
      </c>
      <c r="I1822" t="s">
        <v>276</v>
      </c>
      <c r="J1822" t="s">
        <v>145</v>
      </c>
      <c r="K1822" t="s">
        <v>146</v>
      </c>
      <c r="L1822" t="s">
        <v>4316</v>
      </c>
      <c r="N1822" t="s">
        <v>4317</v>
      </c>
      <c r="O1822" t="s">
        <v>277</v>
      </c>
      <c r="R1822" t="s">
        <v>4322</v>
      </c>
      <c r="S1822" t="s">
        <v>2854</v>
      </c>
      <c r="V1822" t="s">
        <v>2855</v>
      </c>
      <c r="W1822" t="s">
        <v>2856</v>
      </c>
      <c r="X1822" t="s">
        <v>270</v>
      </c>
      <c r="AD1822" t="s">
        <v>4323</v>
      </c>
    </row>
    <row r="1823" spans="1:32" x14ac:dyDescent="0.25">
      <c r="A1823" t="s">
        <v>33</v>
      </c>
      <c r="D1823" t="s">
        <v>2847</v>
      </c>
      <c r="E1823" t="s">
        <v>2848</v>
      </c>
      <c r="F1823" t="s">
        <v>248</v>
      </c>
      <c r="G1823" t="s">
        <v>4315</v>
      </c>
      <c r="H1823" t="s">
        <v>143</v>
      </c>
      <c r="I1823" t="s">
        <v>272</v>
      </c>
      <c r="J1823" t="s">
        <v>145</v>
      </c>
      <c r="K1823" t="s">
        <v>146</v>
      </c>
      <c r="L1823" t="s">
        <v>4316</v>
      </c>
      <c r="N1823" t="s">
        <v>4317</v>
      </c>
      <c r="O1823" t="s">
        <v>273</v>
      </c>
      <c r="R1823" t="s">
        <v>4324</v>
      </c>
      <c r="S1823" t="s">
        <v>2854</v>
      </c>
      <c r="V1823" t="s">
        <v>2855</v>
      </c>
      <c r="W1823" t="s">
        <v>2856</v>
      </c>
      <c r="X1823" t="s">
        <v>270</v>
      </c>
      <c r="AD1823" t="s">
        <v>4325</v>
      </c>
    </row>
    <row r="1824" spans="1:32" x14ac:dyDescent="0.25">
      <c r="A1824" t="s">
        <v>33</v>
      </c>
      <c r="D1824" t="s">
        <v>2847</v>
      </c>
      <c r="E1824" t="s">
        <v>2848</v>
      </c>
      <c r="F1824" t="s">
        <v>248</v>
      </c>
      <c r="G1824" t="s">
        <v>4315</v>
      </c>
      <c r="H1824" t="s">
        <v>143</v>
      </c>
      <c r="I1824" t="s">
        <v>257</v>
      </c>
      <c r="J1824" t="s">
        <v>145</v>
      </c>
      <c r="K1824" t="s">
        <v>146</v>
      </c>
      <c r="L1824" t="s">
        <v>4316</v>
      </c>
      <c r="M1824" t="s">
        <v>82</v>
      </c>
      <c r="N1824" t="s">
        <v>4317</v>
      </c>
      <c r="O1824" t="s">
        <v>292</v>
      </c>
      <c r="R1824" t="s">
        <v>4326</v>
      </c>
      <c r="S1824" t="s">
        <v>2854</v>
      </c>
      <c r="V1824" t="s">
        <v>2855</v>
      </c>
      <c r="W1824" t="s">
        <v>2856</v>
      </c>
      <c r="AD1824" t="s">
        <v>4327</v>
      </c>
    </row>
    <row r="1825" spans="1:30" x14ac:dyDescent="0.25">
      <c r="A1825" t="s">
        <v>33</v>
      </c>
      <c r="D1825" t="s">
        <v>2847</v>
      </c>
      <c r="E1825" t="s">
        <v>2848</v>
      </c>
      <c r="F1825" t="s">
        <v>248</v>
      </c>
      <c r="G1825" t="s">
        <v>4315</v>
      </c>
      <c r="H1825" t="s">
        <v>143</v>
      </c>
      <c r="I1825" t="s">
        <v>295</v>
      </c>
      <c r="J1825" t="s">
        <v>145</v>
      </c>
      <c r="K1825" t="s">
        <v>146</v>
      </c>
      <c r="L1825" t="s">
        <v>4316</v>
      </c>
      <c r="M1825" t="s">
        <v>82</v>
      </c>
      <c r="N1825" t="s">
        <v>4317</v>
      </c>
      <c r="O1825" t="s">
        <v>296</v>
      </c>
      <c r="R1825" t="s">
        <v>4328</v>
      </c>
      <c r="S1825" t="s">
        <v>2854</v>
      </c>
      <c r="V1825" t="s">
        <v>2855</v>
      </c>
      <c r="W1825" t="s">
        <v>2856</v>
      </c>
      <c r="AD1825" t="s">
        <v>4329</v>
      </c>
    </row>
    <row r="1826" spans="1:30" x14ac:dyDescent="0.25">
      <c r="A1826" t="s">
        <v>33</v>
      </c>
      <c r="D1826" t="s">
        <v>2847</v>
      </c>
      <c r="E1826" t="s">
        <v>2848</v>
      </c>
      <c r="F1826" t="s">
        <v>248</v>
      </c>
      <c r="G1826" t="s">
        <v>4315</v>
      </c>
      <c r="H1826" t="s">
        <v>143</v>
      </c>
      <c r="I1826" t="s">
        <v>299</v>
      </c>
      <c r="J1826" t="s">
        <v>145</v>
      </c>
      <c r="K1826" t="s">
        <v>146</v>
      </c>
      <c r="L1826" t="s">
        <v>4316</v>
      </c>
      <c r="M1826" t="s">
        <v>82</v>
      </c>
      <c r="N1826" t="s">
        <v>4317</v>
      </c>
      <c r="O1826" t="s">
        <v>300</v>
      </c>
      <c r="R1826" t="s">
        <v>4330</v>
      </c>
      <c r="S1826" t="s">
        <v>2854</v>
      </c>
      <c r="V1826" t="s">
        <v>2855</v>
      </c>
      <c r="W1826" t="s">
        <v>2856</v>
      </c>
      <c r="AD1826" t="s">
        <v>4331</v>
      </c>
    </row>
    <row r="1827" spans="1:30" x14ac:dyDescent="0.25">
      <c r="A1827" t="s">
        <v>33</v>
      </c>
      <c r="D1827" t="s">
        <v>2847</v>
      </c>
      <c r="E1827" t="s">
        <v>2848</v>
      </c>
      <c r="F1827" t="s">
        <v>248</v>
      </c>
      <c r="G1827" t="s">
        <v>4315</v>
      </c>
      <c r="H1827" t="s">
        <v>38</v>
      </c>
      <c r="I1827" t="s">
        <v>250</v>
      </c>
      <c r="J1827" t="s">
        <v>40</v>
      </c>
      <c r="K1827" t="s">
        <v>41</v>
      </c>
      <c r="L1827" t="s">
        <v>4316</v>
      </c>
      <c r="M1827" t="s">
        <v>252</v>
      </c>
      <c r="N1827" t="s">
        <v>4317</v>
      </c>
      <c r="O1827" t="s">
        <v>254</v>
      </c>
      <c r="R1827" t="s">
        <v>4332</v>
      </c>
      <c r="S1827" t="s">
        <v>2854</v>
      </c>
      <c r="V1827" t="s">
        <v>2855</v>
      </c>
      <c r="W1827" t="s">
        <v>2856</v>
      </c>
      <c r="AD1827" t="s">
        <v>4333</v>
      </c>
    </row>
    <row r="1828" spans="1:30" x14ac:dyDescent="0.25">
      <c r="A1828" t="s">
        <v>33</v>
      </c>
      <c r="D1828" t="s">
        <v>2847</v>
      </c>
      <c r="E1828" t="s">
        <v>2848</v>
      </c>
      <c r="F1828" t="s">
        <v>248</v>
      </c>
      <c r="G1828" t="s">
        <v>4315</v>
      </c>
      <c r="H1828" t="s">
        <v>143</v>
      </c>
      <c r="I1828" t="s">
        <v>267</v>
      </c>
      <c r="J1828" t="s">
        <v>145</v>
      </c>
      <c r="K1828" t="s">
        <v>146</v>
      </c>
      <c r="L1828" t="s">
        <v>4316</v>
      </c>
      <c r="N1828" t="s">
        <v>4317</v>
      </c>
      <c r="O1828" t="s">
        <v>268</v>
      </c>
      <c r="R1828" t="s">
        <v>4334</v>
      </c>
      <c r="S1828" t="s">
        <v>2854</v>
      </c>
      <c r="V1828" t="s">
        <v>2855</v>
      </c>
      <c r="W1828" t="s">
        <v>2856</v>
      </c>
      <c r="X1828" t="s">
        <v>270</v>
      </c>
      <c r="AD1828" t="s">
        <v>4335</v>
      </c>
    </row>
    <row r="1829" spans="1:30" x14ac:dyDescent="0.25">
      <c r="A1829" t="s">
        <v>33</v>
      </c>
      <c r="D1829" t="s">
        <v>2847</v>
      </c>
      <c r="E1829" t="s">
        <v>2848</v>
      </c>
      <c r="F1829" t="s">
        <v>248</v>
      </c>
      <c r="G1829" t="s">
        <v>4315</v>
      </c>
      <c r="H1829" t="s">
        <v>143</v>
      </c>
      <c r="I1829" t="s">
        <v>261</v>
      </c>
      <c r="J1829" t="s">
        <v>145</v>
      </c>
      <c r="K1829" t="s">
        <v>146</v>
      </c>
      <c r="L1829" t="s">
        <v>4316</v>
      </c>
      <c r="M1829" t="s">
        <v>252</v>
      </c>
      <c r="N1829" t="s">
        <v>4317</v>
      </c>
      <c r="O1829" t="s">
        <v>263</v>
      </c>
      <c r="R1829" t="s">
        <v>4336</v>
      </c>
      <c r="S1829" t="s">
        <v>2854</v>
      </c>
      <c r="V1829" t="s">
        <v>2855</v>
      </c>
      <c r="W1829" t="s">
        <v>2856</v>
      </c>
      <c r="AD1829" t="s">
        <v>4337</v>
      </c>
    </row>
    <row r="1830" spans="1:30" x14ac:dyDescent="0.25">
      <c r="A1830" t="s">
        <v>33</v>
      </c>
      <c r="D1830" t="s">
        <v>2847</v>
      </c>
      <c r="E1830" t="s">
        <v>2848</v>
      </c>
      <c r="F1830" t="s">
        <v>87</v>
      </c>
      <c r="G1830" t="s">
        <v>4338</v>
      </c>
      <c r="H1830" t="s">
        <v>153</v>
      </c>
      <c r="I1830" t="s">
        <v>144</v>
      </c>
      <c r="J1830" t="s">
        <v>154</v>
      </c>
      <c r="K1830" t="s">
        <v>155</v>
      </c>
      <c r="L1830" t="s">
        <v>4339</v>
      </c>
      <c r="N1830" t="s">
        <v>4340</v>
      </c>
      <c r="O1830" t="s">
        <v>156</v>
      </c>
      <c r="R1830" t="s">
        <v>4341</v>
      </c>
      <c r="S1830" t="s">
        <v>2854</v>
      </c>
      <c r="V1830" t="s">
        <v>2855</v>
      </c>
      <c r="W1830" t="s">
        <v>2856</v>
      </c>
      <c r="AD1830" t="s">
        <v>4342</v>
      </c>
    </row>
    <row r="1831" spans="1:30" x14ac:dyDescent="0.25">
      <c r="A1831" t="s">
        <v>33</v>
      </c>
      <c r="D1831" t="s">
        <v>2847</v>
      </c>
      <c r="E1831" t="s">
        <v>2848</v>
      </c>
      <c r="F1831" t="s">
        <v>87</v>
      </c>
      <c r="G1831" t="s">
        <v>4338</v>
      </c>
      <c r="H1831" t="s">
        <v>89</v>
      </c>
      <c r="I1831" t="s">
        <v>144</v>
      </c>
      <c r="J1831" t="s">
        <v>91</v>
      </c>
      <c r="K1831" t="s">
        <v>92</v>
      </c>
      <c r="L1831" t="s">
        <v>4339</v>
      </c>
      <c r="M1831" t="s">
        <v>94</v>
      </c>
      <c r="N1831" t="s">
        <v>4340</v>
      </c>
      <c r="O1831" t="s">
        <v>150</v>
      </c>
      <c r="P1831">
        <v>1E-3</v>
      </c>
      <c r="R1831" t="s">
        <v>4343</v>
      </c>
      <c r="S1831" t="s">
        <v>2854</v>
      </c>
      <c r="V1831" t="s">
        <v>2855</v>
      </c>
      <c r="W1831" t="s">
        <v>2856</v>
      </c>
      <c r="AD1831" t="s">
        <v>4344</v>
      </c>
    </row>
    <row r="1832" spans="1:30" x14ac:dyDescent="0.25">
      <c r="A1832" t="s">
        <v>33</v>
      </c>
      <c r="D1832" t="s">
        <v>2847</v>
      </c>
      <c r="E1832" t="s">
        <v>2848</v>
      </c>
      <c r="F1832" t="s">
        <v>87</v>
      </c>
      <c r="G1832" t="s">
        <v>4338</v>
      </c>
      <c r="H1832" t="s">
        <v>143</v>
      </c>
      <c r="I1832" t="s">
        <v>144</v>
      </c>
      <c r="J1832" t="s">
        <v>145</v>
      </c>
      <c r="K1832" t="s">
        <v>146</v>
      </c>
      <c r="L1832" t="s">
        <v>4339</v>
      </c>
      <c r="M1832" t="s">
        <v>4345</v>
      </c>
      <c r="N1832" t="s">
        <v>4340</v>
      </c>
      <c r="O1832" t="s">
        <v>147</v>
      </c>
      <c r="R1832" t="s">
        <v>4346</v>
      </c>
      <c r="S1832" t="s">
        <v>2854</v>
      </c>
      <c r="V1832" t="s">
        <v>2855</v>
      </c>
      <c r="W1832" t="s">
        <v>2856</v>
      </c>
      <c r="AD1832" t="s">
        <v>4347</v>
      </c>
    </row>
    <row r="1833" spans="1:30" x14ac:dyDescent="0.25">
      <c r="A1833" t="s">
        <v>33</v>
      </c>
      <c r="D1833" t="s">
        <v>2847</v>
      </c>
      <c r="E1833" t="s">
        <v>2848</v>
      </c>
      <c r="F1833" t="s">
        <v>87</v>
      </c>
      <c r="G1833" t="s">
        <v>4338</v>
      </c>
      <c r="H1833" t="s">
        <v>143</v>
      </c>
      <c r="I1833" t="s">
        <v>144</v>
      </c>
      <c r="J1833" t="s">
        <v>145</v>
      </c>
      <c r="K1833" t="s">
        <v>262</v>
      </c>
      <c r="L1833" t="s">
        <v>4339</v>
      </c>
      <c r="M1833" t="s">
        <v>4345</v>
      </c>
      <c r="N1833" t="s">
        <v>4340</v>
      </c>
      <c r="O1833" t="s">
        <v>147</v>
      </c>
      <c r="R1833" t="s">
        <v>4348</v>
      </c>
      <c r="S1833" t="s">
        <v>2854</v>
      </c>
      <c r="V1833" t="s">
        <v>2855</v>
      </c>
      <c r="W1833" t="s">
        <v>2856</v>
      </c>
      <c r="AD1833" t="s">
        <v>4347</v>
      </c>
    </row>
    <row r="1834" spans="1:30" x14ac:dyDescent="0.25">
      <c r="A1834" t="s">
        <v>33</v>
      </c>
      <c r="D1834" t="s">
        <v>2847</v>
      </c>
      <c r="E1834" t="s">
        <v>2848</v>
      </c>
      <c r="F1834" t="s">
        <v>87</v>
      </c>
      <c r="G1834" t="s">
        <v>4338</v>
      </c>
      <c r="H1834" t="s">
        <v>153</v>
      </c>
      <c r="I1834" t="s">
        <v>90</v>
      </c>
      <c r="J1834" t="s">
        <v>154</v>
      </c>
      <c r="K1834" t="s">
        <v>155</v>
      </c>
      <c r="L1834" t="s">
        <v>4339</v>
      </c>
      <c r="N1834" t="s">
        <v>4340</v>
      </c>
      <c r="O1834" t="s">
        <v>386</v>
      </c>
      <c r="R1834" t="s">
        <v>4349</v>
      </c>
      <c r="S1834" t="s">
        <v>2854</v>
      </c>
      <c r="V1834" t="s">
        <v>2855</v>
      </c>
      <c r="W1834" t="s">
        <v>2856</v>
      </c>
      <c r="AD1834" t="s">
        <v>4350</v>
      </c>
    </row>
    <row r="1835" spans="1:30" x14ac:dyDescent="0.25">
      <c r="A1835" t="s">
        <v>33</v>
      </c>
      <c r="D1835" t="s">
        <v>2847</v>
      </c>
      <c r="E1835" t="s">
        <v>2848</v>
      </c>
      <c r="F1835" t="s">
        <v>87</v>
      </c>
      <c r="G1835" t="s">
        <v>4338</v>
      </c>
      <c r="H1835" t="s">
        <v>89</v>
      </c>
      <c r="I1835" t="s">
        <v>90</v>
      </c>
      <c r="J1835" t="s">
        <v>91</v>
      </c>
      <c r="K1835" t="s">
        <v>92</v>
      </c>
      <c r="L1835" t="s">
        <v>4339</v>
      </c>
      <c r="M1835" t="s">
        <v>94</v>
      </c>
      <c r="N1835" t="s">
        <v>4340</v>
      </c>
      <c r="O1835" t="s">
        <v>383</v>
      </c>
      <c r="P1835">
        <v>1E-3</v>
      </c>
      <c r="R1835" t="s">
        <v>4351</v>
      </c>
      <c r="S1835" t="s">
        <v>2854</v>
      </c>
      <c r="V1835" t="s">
        <v>2855</v>
      </c>
      <c r="W1835" t="s">
        <v>2856</v>
      </c>
      <c r="AD1835" t="s">
        <v>4352</v>
      </c>
    </row>
    <row r="1836" spans="1:30" x14ac:dyDescent="0.25">
      <c r="A1836" t="s">
        <v>33</v>
      </c>
      <c r="D1836" t="s">
        <v>2847</v>
      </c>
      <c r="E1836" t="s">
        <v>2848</v>
      </c>
      <c r="F1836" t="s">
        <v>87</v>
      </c>
      <c r="G1836" t="s">
        <v>4338</v>
      </c>
      <c r="H1836" t="s">
        <v>143</v>
      </c>
      <c r="I1836" t="s">
        <v>90</v>
      </c>
      <c r="J1836" t="s">
        <v>145</v>
      </c>
      <c r="K1836" t="s">
        <v>262</v>
      </c>
      <c r="L1836" t="s">
        <v>4339</v>
      </c>
      <c r="M1836" t="s">
        <v>4345</v>
      </c>
      <c r="N1836" t="s">
        <v>4340</v>
      </c>
      <c r="O1836" t="s">
        <v>380</v>
      </c>
      <c r="R1836" t="s">
        <v>4353</v>
      </c>
      <c r="S1836" t="s">
        <v>2854</v>
      </c>
      <c r="V1836" t="s">
        <v>2855</v>
      </c>
      <c r="W1836" t="s">
        <v>2856</v>
      </c>
      <c r="AD1836" t="s">
        <v>4354</v>
      </c>
    </row>
    <row r="1837" spans="1:30" x14ac:dyDescent="0.25">
      <c r="A1837" t="s">
        <v>33</v>
      </c>
      <c r="D1837" t="s">
        <v>2847</v>
      </c>
      <c r="E1837" t="s">
        <v>2848</v>
      </c>
      <c r="F1837" t="s">
        <v>87</v>
      </c>
      <c r="G1837" t="s">
        <v>4338</v>
      </c>
      <c r="H1837" t="s">
        <v>143</v>
      </c>
      <c r="I1837" t="s">
        <v>90</v>
      </c>
      <c r="J1837" t="s">
        <v>145</v>
      </c>
      <c r="K1837" t="s">
        <v>146</v>
      </c>
      <c r="L1837" t="s">
        <v>4339</v>
      </c>
      <c r="M1837" t="s">
        <v>4345</v>
      </c>
      <c r="N1837" t="s">
        <v>4340</v>
      </c>
      <c r="O1837" t="s">
        <v>380</v>
      </c>
      <c r="R1837" t="s">
        <v>4355</v>
      </c>
      <c r="S1837" t="s">
        <v>2854</v>
      </c>
      <c r="V1837" t="s">
        <v>2855</v>
      </c>
      <c r="W1837" t="s">
        <v>2856</v>
      </c>
      <c r="AD1837" t="s">
        <v>4354</v>
      </c>
    </row>
    <row r="1838" spans="1:30" x14ac:dyDescent="0.25">
      <c r="A1838" t="s">
        <v>33</v>
      </c>
      <c r="D1838" t="s">
        <v>2847</v>
      </c>
      <c r="E1838" t="s">
        <v>2848</v>
      </c>
      <c r="F1838" t="s">
        <v>87</v>
      </c>
      <c r="G1838" t="s">
        <v>4338</v>
      </c>
      <c r="H1838" t="s">
        <v>38</v>
      </c>
      <c r="I1838" t="s">
        <v>106</v>
      </c>
      <c r="J1838" t="s">
        <v>40</v>
      </c>
      <c r="K1838" t="s">
        <v>41</v>
      </c>
      <c r="L1838" t="s">
        <v>4339</v>
      </c>
      <c r="M1838" t="s">
        <v>4345</v>
      </c>
      <c r="N1838" t="s">
        <v>4340</v>
      </c>
      <c r="O1838" t="s">
        <v>109</v>
      </c>
      <c r="R1838" t="s">
        <v>4356</v>
      </c>
      <c r="S1838" t="s">
        <v>2854</v>
      </c>
      <c r="V1838" t="s">
        <v>2855</v>
      </c>
      <c r="W1838" t="s">
        <v>2856</v>
      </c>
      <c r="AD1838" t="s">
        <v>4357</v>
      </c>
    </row>
    <row r="1839" spans="1:30" x14ac:dyDescent="0.25">
      <c r="A1839" t="s">
        <v>33</v>
      </c>
      <c r="D1839" t="s">
        <v>2847</v>
      </c>
      <c r="E1839" t="s">
        <v>2848</v>
      </c>
      <c r="F1839" t="s">
        <v>87</v>
      </c>
      <c r="G1839" t="s">
        <v>4338</v>
      </c>
      <c r="H1839" t="s">
        <v>38</v>
      </c>
      <c r="I1839" t="s">
        <v>25</v>
      </c>
      <c r="J1839" t="s">
        <v>69</v>
      </c>
      <c r="K1839" t="s">
        <v>41</v>
      </c>
      <c r="L1839" t="s">
        <v>4339</v>
      </c>
      <c r="M1839" t="s">
        <v>4345</v>
      </c>
      <c r="N1839" t="s">
        <v>4340</v>
      </c>
      <c r="O1839" t="s">
        <v>512</v>
      </c>
      <c r="R1839" t="s">
        <v>1545</v>
      </c>
      <c r="S1839" t="s">
        <v>2854</v>
      </c>
      <c r="V1839" t="s">
        <v>2855</v>
      </c>
      <c r="W1839" t="s">
        <v>2856</v>
      </c>
      <c r="AD1839" t="s">
        <v>4358</v>
      </c>
    </row>
    <row r="1840" spans="1:30" x14ac:dyDescent="0.25">
      <c r="A1840" t="s">
        <v>33</v>
      </c>
      <c r="D1840" t="s">
        <v>2847</v>
      </c>
      <c r="E1840" t="s">
        <v>2848</v>
      </c>
      <c r="F1840" t="s">
        <v>87</v>
      </c>
      <c r="G1840" t="s">
        <v>4338</v>
      </c>
      <c r="H1840" t="s">
        <v>38</v>
      </c>
      <c r="I1840" t="s">
        <v>24</v>
      </c>
      <c r="J1840" t="s">
        <v>69</v>
      </c>
      <c r="K1840" t="s">
        <v>41</v>
      </c>
      <c r="L1840" t="s">
        <v>4339</v>
      </c>
      <c r="M1840" t="s">
        <v>4345</v>
      </c>
      <c r="N1840" t="s">
        <v>4340</v>
      </c>
      <c r="O1840" t="s">
        <v>509</v>
      </c>
      <c r="R1840" t="s">
        <v>1547</v>
      </c>
      <c r="S1840" t="s">
        <v>2854</v>
      </c>
      <c r="V1840" t="s">
        <v>2855</v>
      </c>
      <c r="W1840" t="s">
        <v>2856</v>
      </c>
      <c r="AD1840" t="s">
        <v>4359</v>
      </c>
    </row>
    <row r="1841" spans="1:30" x14ac:dyDescent="0.25">
      <c r="A1841" t="s">
        <v>33</v>
      </c>
      <c r="D1841" t="s">
        <v>2847</v>
      </c>
      <c r="E1841" t="s">
        <v>2848</v>
      </c>
      <c r="F1841" t="s">
        <v>87</v>
      </c>
      <c r="G1841" t="s">
        <v>4360</v>
      </c>
      <c r="H1841" t="s">
        <v>153</v>
      </c>
      <c r="I1841" t="s">
        <v>144</v>
      </c>
      <c r="J1841" t="s">
        <v>154</v>
      </c>
      <c r="K1841" t="s">
        <v>155</v>
      </c>
      <c r="L1841" t="s">
        <v>4361</v>
      </c>
      <c r="N1841" t="s">
        <v>4362</v>
      </c>
      <c r="O1841" t="s">
        <v>156</v>
      </c>
      <c r="R1841" t="s">
        <v>4363</v>
      </c>
      <c r="S1841" t="s">
        <v>2854</v>
      </c>
      <c r="V1841" t="s">
        <v>2855</v>
      </c>
      <c r="W1841" t="s">
        <v>2856</v>
      </c>
      <c r="AD1841" t="s">
        <v>4364</v>
      </c>
    </row>
    <row r="1842" spans="1:30" x14ac:dyDescent="0.25">
      <c r="A1842" t="s">
        <v>33</v>
      </c>
      <c r="D1842" t="s">
        <v>2847</v>
      </c>
      <c r="E1842" t="s">
        <v>2848</v>
      </c>
      <c r="F1842" t="s">
        <v>78</v>
      </c>
      <c r="G1842" t="s">
        <v>4365</v>
      </c>
      <c r="H1842" t="s">
        <v>143</v>
      </c>
      <c r="I1842" t="s">
        <v>276</v>
      </c>
      <c r="J1842" t="s">
        <v>145</v>
      </c>
      <c r="K1842" t="s">
        <v>146</v>
      </c>
      <c r="L1842" t="s">
        <v>4366</v>
      </c>
      <c r="N1842" t="s">
        <v>4367</v>
      </c>
      <c r="O1842" t="s">
        <v>277</v>
      </c>
      <c r="R1842" t="s">
        <v>4368</v>
      </c>
      <c r="S1842" t="s">
        <v>2864</v>
      </c>
      <c r="V1842" t="s">
        <v>2855</v>
      </c>
      <c r="W1842" t="s">
        <v>2856</v>
      </c>
      <c r="X1842" t="s">
        <v>270</v>
      </c>
      <c r="AD1842" t="s">
        <v>4369</v>
      </c>
    </row>
    <row r="1843" spans="1:30" x14ac:dyDescent="0.25">
      <c r="A1843" t="s">
        <v>33</v>
      </c>
      <c r="D1843" t="s">
        <v>2847</v>
      </c>
      <c r="E1843" t="s">
        <v>2848</v>
      </c>
      <c r="F1843" t="s">
        <v>78</v>
      </c>
      <c r="G1843" t="s">
        <v>4365</v>
      </c>
      <c r="H1843" t="s">
        <v>143</v>
      </c>
      <c r="I1843" t="s">
        <v>272</v>
      </c>
      <c r="J1843" t="s">
        <v>145</v>
      </c>
      <c r="K1843" t="s">
        <v>146</v>
      </c>
      <c r="L1843" t="s">
        <v>4366</v>
      </c>
      <c r="N1843" t="s">
        <v>4367</v>
      </c>
      <c r="O1843" t="s">
        <v>273</v>
      </c>
      <c r="R1843" t="s">
        <v>4370</v>
      </c>
      <c r="S1843" t="s">
        <v>2864</v>
      </c>
      <c r="V1843" t="s">
        <v>2855</v>
      </c>
      <c r="W1843" t="s">
        <v>2856</v>
      </c>
      <c r="X1843" t="s">
        <v>270</v>
      </c>
      <c r="AD1843" t="s">
        <v>4371</v>
      </c>
    </row>
    <row r="1844" spans="1:30" x14ac:dyDescent="0.25">
      <c r="A1844" t="s">
        <v>33</v>
      </c>
      <c r="D1844" t="s">
        <v>2847</v>
      </c>
      <c r="E1844" t="s">
        <v>2848</v>
      </c>
      <c r="F1844" t="s">
        <v>78</v>
      </c>
      <c r="G1844" t="s">
        <v>4365</v>
      </c>
      <c r="H1844" t="s">
        <v>143</v>
      </c>
      <c r="I1844" t="s">
        <v>267</v>
      </c>
      <c r="J1844" t="s">
        <v>145</v>
      </c>
      <c r="K1844" t="s">
        <v>146</v>
      </c>
      <c r="L1844" t="s">
        <v>4366</v>
      </c>
      <c r="N1844" t="s">
        <v>4367</v>
      </c>
      <c r="O1844" t="s">
        <v>268</v>
      </c>
      <c r="R1844" t="s">
        <v>4372</v>
      </c>
      <c r="S1844" t="s">
        <v>2864</v>
      </c>
      <c r="V1844" t="s">
        <v>2855</v>
      </c>
      <c r="W1844" t="s">
        <v>2856</v>
      </c>
      <c r="X1844" t="s">
        <v>270</v>
      </c>
      <c r="AD1844" t="s">
        <v>4373</v>
      </c>
    </row>
    <row r="1845" spans="1:30" x14ac:dyDescent="0.25">
      <c r="A1845" t="s">
        <v>33</v>
      </c>
      <c r="D1845" t="s">
        <v>2847</v>
      </c>
      <c r="E1845" t="s">
        <v>2848</v>
      </c>
      <c r="F1845" t="s">
        <v>78</v>
      </c>
      <c r="G1845" t="s">
        <v>4365</v>
      </c>
      <c r="H1845" t="s">
        <v>143</v>
      </c>
      <c r="I1845" t="s">
        <v>295</v>
      </c>
      <c r="J1845" t="s">
        <v>145</v>
      </c>
      <c r="K1845" t="s">
        <v>146</v>
      </c>
      <c r="L1845" t="s">
        <v>4366</v>
      </c>
      <c r="M1845" t="s">
        <v>82</v>
      </c>
      <c r="N1845" t="s">
        <v>4367</v>
      </c>
      <c r="O1845" t="s">
        <v>296</v>
      </c>
      <c r="R1845" t="s">
        <v>4374</v>
      </c>
      <c r="S1845" t="s">
        <v>2864</v>
      </c>
      <c r="V1845" t="s">
        <v>2855</v>
      </c>
      <c r="W1845" t="s">
        <v>2856</v>
      </c>
      <c r="AD1845" t="s">
        <v>4375</v>
      </c>
    </row>
    <row r="1846" spans="1:30" x14ac:dyDescent="0.25">
      <c r="A1846" t="s">
        <v>33</v>
      </c>
      <c r="D1846" t="s">
        <v>2847</v>
      </c>
      <c r="E1846" t="s">
        <v>2848</v>
      </c>
      <c r="F1846" t="s">
        <v>78</v>
      </c>
      <c r="G1846" t="s">
        <v>4365</v>
      </c>
      <c r="H1846" t="s">
        <v>143</v>
      </c>
      <c r="I1846" t="s">
        <v>299</v>
      </c>
      <c r="J1846" t="s">
        <v>145</v>
      </c>
      <c r="K1846" t="s">
        <v>146</v>
      </c>
      <c r="L1846" t="s">
        <v>4366</v>
      </c>
      <c r="M1846" t="s">
        <v>82</v>
      </c>
      <c r="N1846" t="s">
        <v>4367</v>
      </c>
      <c r="O1846" t="s">
        <v>300</v>
      </c>
      <c r="R1846" t="s">
        <v>4376</v>
      </c>
      <c r="S1846" t="s">
        <v>2864</v>
      </c>
      <c r="V1846" t="s">
        <v>2855</v>
      </c>
      <c r="W1846" t="s">
        <v>2856</v>
      </c>
      <c r="AD1846" t="s">
        <v>4377</v>
      </c>
    </row>
    <row r="1847" spans="1:30" x14ac:dyDescent="0.25">
      <c r="A1847" t="s">
        <v>33</v>
      </c>
      <c r="D1847" t="s">
        <v>2847</v>
      </c>
      <c r="E1847" t="s">
        <v>2848</v>
      </c>
      <c r="F1847" t="s">
        <v>78</v>
      </c>
      <c r="G1847" t="s">
        <v>4365</v>
      </c>
      <c r="H1847" t="s">
        <v>38</v>
      </c>
      <c r="I1847" t="s">
        <v>257</v>
      </c>
      <c r="J1847" t="s">
        <v>40</v>
      </c>
      <c r="K1847" t="s">
        <v>41</v>
      </c>
      <c r="L1847" t="s">
        <v>4366</v>
      </c>
      <c r="M1847" t="s">
        <v>82</v>
      </c>
      <c r="N1847" t="s">
        <v>4367</v>
      </c>
      <c r="O1847" t="s">
        <v>258</v>
      </c>
      <c r="R1847" t="s">
        <v>4378</v>
      </c>
      <c r="S1847" t="s">
        <v>2864</v>
      </c>
      <c r="V1847" t="s">
        <v>2855</v>
      </c>
      <c r="W1847" t="s">
        <v>2856</v>
      </c>
      <c r="AD1847" t="s">
        <v>4379</v>
      </c>
    </row>
    <row r="1848" spans="1:30" x14ac:dyDescent="0.25">
      <c r="A1848" t="s">
        <v>33</v>
      </c>
      <c r="D1848" t="s">
        <v>2847</v>
      </c>
      <c r="E1848" t="s">
        <v>2848</v>
      </c>
      <c r="F1848" t="s">
        <v>78</v>
      </c>
      <c r="G1848" t="s">
        <v>4365</v>
      </c>
      <c r="H1848" t="s">
        <v>38</v>
      </c>
      <c r="I1848" t="s">
        <v>250</v>
      </c>
      <c r="J1848" t="s">
        <v>40</v>
      </c>
      <c r="K1848" t="s">
        <v>41</v>
      </c>
      <c r="L1848" t="s">
        <v>4366</v>
      </c>
      <c r="M1848" t="s">
        <v>252</v>
      </c>
      <c r="N1848" t="s">
        <v>4367</v>
      </c>
      <c r="O1848" t="s">
        <v>254</v>
      </c>
      <c r="R1848" t="s">
        <v>4380</v>
      </c>
      <c r="S1848" t="s">
        <v>2864</v>
      </c>
      <c r="V1848" t="s">
        <v>2855</v>
      </c>
      <c r="W1848" t="s">
        <v>2856</v>
      </c>
      <c r="AD1848" t="s">
        <v>4381</v>
      </c>
    </row>
    <row r="1849" spans="1:30" x14ac:dyDescent="0.25">
      <c r="A1849" t="s">
        <v>33</v>
      </c>
      <c r="D1849" t="s">
        <v>2847</v>
      </c>
      <c r="E1849" t="s">
        <v>2848</v>
      </c>
      <c r="F1849" t="s">
        <v>78</v>
      </c>
      <c r="G1849" t="s">
        <v>4365</v>
      </c>
      <c r="H1849" t="s">
        <v>143</v>
      </c>
      <c r="I1849" t="s">
        <v>257</v>
      </c>
      <c r="J1849" t="s">
        <v>145</v>
      </c>
      <c r="K1849" t="s">
        <v>146</v>
      </c>
      <c r="L1849" t="s">
        <v>4366</v>
      </c>
      <c r="M1849" t="s">
        <v>82</v>
      </c>
      <c r="N1849" t="s">
        <v>4367</v>
      </c>
      <c r="O1849" t="s">
        <v>292</v>
      </c>
      <c r="R1849" t="s">
        <v>4382</v>
      </c>
      <c r="S1849" t="s">
        <v>2864</v>
      </c>
      <c r="V1849" t="s">
        <v>2855</v>
      </c>
      <c r="W1849" t="s">
        <v>2856</v>
      </c>
      <c r="AD1849" t="s">
        <v>4383</v>
      </c>
    </row>
    <row r="1850" spans="1:30" x14ac:dyDescent="0.25">
      <c r="A1850" t="s">
        <v>33</v>
      </c>
      <c r="D1850" t="s">
        <v>2847</v>
      </c>
      <c r="E1850" t="s">
        <v>2848</v>
      </c>
      <c r="F1850" t="s">
        <v>78</v>
      </c>
      <c r="G1850" t="s">
        <v>4365</v>
      </c>
      <c r="H1850" t="s">
        <v>143</v>
      </c>
      <c r="I1850" t="s">
        <v>261</v>
      </c>
      <c r="J1850" t="s">
        <v>145</v>
      </c>
      <c r="K1850" t="s">
        <v>146</v>
      </c>
      <c r="L1850" t="s">
        <v>4366</v>
      </c>
      <c r="M1850" t="s">
        <v>252</v>
      </c>
      <c r="N1850" t="s">
        <v>4367</v>
      </c>
      <c r="O1850" t="s">
        <v>263</v>
      </c>
      <c r="R1850" t="s">
        <v>4384</v>
      </c>
      <c r="S1850" t="s">
        <v>2864</v>
      </c>
      <c r="V1850" t="s">
        <v>2855</v>
      </c>
      <c r="W1850" t="s">
        <v>2856</v>
      </c>
      <c r="AD1850" t="s">
        <v>4385</v>
      </c>
    </row>
    <row r="1851" spans="1:30" x14ac:dyDescent="0.25">
      <c r="A1851" t="s">
        <v>33</v>
      </c>
      <c r="D1851" t="s">
        <v>2847</v>
      </c>
      <c r="E1851" t="s">
        <v>2848</v>
      </c>
      <c r="F1851" t="s">
        <v>78</v>
      </c>
      <c r="G1851" t="s">
        <v>4365</v>
      </c>
      <c r="H1851" t="s">
        <v>280</v>
      </c>
      <c r="I1851" t="s">
        <v>281</v>
      </c>
      <c r="J1851" t="s">
        <v>282</v>
      </c>
      <c r="K1851" t="s">
        <v>283</v>
      </c>
      <c r="L1851" t="s">
        <v>4366</v>
      </c>
      <c r="N1851" t="s">
        <v>4367</v>
      </c>
      <c r="O1851" t="s">
        <v>284</v>
      </c>
      <c r="Q1851" t="s">
        <v>285</v>
      </c>
      <c r="R1851" t="s">
        <v>4386</v>
      </c>
      <c r="S1851" t="s">
        <v>2864</v>
      </c>
      <c r="V1851" t="s">
        <v>2855</v>
      </c>
      <c r="W1851" t="s">
        <v>2856</v>
      </c>
      <c r="AD1851" t="s">
        <v>4387</v>
      </c>
    </row>
    <row r="1852" spans="1:30" x14ac:dyDescent="0.25">
      <c r="A1852" t="s">
        <v>33</v>
      </c>
      <c r="D1852" t="s">
        <v>2847</v>
      </c>
      <c r="E1852" t="s">
        <v>2893</v>
      </c>
      <c r="F1852" t="s">
        <v>78</v>
      </c>
      <c r="G1852" t="s">
        <v>4388</v>
      </c>
      <c r="H1852" t="s">
        <v>143</v>
      </c>
      <c r="I1852" t="s">
        <v>276</v>
      </c>
      <c r="J1852" t="s">
        <v>145</v>
      </c>
      <c r="K1852" t="s">
        <v>146</v>
      </c>
      <c r="L1852" t="s">
        <v>4389</v>
      </c>
      <c r="N1852" t="s">
        <v>4390</v>
      </c>
      <c r="O1852" t="s">
        <v>277</v>
      </c>
      <c r="R1852" t="s">
        <v>4391</v>
      </c>
      <c r="S1852" t="s">
        <v>2864</v>
      </c>
      <c r="V1852" t="s">
        <v>2855</v>
      </c>
      <c r="W1852" t="s">
        <v>2898</v>
      </c>
      <c r="X1852" t="s">
        <v>270</v>
      </c>
      <c r="AD1852" t="s">
        <v>4392</v>
      </c>
    </row>
    <row r="1853" spans="1:30" x14ac:dyDescent="0.25">
      <c r="A1853" t="s">
        <v>33</v>
      </c>
      <c r="D1853" t="s">
        <v>2847</v>
      </c>
      <c r="E1853" t="s">
        <v>2893</v>
      </c>
      <c r="F1853" t="s">
        <v>78</v>
      </c>
      <c r="G1853" t="s">
        <v>4388</v>
      </c>
      <c r="H1853" t="s">
        <v>143</v>
      </c>
      <c r="I1853" t="s">
        <v>272</v>
      </c>
      <c r="J1853" t="s">
        <v>145</v>
      </c>
      <c r="K1853" t="s">
        <v>146</v>
      </c>
      <c r="L1853" t="s">
        <v>4389</v>
      </c>
      <c r="N1853" t="s">
        <v>4390</v>
      </c>
      <c r="O1853" t="s">
        <v>273</v>
      </c>
      <c r="R1853" t="s">
        <v>4393</v>
      </c>
      <c r="S1853" t="s">
        <v>2864</v>
      </c>
      <c r="V1853" t="s">
        <v>2855</v>
      </c>
      <c r="W1853" t="s">
        <v>2898</v>
      </c>
      <c r="X1853" t="s">
        <v>270</v>
      </c>
      <c r="AD1853" t="s">
        <v>4394</v>
      </c>
    </row>
    <row r="1854" spans="1:30" x14ac:dyDescent="0.25">
      <c r="A1854" t="s">
        <v>33</v>
      </c>
      <c r="D1854" t="s">
        <v>2847</v>
      </c>
      <c r="E1854" t="s">
        <v>2893</v>
      </c>
      <c r="F1854" t="s">
        <v>78</v>
      </c>
      <c r="G1854" t="s">
        <v>4388</v>
      </c>
      <c r="H1854" t="s">
        <v>143</v>
      </c>
      <c r="I1854" t="s">
        <v>267</v>
      </c>
      <c r="J1854" t="s">
        <v>145</v>
      </c>
      <c r="K1854" t="s">
        <v>146</v>
      </c>
      <c r="L1854" t="s">
        <v>4389</v>
      </c>
      <c r="N1854" t="s">
        <v>4390</v>
      </c>
      <c r="O1854" t="s">
        <v>268</v>
      </c>
      <c r="R1854" t="s">
        <v>4395</v>
      </c>
      <c r="S1854" t="s">
        <v>2864</v>
      </c>
      <c r="V1854" t="s">
        <v>2855</v>
      </c>
      <c r="W1854" t="s">
        <v>2898</v>
      </c>
      <c r="X1854" t="s">
        <v>270</v>
      </c>
      <c r="AD1854" t="s">
        <v>4396</v>
      </c>
    </row>
    <row r="1855" spans="1:30" x14ac:dyDescent="0.25">
      <c r="A1855" t="s">
        <v>33</v>
      </c>
      <c r="D1855" t="s">
        <v>2847</v>
      </c>
      <c r="E1855" t="s">
        <v>2893</v>
      </c>
      <c r="F1855" t="s">
        <v>78</v>
      </c>
      <c r="G1855" t="s">
        <v>4388</v>
      </c>
      <c r="H1855" t="s">
        <v>143</v>
      </c>
      <c r="I1855" t="s">
        <v>295</v>
      </c>
      <c r="J1855" t="s">
        <v>145</v>
      </c>
      <c r="K1855" t="s">
        <v>146</v>
      </c>
      <c r="L1855" t="s">
        <v>4389</v>
      </c>
      <c r="M1855" t="s">
        <v>82</v>
      </c>
      <c r="N1855" t="s">
        <v>4390</v>
      </c>
      <c r="O1855" t="s">
        <v>296</v>
      </c>
      <c r="R1855" t="s">
        <v>4397</v>
      </c>
      <c r="S1855" t="s">
        <v>2864</v>
      </c>
      <c r="V1855" t="s">
        <v>2855</v>
      </c>
      <c r="W1855" t="s">
        <v>2898</v>
      </c>
      <c r="AD1855" t="s">
        <v>4398</v>
      </c>
    </row>
    <row r="1856" spans="1:30" x14ac:dyDescent="0.25">
      <c r="A1856" t="s">
        <v>33</v>
      </c>
      <c r="D1856" t="s">
        <v>2847</v>
      </c>
      <c r="E1856" t="s">
        <v>2893</v>
      </c>
      <c r="F1856" t="s">
        <v>78</v>
      </c>
      <c r="G1856" t="s">
        <v>4388</v>
      </c>
      <c r="H1856" t="s">
        <v>143</v>
      </c>
      <c r="I1856" t="s">
        <v>299</v>
      </c>
      <c r="J1856" t="s">
        <v>145</v>
      </c>
      <c r="K1856" t="s">
        <v>262</v>
      </c>
      <c r="L1856" t="s">
        <v>4389</v>
      </c>
      <c r="M1856" t="s">
        <v>82</v>
      </c>
      <c r="N1856" t="s">
        <v>4390</v>
      </c>
      <c r="O1856" t="s">
        <v>300</v>
      </c>
      <c r="R1856" t="s">
        <v>4399</v>
      </c>
      <c r="S1856" t="s">
        <v>2864</v>
      </c>
      <c r="V1856" t="s">
        <v>2855</v>
      </c>
      <c r="W1856" t="s">
        <v>2898</v>
      </c>
      <c r="AD1856" t="s">
        <v>4400</v>
      </c>
    </row>
    <row r="1857" spans="1:30" x14ac:dyDescent="0.25">
      <c r="A1857" t="s">
        <v>33</v>
      </c>
      <c r="D1857" t="s">
        <v>2847</v>
      </c>
      <c r="E1857" t="s">
        <v>2893</v>
      </c>
      <c r="F1857" t="s">
        <v>78</v>
      </c>
      <c r="G1857" t="s">
        <v>4388</v>
      </c>
      <c r="H1857" t="s">
        <v>143</v>
      </c>
      <c r="I1857" t="s">
        <v>4401</v>
      </c>
      <c r="J1857" t="s">
        <v>145</v>
      </c>
      <c r="K1857" t="s">
        <v>146</v>
      </c>
      <c r="L1857" t="s">
        <v>4389</v>
      </c>
      <c r="M1857" t="s">
        <v>3483</v>
      </c>
      <c r="N1857" t="s">
        <v>4390</v>
      </c>
      <c r="O1857" t="s">
        <v>4402</v>
      </c>
      <c r="R1857" t="s">
        <v>4403</v>
      </c>
      <c r="S1857" t="s">
        <v>2864</v>
      </c>
      <c r="V1857" t="s">
        <v>2855</v>
      </c>
      <c r="W1857" t="s">
        <v>2898</v>
      </c>
      <c r="X1857" t="s">
        <v>963</v>
      </c>
      <c r="AD1857" t="s">
        <v>4404</v>
      </c>
    </row>
    <row r="1858" spans="1:30" x14ac:dyDescent="0.25">
      <c r="A1858" t="s">
        <v>33</v>
      </c>
      <c r="D1858" t="s">
        <v>2847</v>
      </c>
      <c r="E1858" t="s">
        <v>2893</v>
      </c>
      <c r="F1858" t="s">
        <v>866</v>
      </c>
      <c r="G1858" t="s">
        <v>3675</v>
      </c>
      <c r="H1858" t="s">
        <v>280</v>
      </c>
      <c r="I1858" t="s">
        <v>3311</v>
      </c>
      <c r="J1858" t="s">
        <v>282</v>
      </c>
      <c r="K1858" t="s">
        <v>283</v>
      </c>
      <c r="L1858" t="s">
        <v>3676</v>
      </c>
      <c r="N1858" t="s">
        <v>3677</v>
      </c>
      <c r="O1858" t="s">
        <v>3312</v>
      </c>
      <c r="Q1858" t="s">
        <v>3313</v>
      </c>
      <c r="R1858" t="s">
        <v>4405</v>
      </c>
      <c r="S1858" t="s">
        <v>2864</v>
      </c>
      <c r="V1858" t="s">
        <v>2855</v>
      </c>
      <c r="W1858" t="s">
        <v>2898</v>
      </c>
      <c r="AD1858" t="s">
        <v>4406</v>
      </c>
    </row>
    <row r="1859" spans="1:30" x14ac:dyDescent="0.25">
      <c r="A1859" t="s">
        <v>33</v>
      </c>
      <c r="D1859" t="s">
        <v>2847</v>
      </c>
      <c r="E1859" t="s">
        <v>2893</v>
      </c>
      <c r="F1859" t="s">
        <v>78</v>
      </c>
      <c r="G1859" t="s">
        <v>4388</v>
      </c>
      <c r="H1859" t="s">
        <v>38</v>
      </c>
      <c r="I1859" t="s">
        <v>257</v>
      </c>
      <c r="J1859" t="s">
        <v>40</v>
      </c>
      <c r="K1859" t="s">
        <v>41</v>
      </c>
      <c r="L1859" t="s">
        <v>4389</v>
      </c>
      <c r="M1859" t="s">
        <v>82</v>
      </c>
      <c r="N1859" t="s">
        <v>4390</v>
      </c>
      <c r="O1859" t="s">
        <v>258</v>
      </c>
      <c r="R1859" t="s">
        <v>4407</v>
      </c>
      <c r="S1859" t="s">
        <v>2864</v>
      </c>
      <c r="V1859" t="s">
        <v>2855</v>
      </c>
      <c r="W1859" t="s">
        <v>2898</v>
      </c>
      <c r="AD1859" t="s">
        <v>4408</v>
      </c>
    </row>
    <row r="1860" spans="1:30" x14ac:dyDescent="0.25">
      <c r="A1860" t="s">
        <v>33</v>
      </c>
      <c r="D1860" t="s">
        <v>2847</v>
      </c>
      <c r="E1860" t="s">
        <v>2893</v>
      </c>
      <c r="F1860" t="s">
        <v>78</v>
      </c>
      <c r="G1860" t="s">
        <v>4388</v>
      </c>
      <c r="H1860" t="s">
        <v>38</v>
      </c>
      <c r="I1860" t="s">
        <v>250</v>
      </c>
      <c r="J1860" t="s">
        <v>40</v>
      </c>
      <c r="K1860" t="s">
        <v>41</v>
      </c>
      <c r="L1860" t="s">
        <v>4389</v>
      </c>
      <c r="M1860" t="s">
        <v>3483</v>
      </c>
      <c r="N1860" t="s">
        <v>4390</v>
      </c>
      <c r="O1860" t="s">
        <v>254</v>
      </c>
      <c r="R1860" t="s">
        <v>4409</v>
      </c>
      <c r="S1860" t="s">
        <v>2864</v>
      </c>
      <c r="V1860" t="s">
        <v>2855</v>
      </c>
      <c r="W1860" t="s">
        <v>2898</v>
      </c>
      <c r="X1860" t="s">
        <v>963</v>
      </c>
      <c r="AD1860" t="s">
        <v>4410</v>
      </c>
    </row>
    <row r="1861" spans="1:30" x14ac:dyDescent="0.25">
      <c r="A1861" t="s">
        <v>33</v>
      </c>
      <c r="D1861" t="s">
        <v>2847</v>
      </c>
      <c r="E1861" t="s">
        <v>2893</v>
      </c>
      <c r="F1861" t="s">
        <v>78</v>
      </c>
      <c r="G1861" t="s">
        <v>4388</v>
      </c>
      <c r="H1861" t="s">
        <v>143</v>
      </c>
      <c r="I1861" t="s">
        <v>257</v>
      </c>
      <c r="J1861" t="s">
        <v>145</v>
      </c>
      <c r="K1861" t="s">
        <v>146</v>
      </c>
      <c r="L1861" t="s">
        <v>4389</v>
      </c>
      <c r="M1861" t="s">
        <v>82</v>
      </c>
      <c r="N1861" t="s">
        <v>4390</v>
      </c>
      <c r="O1861" t="s">
        <v>292</v>
      </c>
      <c r="R1861" t="s">
        <v>4411</v>
      </c>
      <c r="S1861" t="s">
        <v>2864</v>
      </c>
      <c r="V1861" t="s">
        <v>2855</v>
      </c>
      <c r="W1861" t="s">
        <v>2898</v>
      </c>
      <c r="AD1861" t="s">
        <v>4412</v>
      </c>
    </row>
    <row r="1862" spans="1:30" x14ac:dyDescent="0.25">
      <c r="A1862" t="s">
        <v>33</v>
      </c>
      <c r="D1862" t="s">
        <v>2847</v>
      </c>
      <c r="E1862" t="s">
        <v>2893</v>
      </c>
      <c r="F1862" t="s">
        <v>78</v>
      </c>
      <c r="G1862" t="s">
        <v>4388</v>
      </c>
      <c r="H1862" t="s">
        <v>143</v>
      </c>
      <c r="I1862" t="s">
        <v>261</v>
      </c>
      <c r="J1862" t="s">
        <v>745</v>
      </c>
      <c r="K1862" t="s">
        <v>262</v>
      </c>
      <c r="L1862" t="s">
        <v>4389</v>
      </c>
      <c r="M1862" t="s">
        <v>3483</v>
      </c>
      <c r="N1862" t="s">
        <v>4390</v>
      </c>
      <c r="O1862" t="s">
        <v>263</v>
      </c>
      <c r="R1862" t="s">
        <v>4413</v>
      </c>
      <c r="S1862" t="s">
        <v>2864</v>
      </c>
      <c r="V1862" t="s">
        <v>2855</v>
      </c>
      <c r="W1862" t="s">
        <v>2898</v>
      </c>
      <c r="X1862" t="s">
        <v>963</v>
      </c>
      <c r="AD1862" t="s">
        <v>4414</v>
      </c>
    </row>
    <row r="1863" spans="1:30" x14ac:dyDescent="0.25">
      <c r="A1863" t="s">
        <v>33</v>
      </c>
      <c r="D1863" t="s">
        <v>2847</v>
      </c>
      <c r="E1863" t="s">
        <v>2893</v>
      </c>
      <c r="F1863" t="s">
        <v>78</v>
      </c>
      <c r="G1863" t="s">
        <v>4388</v>
      </c>
      <c r="H1863" t="s">
        <v>280</v>
      </c>
      <c r="I1863" t="s">
        <v>281</v>
      </c>
      <c r="J1863" t="s">
        <v>282</v>
      </c>
      <c r="K1863" t="s">
        <v>283</v>
      </c>
      <c r="L1863" t="s">
        <v>4389</v>
      </c>
      <c r="N1863" t="s">
        <v>4390</v>
      </c>
      <c r="O1863" t="s">
        <v>284</v>
      </c>
      <c r="Q1863" t="s">
        <v>285</v>
      </c>
      <c r="R1863" t="s">
        <v>4415</v>
      </c>
      <c r="S1863" t="s">
        <v>2864</v>
      </c>
      <c r="V1863" t="s">
        <v>2855</v>
      </c>
      <c r="W1863" t="s">
        <v>2898</v>
      </c>
      <c r="AD1863" t="s">
        <v>4416</v>
      </c>
    </row>
    <row r="1864" spans="1:30" x14ac:dyDescent="0.25">
      <c r="A1864" t="s">
        <v>33</v>
      </c>
      <c r="D1864" t="s">
        <v>2847</v>
      </c>
      <c r="E1864" t="s">
        <v>2893</v>
      </c>
      <c r="F1864" t="s">
        <v>866</v>
      </c>
      <c r="G1864" t="s">
        <v>4417</v>
      </c>
      <c r="H1864" t="s">
        <v>143</v>
      </c>
      <c r="I1864" t="s">
        <v>1285</v>
      </c>
      <c r="J1864" t="s">
        <v>145</v>
      </c>
      <c r="K1864" t="s">
        <v>146</v>
      </c>
      <c r="L1864" t="s">
        <v>4418</v>
      </c>
      <c r="M1864" t="s">
        <v>3327</v>
      </c>
      <c r="N1864" t="s">
        <v>4419</v>
      </c>
      <c r="O1864" t="s">
        <v>1286</v>
      </c>
      <c r="R1864" t="s">
        <v>4420</v>
      </c>
      <c r="S1864" t="s">
        <v>2864</v>
      </c>
      <c r="V1864" t="s">
        <v>2855</v>
      </c>
      <c r="W1864" t="s">
        <v>2898</v>
      </c>
      <c r="X1864" t="s">
        <v>1193</v>
      </c>
      <c r="AD1864" t="s">
        <v>4421</v>
      </c>
    </row>
    <row r="1865" spans="1:30" x14ac:dyDescent="0.25">
      <c r="A1865" t="s">
        <v>33</v>
      </c>
      <c r="D1865" t="s">
        <v>2847</v>
      </c>
      <c r="E1865" t="s">
        <v>2893</v>
      </c>
      <c r="F1865" t="s">
        <v>866</v>
      </c>
      <c r="G1865" t="s">
        <v>4417</v>
      </c>
      <c r="H1865" t="s">
        <v>143</v>
      </c>
      <c r="I1865" t="s">
        <v>1289</v>
      </c>
      <c r="J1865" t="s">
        <v>145</v>
      </c>
      <c r="K1865" t="s">
        <v>146</v>
      </c>
      <c r="L1865" t="s">
        <v>4418</v>
      </c>
      <c r="M1865" t="s">
        <v>3327</v>
      </c>
      <c r="N1865" t="s">
        <v>4419</v>
      </c>
      <c r="O1865" t="s">
        <v>1290</v>
      </c>
      <c r="R1865" t="s">
        <v>4422</v>
      </c>
      <c r="S1865" t="s">
        <v>2864</v>
      </c>
      <c r="V1865" t="s">
        <v>2855</v>
      </c>
      <c r="W1865" t="s">
        <v>2898</v>
      </c>
      <c r="X1865" t="s">
        <v>1193</v>
      </c>
      <c r="AD1865" t="s">
        <v>4423</v>
      </c>
    </row>
    <row r="1866" spans="1:30" x14ac:dyDescent="0.25">
      <c r="A1866" t="s">
        <v>33</v>
      </c>
      <c r="D1866" t="s">
        <v>2847</v>
      </c>
      <c r="E1866" t="s">
        <v>2859</v>
      </c>
      <c r="F1866" t="s">
        <v>87</v>
      </c>
      <c r="G1866" t="s">
        <v>2926</v>
      </c>
      <c r="H1866" t="s">
        <v>89</v>
      </c>
      <c r="I1866" t="s">
        <v>144</v>
      </c>
      <c r="J1866" t="s">
        <v>91</v>
      </c>
      <c r="K1866" t="s">
        <v>92</v>
      </c>
      <c r="L1866" t="s">
        <v>2927</v>
      </c>
      <c r="M1866" t="s">
        <v>94</v>
      </c>
      <c r="N1866" t="s">
        <v>2928</v>
      </c>
      <c r="O1866" t="s">
        <v>150</v>
      </c>
      <c r="P1866">
        <v>1E-3</v>
      </c>
      <c r="R1866" t="s">
        <v>4424</v>
      </c>
      <c r="S1866" t="s">
        <v>2864</v>
      </c>
      <c r="V1866" t="s">
        <v>2855</v>
      </c>
      <c r="W1866" t="s">
        <v>2865</v>
      </c>
      <c r="AD1866" t="s">
        <v>4425</v>
      </c>
    </row>
    <row r="1867" spans="1:30" x14ac:dyDescent="0.25">
      <c r="A1867" t="s">
        <v>33</v>
      </c>
      <c r="D1867" t="s">
        <v>2847</v>
      </c>
      <c r="E1867" t="s">
        <v>2859</v>
      </c>
      <c r="F1867" t="s">
        <v>87</v>
      </c>
      <c r="G1867" t="s">
        <v>2926</v>
      </c>
      <c r="H1867" t="s">
        <v>143</v>
      </c>
      <c r="I1867" t="s">
        <v>144</v>
      </c>
      <c r="J1867" t="s">
        <v>145</v>
      </c>
      <c r="K1867" t="s">
        <v>146</v>
      </c>
      <c r="L1867" t="s">
        <v>2927</v>
      </c>
      <c r="M1867" t="s">
        <v>252</v>
      </c>
      <c r="N1867" t="s">
        <v>2928</v>
      </c>
      <c r="O1867" t="s">
        <v>147</v>
      </c>
      <c r="R1867" t="s">
        <v>4426</v>
      </c>
      <c r="S1867" t="s">
        <v>2864</v>
      </c>
      <c r="V1867" t="s">
        <v>2855</v>
      </c>
      <c r="W1867" t="s">
        <v>2865</v>
      </c>
      <c r="AD1867" t="s">
        <v>4427</v>
      </c>
    </row>
    <row r="1868" spans="1:30" x14ac:dyDescent="0.25">
      <c r="A1868" t="s">
        <v>33</v>
      </c>
      <c r="D1868" t="s">
        <v>2847</v>
      </c>
      <c r="E1868" t="s">
        <v>2893</v>
      </c>
      <c r="F1868" t="s">
        <v>87</v>
      </c>
      <c r="G1868" t="s">
        <v>2916</v>
      </c>
      <c r="H1868" t="s">
        <v>89</v>
      </c>
      <c r="I1868" t="s">
        <v>90</v>
      </c>
      <c r="J1868" t="s">
        <v>91</v>
      </c>
      <c r="K1868" t="s">
        <v>92</v>
      </c>
      <c r="L1868" t="s">
        <v>2917</v>
      </c>
      <c r="M1868" t="s">
        <v>94</v>
      </c>
      <c r="N1868" t="s">
        <v>2918</v>
      </c>
      <c r="O1868" t="s">
        <v>96</v>
      </c>
      <c r="P1868">
        <v>1E-3</v>
      </c>
      <c r="R1868" t="s">
        <v>4428</v>
      </c>
      <c r="S1868" t="s">
        <v>2864</v>
      </c>
      <c r="V1868" t="s">
        <v>2855</v>
      </c>
      <c r="W1868" t="s">
        <v>2898</v>
      </c>
      <c r="AD1868" t="s">
        <v>4429</v>
      </c>
    </row>
    <row r="1869" spans="1:30" x14ac:dyDescent="0.25">
      <c r="A1869" t="s">
        <v>33</v>
      </c>
      <c r="D1869" t="s">
        <v>2847</v>
      </c>
      <c r="E1869" t="s">
        <v>2859</v>
      </c>
      <c r="F1869" t="s">
        <v>87</v>
      </c>
      <c r="G1869" t="s">
        <v>2926</v>
      </c>
      <c r="H1869" t="s">
        <v>89</v>
      </c>
      <c r="I1869" t="s">
        <v>180</v>
      </c>
      <c r="J1869" t="s">
        <v>91</v>
      </c>
      <c r="K1869" t="s">
        <v>92</v>
      </c>
      <c r="L1869" t="s">
        <v>2927</v>
      </c>
      <c r="M1869" t="s">
        <v>94</v>
      </c>
      <c r="N1869" t="s">
        <v>2928</v>
      </c>
      <c r="O1869" t="s">
        <v>184</v>
      </c>
      <c r="P1869">
        <v>1E-3</v>
      </c>
      <c r="R1869" t="s">
        <v>4430</v>
      </c>
      <c r="S1869" t="s">
        <v>2864</v>
      </c>
      <c r="V1869" t="s">
        <v>2855</v>
      </c>
      <c r="W1869" t="s">
        <v>2865</v>
      </c>
      <c r="AD1869" t="s">
        <v>4431</v>
      </c>
    </row>
    <row r="1870" spans="1:30" x14ac:dyDescent="0.25">
      <c r="A1870" t="s">
        <v>33</v>
      </c>
      <c r="D1870" t="s">
        <v>2847</v>
      </c>
      <c r="E1870" t="s">
        <v>2859</v>
      </c>
      <c r="F1870" t="s">
        <v>87</v>
      </c>
      <c r="G1870" t="s">
        <v>2926</v>
      </c>
      <c r="H1870" t="s">
        <v>143</v>
      </c>
      <c r="I1870" t="s">
        <v>180</v>
      </c>
      <c r="J1870" t="s">
        <v>145</v>
      </c>
      <c r="K1870" t="s">
        <v>146</v>
      </c>
      <c r="L1870" t="s">
        <v>2927</v>
      </c>
      <c r="M1870" t="s">
        <v>252</v>
      </c>
      <c r="N1870" t="s">
        <v>2928</v>
      </c>
      <c r="O1870" t="s">
        <v>181</v>
      </c>
      <c r="R1870" t="s">
        <v>4432</v>
      </c>
      <c r="S1870" t="s">
        <v>2864</v>
      </c>
      <c r="V1870" t="s">
        <v>2855</v>
      </c>
      <c r="W1870" t="s">
        <v>2865</v>
      </c>
      <c r="AD1870" t="s">
        <v>4433</v>
      </c>
    </row>
    <row r="1871" spans="1:30" x14ac:dyDescent="0.25">
      <c r="A1871" t="s">
        <v>33</v>
      </c>
      <c r="D1871" t="s">
        <v>2847</v>
      </c>
      <c r="E1871" t="s">
        <v>2893</v>
      </c>
      <c r="F1871" t="s">
        <v>248</v>
      </c>
      <c r="G1871" t="s">
        <v>4434</v>
      </c>
      <c r="H1871" t="s">
        <v>143</v>
      </c>
      <c r="I1871" t="s">
        <v>276</v>
      </c>
      <c r="J1871" t="s">
        <v>145</v>
      </c>
      <c r="K1871" t="s">
        <v>146</v>
      </c>
      <c r="L1871" t="s">
        <v>4435</v>
      </c>
      <c r="N1871" t="s">
        <v>4436</v>
      </c>
      <c r="O1871" t="s">
        <v>277</v>
      </c>
      <c r="R1871" t="s">
        <v>4437</v>
      </c>
      <c r="S1871" t="s">
        <v>2864</v>
      </c>
      <c r="V1871" t="s">
        <v>2855</v>
      </c>
      <c r="W1871" t="s">
        <v>2898</v>
      </c>
      <c r="X1871" t="s">
        <v>270</v>
      </c>
      <c r="AD1871" t="s">
        <v>4438</v>
      </c>
    </row>
    <row r="1872" spans="1:30" x14ac:dyDescent="0.25">
      <c r="A1872" t="s">
        <v>33</v>
      </c>
      <c r="D1872" t="s">
        <v>2847</v>
      </c>
      <c r="E1872" t="s">
        <v>2893</v>
      </c>
      <c r="F1872" t="s">
        <v>248</v>
      </c>
      <c r="G1872" t="s">
        <v>4434</v>
      </c>
      <c r="H1872" t="s">
        <v>143</v>
      </c>
      <c r="I1872" t="s">
        <v>272</v>
      </c>
      <c r="J1872" t="s">
        <v>145</v>
      </c>
      <c r="K1872" t="s">
        <v>146</v>
      </c>
      <c r="L1872" t="s">
        <v>4435</v>
      </c>
      <c r="N1872" t="s">
        <v>4436</v>
      </c>
      <c r="O1872" t="s">
        <v>273</v>
      </c>
      <c r="R1872" t="s">
        <v>4439</v>
      </c>
      <c r="S1872" t="s">
        <v>2864</v>
      </c>
      <c r="V1872" t="s">
        <v>2855</v>
      </c>
      <c r="W1872" t="s">
        <v>2898</v>
      </c>
      <c r="X1872" t="s">
        <v>270</v>
      </c>
      <c r="AD1872" t="s">
        <v>4440</v>
      </c>
    </row>
    <row r="1873" spans="1:30" x14ac:dyDescent="0.25">
      <c r="A1873" t="s">
        <v>33</v>
      </c>
      <c r="D1873" t="s">
        <v>2847</v>
      </c>
      <c r="E1873" t="s">
        <v>2893</v>
      </c>
      <c r="F1873" t="s">
        <v>248</v>
      </c>
      <c r="G1873" t="s">
        <v>4434</v>
      </c>
      <c r="H1873" t="s">
        <v>143</v>
      </c>
      <c r="I1873" t="s">
        <v>267</v>
      </c>
      <c r="J1873" t="s">
        <v>145</v>
      </c>
      <c r="K1873" t="s">
        <v>146</v>
      </c>
      <c r="L1873" t="s">
        <v>4435</v>
      </c>
      <c r="N1873" t="s">
        <v>4436</v>
      </c>
      <c r="O1873" t="s">
        <v>268</v>
      </c>
      <c r="R1873" t="s">
        <v>4441</v>
      </c>
      <c r="S1873" t="s">
        <v>2864</v>
      </c>
      <c r="V1873" t="s">
        <v>2855</v>
      </c>
      <c r="W1873" t="s">
        <v>2898</v>
      </c>
      <c r="X1873" t="s">
        <v>270</v>
      </c>
      <c r="AD1873" t="s">
        <v>4442</v>
      </c>
    </row>
    <row r="1874" spans="1:30" x14ac:dyDescent="0.25">
      <c r="A1874" t="s">
        <v>33</v>
      </c>
      <c r="D1874" t="s">
        <v>2847</v>
      </c>
      <c r="E1874" t="s">
        <v>2893</v>
      </c>
      <c r="F1874" t="s">
        <v>248</v>
      </c>
      <c r="G1874" t="s">
        <v>4434</v>
      </c>
      <c r="H1874" t="s">
        <v>143</v>
      </c>
      <c r="I1874" t="s">
        <v>295</v>
      </c>
      <c r="J1874" t="s">
        <v>145</v>
      </c>
      <c r="K1874" t="s">
        <v>146</v>
      </c>
      <c r="L1874" t="s">
        <v>4435</v>
      </c>
      <c r="M1874" t="s">
        <v>82</v>
      </c>
      <c r="N1874" t="s">
        <v>4436</v>
      </c>
      <c r="O1874" t="s">
        <v>296</v>
      </c>
      <c r="R1874" t="s">
        <v>4443</v>
      </c>
      <c r="S1874" t="s">
        <v>2864</v>
      </c>
      <c r="V1874" t="s">
        <v>2855</v>
      </c>
      <c r="W1874" t="s">
        <v>2898</v>
      </c>
      <c r="AD1874" t="s">
        <v>4444</v>
      </c>
    </row>
    <row r="1875" spans="1:30" x14ac:dyDescent="0.25">
      <c r="A1875" t="s">
        <v>33</v>
      </c>
      <c r="D1875" t="s">
        <v>2847</v>
      </c>
      <c r="E1875" t="s">
        <v>2893</v>
      </c>
      <c r="F1875" t="s">
        <v>248</v>
      </c>
      <c r="G1875" t="s">
        <v>4434</v>
      </c>
      <c r="H1875" t="s">
        <v>143</v>
      </c>
      <c r="I1875" t="s">
        <v>299</v>
      </c>
      <c r="J1875" t="s">
        <v>145</v>
      </c>
      <c r="K1875" t="s">
        <v>146</v>
      </c>
      <c r="L1875" t="s">
        <v>4435</v>
      </c>
      <c r="M1875" t="s">
        <v>82</v>
      </c>
      <c r="N1875" t="s">
        <v>4436</v>
      </c>
      <c r="O1875" t="s">
        <v>300</v>
      </c>
      <c r="R1875" t="s">
        <v>4445</v>
      </c>
      <c r="S1875" t="s">
        <v>2864</v>
      </c>
      <c r="V1875" t="s">
        <v>2855</v>
      </c>
      <c r="W1875" t="s">
        <v>2898</v>
      </c>
      <c r="AD1875" t="s">
        <v>4446</v>
      </c>
    </row>
    <row r="1876" spans="1:30" x14ac:dyDescent="0.25">
      <c r="A1876" t="s">
        <v>33</v>
      </c>
      <c r="D1876" t="s">
        <v>2847</v>
      </c>
      <c r="E1876" t="s">
        <v>2893</v>
      </c>
      <c r="F1876" t="s">
        <v>248</v>
      </c>
      <c r="G1876" t="s">
        <v>4434</v>
      </c>
      <c r="H1876" t="s">
        <v>38</v>
      </c>
      <c r="I1876" t="s">
        <v>257</v>
      </c>
      <c r="J1876" t="s">
        <v>40</v>
      </c>
      <c r="K1876" t="s">
        <v>41</v>
      </c>
      <c r="L1876" t="s">
        <v>4435</v>
      </c>
      <c r="M1876" t="s">
        <v>82</v>
      </c>
      <c r="N1876" t="s">
        <v>4436</v>
      </c>
      <c r="O1876" t="s">
        <v>258</v>
      </c>
      <c r="R1876" t="s">
        <v>4447</v>
      </c>
      <c r="S1876" t="s">
        <v>2864</v>
      </c>
      <c r="V1876" t="s">
        <v>2855</v>
      </c>
      <c r="W1876" t="s">
        <v>2898</v>
      </c>
      <c r="AD1876" t="s">
        <v>4448</v>
      </c>
    </row>
    <row r="1877" spans="1:30" x14ac:dyDescent="0.25">
      <c r="A1877" t="s">
        <v>33</v>
      </c>
      <c r="D1877" t="s">
        <v>2847</v>
      </c>
      <c r="E1877" t="s">
        <v>2893</v>
      </c>
      <c r="F1877" t="s">
        <v>248</v>
      </c>
      <c r="G1877" t="s">
        <v>4434</v>
      </c>
      <c r="H1877" t="s">
        <v>38</v>
      </c>
      <c r="I1877" t="s">
        <v>250</v>
      </c>
      <c r="J1877" t="s">
        <v>40</v>
      </c>
      <c r="K1877" t="s">
        <v>41</v>
      </c>
      <c r="L1877" t="s">
        <v>4435</v>
      </c>
      <c r="M1877" t="s">
        <v>252</v>
      </c>
      <c r="N1877" t="s">
        <v>4436</v>
      </c>
      <c r="O1877" t="s">
        <v>254</v>
      </c>
      <c r="R1877" t="s">
        <v>4449</v>
      </c>
      <c r="S1877" t="s">
        <v>2864</v>
      </c>
      <c r="V1877" t="s">
        <v>2855</v>
      </c>
      <c r="W1877" t="s">
        <v>2898</v>
      </c>
      <c r="AD1877" t="s">
        <v>4450</v>
      </c>
    </row>
    <row r="1878" spans="1:30" x14ac:dyDescent="0.25">
      <c r="A1878" t="s">
        <v>33</v>
      </c>
      <c r="D1878" t="s">
        <v>2847</v>
      </c>
      <c r="E1878" t="s">
        <v>2893</v>
      </c>
      <c r="F1878" t="s">
        <v>248</v>
      </c>
      <c r="G1878" t="s">
        <v>4434</v>
      </c>
      <c r="H1878" t="s">
        <v>143</v>
      </c>
      <c r="I1878" t="s">
        <v>257</v>
      </c>
      <c r="J1878" t="s">
        <v>145</v>
      </c>
      <c r="K1878" t="s">
        <v>146</v>
      </c>
      <c r="L1878" t="s">
        <v>4435</v>
      </c>
      <c r="M1878" t="s">
        <v>82</v>
      </c>
      <c r="N1878" t="s">
        <v>4436</v>
      </c>
      <c r="O1878" t="s">
        <v>292</v>
      </c>
      <c r="R1878" t="s">
        <v>4451</v>
      </c>
      <c r="S1878" t="s">
        <v>2864</v>
      </c>
      <c r="V1878" t="s">
        <v>2855</v>
      </c>
      <c r="W1878" t="s">
        <v>2898</v>
      </c>
      <c r="AD1878" t="s">
        <v>4452</v>
      </c>
    </row>
    <row r="1879" spans="1:30" x14ac:dyDescent="0.25">
      <c r="A1879" t="s">
        <v>33</v>
      </c>
      <c r="D1879" t="s">
        <v>2847</v>
      </c>
      <c r="E1879" t="s">
        <v>2893</v>
      </c>
      <c r="F1879" t="s">
        <v>248</v>
      </c>
      <c r="G1879" t="s">
        <v>4434</v>
      </c>
      <c r="H1879" t="s">
        <v>143</v>
      </c>
      <c r="I1879" t="s">
        <v>261</v>
      </c>
      <c r="J1879" t="s">
        <v>145</v>
      </c>
      <c r="K1879" t="s">
        <v>262</v>
      </c>
      <c r="L1879" t="s">
        <v>4435</v>
      </c>
      <c r="M1879" t="s">
        <v>252</v>
      </c>
      <c r="N1879" t="s">
        <v>4436</v>
      </c>
      <c r="O1879" t="s">
        <v>263</v>
      </c>
      <c r="R1879" t="s">
        <v>4453</v>
      </c>
      <c r="S1879" t="s">
        <v>2864</v>
      </c>
      <c r="V1879" t="s">
        <v>2855</v>
      </c>
      <c r="W1879" t="s">
        <v>2898</v>
      </c>
      <c r="AD1879" t="s">
        <v>4454</v>
      </c>
    </row>
    <row r="1880" spans="1:30" x14ac:dyDescent="0.25">
      <c r="A1880" t="s">
        <v>33</v>
      </c>
      <c r="D1880" t="s">
        <v>2847</v>
      </c>
      <c r="E1880" t="s">
        <v>2893</v>
      </c>
      <c r="F1880" t="s">
        <v>248</v>
      </c>
      <c r="G1880" t="s">
        <v>4434</v>
      </c>
      <c r="H1880" t="s">
        <v>280</v>
      </c>
      <c r="I1880" t="s">
        <v>281</v>
      </c>
      <c r="J1880" t="s">
        <v>282</v>
      </c>
      <c r="K1880" t="s">
        <v>283</v>
      </c>
      <c r="L1880" t="s">
        <v>4435</v>
      </c>
      <c r="N1880" t="s">
        <v>4436</v>
      </c>
      <c r="O1880" t="s">
        <v>284</v>
      </c>
      <c r="Q1880" t="s">
        <v>285</v>
      </c>
      <c r="R1880" t="s">
        <v>4455</v>
      </c>
      <c r="S1880" t="s">
        <v>2864</v>
      </c>
      <c r="V1880" t="s">
        <v>2855</v>
      </c>
      <c r="W1880" t="s">
        <v>2898</v>
      </c>
      <c r="AD1880" t="s">
        <v>4456</v>
      </c>
    </row>
    <row r="1881" spans="1:30" x14ac:dyDescent="0.25">
      <c r="A1881" t="s">
        <v>33</v>
      </c>
      <c r="D1881" t="s">
        <v>2847</v>
      </c>
      <c r="E1881" t="s">
        <v>2848</v>
      </c>
      <c r="F1881" t="s">
        <v>87</v>
      </c>
      <c r="G1881" t="s">
        <v>4360</v>
      </c>
      <c r="H1881" t="s">
        <v>89</v>
      </c>
      <c r="I1881" t="s">
        <v>144</v>
      </c>
      <c r="J1881" t="s">
        <v>91</v>
      </c>
      <c r="K1881" t="s">
        <v>92</v>
      </c>
      <c r="L1881" t="s">
        <v>4361</v>
      </c>
      <c r="M1881" t="s">
        <v>94</v>
      </c>
      <c r="N1881" t="s">
        <v>4362</v>
      </c>
      <c r="O1881" t="s">
        <v>150</v>
      </c>
      <c r="P1881">
        <v>1E-3</v>
      </c>
      <c r="R1881" t="s">
        <v>4457</v>
      </c>
      <c r="S1881" t="s">
        <v>2854</v>
      </c>
      <c r="V1881" t="s">
        <v>2855</v>
      </c>
      <c r="W1881" t="s">
        <v>2856</v>
      </c>
      <c r="AD1881" t="s">
        <v>4458</v>
      </c>
    </row>
    <row r="1882" spans="1:30" x14ac:dyDescent="0.25">
      <c r="A1882" t="s">
        <v>33</v>
      </c>
      <c r="D1882" t="s">
        <v>2847</v>
      </c>
      <c r="E1882" t="s">
        <v>2848</v>
      </c>
      <c r="F1882" t="s">
        <v>87</v>
      </c>
      <c r="G1882" t="s">
        <v>4360</v>
      </c>
      <c r="H1882" t="s">
        <v>143</v>
      </c>
      <c r="I1882" t="s">
        <v>144</v>
      </c>
      <c r="J1882" t="s">
        <v>145</v>
      </c>
      <c r="K1882" t="s">
        <v>146</v>
      </c>
      <c r="L1882" t="s">
        <v>4361</v>
      </c>
      <c r="M1882" t="s">
        <v>4345</v>
      </c>
      <c r="N1882" t="s">
        <v>4362</v>
      </c>
      <c r="O1882" t="s">
        <v>147</v>
      </c>
      <c r="R1882" t="s">
        <v>4459</v>
      </c>
      <c r="S1882" t="s">
        <v>2854</v>
      </c>
      <c r="V1882" t="s">
        <v>2855</v>
      </c>
      <c r="W1882" t="s">
        <v>2856</v>
      </c>
      <c r="AD1882" t="s">
        <v>4460</v>
      </c>
    </row>
    <row r="1883" spans="1:30" x14ac:dyDescent="0.25">
      <c r="A1883" t="s">
        <v>33</v>
      </c>
      <c r="D1883" t="s">
        <v>2847</v>
      </c>
      <c r="E1883" t="s">
        <v>2848</v>
      </c>
      <c r="F1883" t="s">
        <v>87</v>
      </c>
      <c r="G1883" t="s">
        <v>4360</v>
      </c>
      <c r="H1883" t="s">
        <v>143</v>
      </c>
      <c r="I1883" t="s">
        <v>144</v>
      </c>
      <c r="J1883" t="s">
        <v>145</v>
      </c>
      <c r="K1883" t="s">
        <v>262</v>
      </c>
      <c r="L1883" t="s">
        <v>4361</v>
      </c>
      <c r="M1883" t="s">
        <v>4345</v>
      </c>
      <c r="N1883" t="s">
        <v>4362</v>
      </c>
      <c r="O1883" t="s">
        <v>147</v>
      </c>
      <c r="R1883" t="s">
        <v>4461</v>
      </c>
      <c r="S1883" t="s">
        <v>2854</v>
      </c>
      <c r="V1883" t="s">
        <v>2855</v>
      </c>
      <c r="W1883" t="s">
        <v>2856</v>
      </c>
      <c r="AD1883" t="s">
        <v>4460</v>
      </c>
    </row>
    <row r="1884" spans="1:30" x14ac:dyDescent="0.25">
      <c r="A1884" t="s">
        <v>33</v>
      </c>
      <c r="D1884" t="s">
        <v>2847</v>
      </c>
      <c r="E1884" t="s">
        <v>2848</v>
      </c>
      <c r="F1884" t="s">
        <v>87</v>
      </c>
      <c r="G1884" t="s">
        <v>4360</v>
      </c>
      <c r="H1884" t="s">
        <v>153</v>
      </c>
      <c r="I1884" t="s">
        <v>90</v>
      </c>
      <c r="J1884" t="s">
        <v>154</v>
      </c>
      <c r="K1884" t="s">
        <v>155</v>
      </c>
      <c r="L1884" t="s">
        <v>4361</v>
      </c>
      <c r="N1884" t="s">
        <v>4362</v>
      </c>
      <c r="O1884" t="s">
        <v>386</v>
      </c>
      <c r="R1884" t="s">
        <v>4462</v>
      </c>
      <c r="S1884" t="s">
        <v>2854</v>
      </c>
      <c r="V1884" t="s">
        <v>2855</v>
      </c>
      <c r="W1884" t="s">
        <v>2856</v>
      </c>
      <c r="AD1884" t="s">
        <v>4463</v>
      </c>
    </row>
    <row r="1885" spans="1:30" x14ac:dyDescent="0.25">
      <c r="A1885" t="s">
        <v>33</v>
      </c>
      <c r="D1885" t="s">
        <v>2847</v>
      </c>
      <c r="E1885" t="s">
        <v>2848</v>
      </c>
      <c r="F1885" t="s">
        <v>87</v>
      </c>
      <c r="G1885" t="s">
        <v>4360</v>
      </c>
      <c r="H1885" t="s">
        <v>89</v>
      </c>
      <c r="I1885" t="s">
        <v>90</v>
      </c>
      <c r="J1885" t="s">
        <v>91</v>
      </c>
      <c r="K1885" t="s">
        <v>92</v>
      </c>
      <c r="L1885" t="s">
        <v>4361</v>
      </c>
      <c r="M1885" t="s">
        <v>94</v>
      </c>
      <c r="N1885" t="s">
        <v>4362</v>
      </c>
      <c r="O1885" t="s">
        <v>383</v>
      </c>
      <c r="P1885">
        <v>1E-3</v>
      </c>
      <c r="R1885" t="s">
        <v>4464</v>
      </c>
      <c r="S1885" t="s">
        <v>2854</v>
      </c>
      <c r="V1885" t="s">
        <v>2855</v>
      </c>
      <c r="W1885" t="s">
        <v>2856</v>
      </c>
      <c r="AD1885" t="s">
        <v>4465</v>
      </c>
    </row>
    <row r="1886" spans="1:30" x14ac:dyDescent="0.25">
      <c r="A1886" t="s">
        <v>33</v>
      </c>
      <c r="D1886" t="s">
        <v>2847</v>
      </c>
      <c r="E1886" t="s">
        <v>2848</v>
      </c>
      <c r="F1886" t="s">
        <v>87</v>
      </c>
      <c r="G1886" t="s">
        <v>4360</v>
      </c>
      <c r="H1886" t="s">
        <v>143</v>
      </c>
      <c r="I1886" t="s">
        <v>90</v>
      </c>
      <c r="J1886" t="s">
        <v>145</v>
      </c>
      <c r="K1886" t="s">
        <v>262</v>
      </c>
      <c r="L1886" t="s">
        <v>4361</v>
      </c>
      <c r="M1886" t="s">
        <v>4345</v>
      </c>
      <c r="N1886" t="s">
        <v>4362</v>
      </c>
      <c r="O1886" t="s">
        <v>380</v>
      </c>
      <c r="R1886" t="s">
        <v>4466</v>
      </c>
      <c r="S1886" t="s">
        <v>2854</v>
      </c>
      <c r="V1886" t="s">
        <v>2855</v>
      </c>
      <c r="W1886" t="s">
        <v>2856</v>
      </c>
      <c r="AD1886" t="s">
        <v>4467</v>
      </c>
    </row>
    <row r="1887" spans="1:30" x14ac:dyDescent="0.25">
      <c r="A1887" t="s">
        <v>33</v>
      </c>
      <c r="D1887" t="s">
        <v>2847</v>
      </c>
      <c r="E1887" t="s">
        <v>2848</v>
      </c>
      <c r="F1887" t="s">
        <v>87</v>
      </c>
      <c r="G1887" t="s">
        <v>4360</v>
      </c>
      <c r="H1887" t="s">
        <v>143</v>
      </c>
      <c r="I1887" t="s">
        <v>90</v>
      </c>
      <c r="J1887" t="s">
        <v>145</v>
      </c>
      <c r="K1887" t="s">
        <v>146</v>
      </c>
      <c r="L1887" t="s">
        <v>4361</v>
      </c>
      <c r="M1887" t="s">
        <v>4345</v>
      </c>
      <c r="N1887" t="s">
        <v>4362</v>
      </c>
      <c r="O1887" t="s">
        <v>380</v>
      </c>
      <c r="R1887" t="s">
        <v>4468</v>
      </c>
      <c r="S1887" t="s">
        <v>2854</v>
      </c>
      <c r="V1887" t="s">
        <v>2855</v>
      </c>
      <c r="W1887" t="s">
        <v>2856</v>
      </c>
      <c r="AD1887" t="s">
        <v>4467</v>
      </c>
    </row>
    <row r="1888" spans="1:30" x14ac:dyDescent="0.25">
      <c r="A1888" t="s">
        <v>33</v>
      </c>
      <c r="D1888" t="s">
        <v>2847</v>
      </c>
      <c r="E1888" t="s">
        <v>2848</v>
      </c>
      <c r="F1888" t="s">
        <v>87</v>
      </c>
      <c r="G1888" t="s">
        <v>4360</v>
      </c>
      <c r="H1888" t="s">
        <v>38</v>
      </c>
      <c r="I1888" t="s">
        <v>106</v>
      </c>
      <c r="J1888" t="s">
        <v>40</v>
      </c>
      <c r="K1888" t="s">
        <v>41</v>
      </c>
      <c r="L1888" t="s">
        <v>4361</v>
      </c>
      <c r="M1888" t="s">
        <v>4345</v>
      </c>
      <c r="N1888" t="s">
        <v>4362</v>
      </c>
      <c r="O1888" t="s">
        <v>109</v>
      </c>
      <c r="R1888" t="s">
        <v>4469</v>
      </c>
      <c r="S1888" t="s">
        <v>2854</v>
      </c>
      <c r="V1888" t="s">
        <v>2855</v>
      </c>
      <c r="W1888" t="s">
        <v>2856</v>
      </c>
      <c r="AD1888" t="s">
        <v>4470</v>
      </c>
    </row>
    <row r="1889" spans="1:30" x14ac:dyDescent="0.25">
      <c r="A1889" t="s">
        <v>33</v>
      </c>
      <c r="D1889" t="s">
        <v>2847</v>
      </c>
      <c r="E1889" t="s">
        <v>2848</v>
      </c>
      <c r="F1889" t="s">
        <v>87</v>
      </c>
      <c r="G1889" t="s">
        <v>4360</v>
      </c>
      <c r="H1889" t="s">
        <v>38</v>
      </c>
      <c r="I1889" t="s">
        <v>25</v>
      </c>
      <c r="J1889" t="s">
        <v>69</v>
      </c>
      <c r="K1889" t="s">
        <v>41</v>
      </c>
      <c r="L1889" t="s">
        <v>4361</v>
      </c>
      <c r="M1889" t="s">
        <v>4345</v>
      </c>
      <c r="N1889" t="s">
        <v>4362</v>
      </c>
      <c r="O1889" t="s">
        <v>512</v>
      </c>
      <c r="R1889" t="s">
        <v>4471</v>
      </c>
      <c r="S1889" t="s">
        <v>2854</v>
      </c>
      <c r="V1889" t="s">
        <v>2855</v>
      </c>
      <c r="W1889" t="s">
        <v>2856</v>
      </c>
      <c r="AD1889" t="s">
        <v>4472</v>
      </c>
    </row>
    <row r="1890" spans="1:30" x14ac:dyDescent="0.25">
      <c r="A1890" t="s">
        <v>33</v>
      </c>
      <c r="D1890" t="s">
        <v>2847</v>
      </c>
      <c r="E1890" t="s">
        <v>2848</v>
      </c>
      <c r="F1890" t="s">
        <v>87</v>
      </c>
      <c r="G1890" t="s">
        <v>4360</v>
      </c>
      <c r="H1890" t="s">
        <v>38</v>
      </c>
      <c r="I1890" t="s">
        <v>24</v>
      </c>
      <c r="J1890" t="s">
        <v>69</v>
      </c>
      <c r="K1890" t="s">
        <v>41</v>
      </c>
      <c r="L1890" t="s">
        <v>4361</v>
      </c>
      <c r="M1890" t="s">
        <v>4345</v>
      </c>
      <c r="N1890" t="s">
        <v>4362</v>
      </c>
      <c r="O1890" t="s">
        <v>509</v>
      </c>
      <c r="R1890" t="s">
        <v>4473</v>
      </c>
      <c r="S1890" t="s">
        <v>2854</v>
      </c>
      <c r="V1890" t="s">
        <v>2855</v>
      </c>
      <c r="W1890" t="s">
        <v>2856</v>
      </c>
      <c r="AD1890" t="s">
        <v>4474</v>
      </c>
    </row>
    <row r="1891" spans="1:30" x14ac:dyDescent="0.25">
      <c r="A1891" t="s">
        <v>33</v>
      </c>
      <c r="D1891" t="s">
        <v>2847</v>
      </c>
      <c r="E1891" t="s">
        <v>2893</v>
      </c>
      <c r="F1891" t="s">
        <v>78</v>
      </c>
      <c r="G1891" t="s">
        <v>4388</v>
      </c>
      <c r="H1891" t="s">
        <v>143</v>
      </c>
      <c r="I1891" t="s">
        <v>4475</v>
      </c>
      <c r="J1891" t="s">
        <v>145</v>
      </c>
      <c r="K1891" t="s">
        <v>146</v>
      </c>
      <c r="L1891" t="s">
        <v>4389</v>
      </c>
      <c r="M1891" t="s">
        <v>3483</v>
      </c>
      <c r="N1891" t="s">
        <v>4390</v>
      </c>
      <c r="O1891" t="s">
        <v>4476</v>
      </c>
      <c r="R1891" t="s">
        <v>4477</v>
      </c>
      <c r="S1891" t="s">
        <v>2864</v>
      </c>
      <c r="V1891" t="s">
        <v>2855</v>
      </c>
      <c r="W1891" t="s">
        <v>2898</v>
      </c>
      <c r="X1891" t="s">
        <v>963</v>
      </c>
      <c r="AD1891" t="s">
        <v>4478</v>
      </c>
    </row>
    <row r="1892" spans="1:30" x14ac:dyDescent="0.25">
      <c r="A1892" t="s">
        <v>33</v>
      </c>
      <c r="D1892" t="s">
        <v>2847</v>
      </c>
      <c r="E1892" t="s">
        <v>2893</v>
      </c>
      <c r="F1892" t="s">
        <v>78</v>
      </c>
      <c r="G1892" t="s">
        <v>4388</v>
      </c>
      <c r="H1892" t="s">
        <v>143</v>
      </c>
      <c r="I1892" t="s">
        <v>299</v>
      </c>
      <c r="J1892" t="s">
        <v>145</v>
      </c>
      <c r="K1892" t="s">
        <v>146</v>
      </c>
      <c r="L1892" t="s">
        <v>4389</v>
      </c>
      <c r="M1892" t="s">
        <v>82</v>
      </c>
      <c r="N1892" t="s">
        <v>4390</v>
      </c>
      <c r="O1892" t="s">
        <v>300</v>
      </c>
      <c r="R1892" t="s">
        <v>4479</v>
      </c>
      <c r="S1892" t="s">
        <v>2864</v>
      </c>
      <c r="V1892" t="s">
        <v>2855</v>
      </c>
      <c r="W1892" t="s">
        <v>2898</v>
      </c>
      <c r="AD1892" t="s">
        <v>4400</v>
      </c>
    </row>
    <row r="1893" spans="1:30" x14ac:dyDescent="0.25">
      <c r="A1893" t="s">
        <v>33</v>
      </c>
      <c r="D1893" t="s">
        <v>2847</v>
      </c>
      <c r="E1893" t="s">
        <v>2893</v>
      </c>
      <c r="F1893" t="s">
        <v>78</v>
      </c>
      <c r="G1893" t="s">
        <v>4480</v>
      </c>
      <c r="H1893" t="s">
        <v>143</v>
      </c>
      <c r="I1893" t="s">
        <v>276</v>
      </c>
      <c r="J1893" t="s">
        <v>145</v>
      </c>
      <c r="K1893" t="s">
        <v>146</v>
      </c>
      <c r="L1893" t="s">
        <v>4481</v>
      </c>
      <c r="N1893" t="s">
        <v>4482</v>
      </c>
      <c r="O1893" t="s">
        <v>277</v>
      </c>
      <c r="R1893" t="s">
        <v>4483</v>
      </c>
      <c r="S1893" t="s">
        <v>2864</v>
      </c>
      <c r="V1893" t="s">
        <v>2855</v>
      </c>
      <c r="W1893" t="s">
        <v>2898</v>
      </c>
      <c r="X1893" t="s">
        <v>270</v>
      </c>
      <c r="AD1893" t="s">
        <v>4484</v>
      </c>
    </row>
    <row r="1894" spans="1:30" x14ac:dyDescent="0.25">
      <c r="A1894" t="s">
        <v>33</v>
      </c>
      <c r="D1894" t="s">
        <v>2847</v>
      </c>
      <c r="E1894" t="s">
        <v>2893</v>
      </c>
      <c r="F1894" t="s">
        <v>78</v>
      </c>
      <c r="G1894" t="s">
        <v>4480</v>
      </c>
      <c r="H1894" t="s">
        <v>143</v>
      </c>
      <c r="I1894" t="s">
        <v>272</v>
      </c>
      <c r="J1894" t="s">
        <v>145</v>
      </c>
      <c r="K1894" t="s">
        <v>146</v>
      </c>
      <c r="L1894" t="s">
        <v>4481</v>
      </c>
      <c r="N1894" t="s">
        <v>4482</v>
      </c>
      <c r="O1894" t="s">
        <v>273</v>
      </c>
      <c r="R1894" t="s">
        <v>4485</v>
      </c>
      <c r="S1894" t="s">
        <v>2864</v>
      </c>
      <c r="V1894" t="s">
        <v>2855</v>
      </c>
      <c r="W1894" t="s">
        <v>2898</v>
      </c>
      <c r="X1894" t="s">
        <v>270</v>
      </c>
      <c r="AD1894" t="s">
        <v>4486</v>
      </c>
    </row>
    <row r="1895" spans="1:30" x14ac:dyDescent="0.25">
      <c r="A1895" t="s">
        <v>33</v>
      </c>
      <c r="D1895" t="s">
        <v>2847</v>
      </c>
      <c r="E1895" t="s">
        <v>2893</v>
      </c>
      <c r="F1895" t="s">
        <v>78</v>
      </c>
      <c r="G1895" t="s">
        <v>4480</v>
      </c>
      <c r="H1895" t="s">
        <v>143</v>
      </c>
      <c r="I1895" t="s">
        <v>267</v>
      </c>
      <c r="J1895" t="s">
        <v>145</v>
      </c>
      <c r="K1895" t="s">
        <v>146</v>
      </c>
      <c r="L1895" t="s">
        <v>4481</v>
      </c>
      <c r="N1895" t="s">
        <v>4482</v>
      </c>
      <c r="O1895" t="s">
        <v>268</v>
      </c>
      <c r="R1895" t="s">
        <v>4487</v>
      </c>
      <c r="S1895" t="s">
        <v>2864</v>
      </c>
      <c r="V1895" t="s">
        <v>2855</v>
      </c>
      <c r="W1895" t="s">
        <v>2898</v>
      </c>
      <c r="X1895" t="s">
        <v>270</v>
      </c>
      <c r="AD1895" t="s">
        <v>4488</v>
      </c>
    </row>
    <row r="1896" spans="1:30" x14ac:dyDescent="0.25">
      <c r="A1896" t="s">
        <v>33</v>
      </c>
      <c r="D1896" t="s">
        <v>2847</v>
      </c>
      <c r="E1896" t="s">
        <v>2893</v>
      </c>
      <c r="F1896" t="s">
        <v>78</v>
      </c>
      <c r="G1896" t="s">
        <v>4480</v>
      </c>
      <c r="H1896" t="s">
        <v>143</v>
      </c>
      <c r="I1896" t="s">
        <v>295</v>
      </c>
      <c r="J1896" t="s">
        <v>145</v>
      </c>
      <c r="K1896" t="s">
        <v>146</v>
      </c>
      <c r="L1896" t="s">
        <v>4481</v>
      </c>
      <c r="M1896" t="s">
        <v>82</v>
      </c>
      <c r="N1896" t="s">
        <v>4482</v>
      </c>
      <c r="O1896" t="s">
        <v>296</v>
      </c>
      <c r="R1896" t="s">
        <v>4489</v>
      </c>
      <c r="S1896" t="s">
        <v>2864</v>
      </c>
      <c r="V1896" t="s">
        <v>2855</v>
      </c>
      <c r="W1896" t="s">
        <v>2898</v>
      </c>
      <c r="AD1896" t="s">
        <v>4490</v>
      </c>
    </row>
    <row r="1897" spans="1:30" x14ac:dyDescent="0.25">
      <c r="A1897" t="s">
        <v>33</v>
      </c>
      <c r="D1897" t="s">
        <v>2847</v>
      </c>
      <c r="E1897" t="s">
        <v>2893</v>
      </c>
      <c r="F1897" t="s">
        <v>78</v>
      </c>
      <c r="G1897" t="s">
        <v>4480</v>
      </c>
      <c r="H1897" t="s">
        <v>143</v>
      </c>
      <c r="I1897" t="s">
        <v>299</v>
      </c>
      <c r="J1897" t="s">
        <v>145</v>
      </c>
      <c r="K1897" t="s">
        <v>146</v>
      </c>
      <c r="L1897" t="s">
        <v>4481</v>
      </c>
      <c r="M1897" t="s">
        <v>82</v>
      </c>
      <c r="N1897" t="s">
        <v>4482</v>
      </c>
      <c r="O1897" t="s">
        <v>300</v>
      </c>
      <c r="R1897" t="s">
        <v>4491</v>
      </c>
      <c r="S1897" t="s">
        <v>2864</v>
      </c>
      <c r="V1897" t="s">
        <v>2855</v>
      </c>
      <c r="W1897" t="s">
        <v>2898</v>
      </c>
      <c r="AD1897" t="s">
        <v>4492</v>
      </c>
    </row>
    <row r="1898" spans="1:30" x14ac:dyDescent="0.25">
      <c r="A1898" t="s">
        <v>33</v>
      </c>
      <c r="D1898" t="s">
        <v>2847</v>
      </c>
      <c r="E1898" t="s">
        <v>2893</v>
      </c>
      <c r="F1898" t="s">
        <v>78</v>
      </c>
      <c r="G1898" t="s">
        <v>4480</v>
      </c>
      <c r="H1898" t="s">
        <v>38</v>
      </c>
      <c r="I1898" t="s">
        <v>257</v>
      </c>
      <c r="J1898" t="s">
        <v>40</v>
      </c>
      <c r="K1898" t="s">
        <v>41</v>
      </c>
      <c r="L1898" t="s">
        <v>4481</v>
      </c>
      <c r="M1898" t="s">
        <v>82</v>
      </c>
      <c r="N1898" t="s">
        <v>4482</v>
      </c>
      <c r="O1898" t="s">
        <v>258</v>
      </c>
      <c r="R1898" t="s">
        <v>4493</v>
      </c>
      <c r="S1898" t="s">
        <v>2864</v>
      </c>
      <c r="V1898" t="s">
        <v>2855</v>
      </c>
      <c r="W1898" t="s">
        <v>2898</v>
      </c>
      <c r="AD1898" t="s">
        <v>4494</v>
      </c>
    </row>
    <row r="1899" spans="1:30" x14ac:dyDescent="0.25">
      <c r="A1899" t="s">
        <v>33</v>
      </c>
      <c r="D1899" t="s">
        <v>2847</v>
      </c>
      <c r="E1899" t="s">
        <v>2893</v>
      </c>
      <c r="F1899" t="s">
        <v>78</v>
      </c>
      <c r="G1899" t="s">
        <v>4480</v>
      </c>
      <c r="H1899" t="s">
        <v>38</v>
      </c>
      <c r="I1899" t="s">
        <v>250</v>
      </c>
      <c r="J1899" t="s">
        <v>40</v>
      </c>
      <c r="K1899" t="s">
        <v>41</v>
      </c>
      <c r="L1899" t="s">
        <v>4481</v>
      </c>
      <c r="M1899" t="s">
        <v>252</v>
      </c>
      <c r="N1899" t="s">
        <v>4482</v>
      </c>
      <c r="O1899" t="s">
        <v>254</v>
      </c>
      <c r="R1899" t="s">
        <v>4495</v>
      </c>
      <c r="S1899" t="s">
        <v>2864</v>
      </c>
      <c r="V1899" t="s">
        <v>2855</v>
      </c>
      <c r="W1899" t="s">
        <v>2898</v>
      </c>
      <c r="AD1899" t="s">
        <v>4496</v>
      </c>
    </row>
    <row r="1900" spans="1:30" x14ac:dyDescent="0.25">
      <c r="A1900" t="s">
        <v>33</v>
      </c>
      <c r="D1900" t="s">
        <v>2847</v>
      </c>
      <c r="E1900" t="s">
        <v>2893</v>
      </c>
      <c r="F1900" t="s">
        <v>248</v>
      </c>
      <c r="G1900" t="s">
        <v>4497</v>
      </c>
      <c r="H1900" t="s">
        <v>143</v>
      </c>
      <c r="I1900" t="s">
        <v>276</v>
      </c>
      <c r="J1900" t="s">
        <v>145</v>
      </c>
      <c r="K1900" t="s">
        <v>146</v>
      </c>
      <c r="L1900" t="s">
        <v>4498</v>
      </c>
      <c r="N1900" t="s">
        <v>4499</v>
      </c>
      <c r="O1900" t="s">
        <v>277</v>
      </c>
      <c r="R1900" t="s">
        <v>4500</v>
      </c>
      <c r="S1900" t="s">
        <v>2864</v>
      </c>
      <c r="V1900" t="s">
        <v>2855</v>
      </c>
      <c r="W1900" t="s">
        <v>2898</v>
      </c>
      <c r="X1900" t="s">
        <v>270</v>
      </c>
      <c r="AD1900" t="s">
        <v>4501</v>
      </c>
    </row>
    <row r="1901" spans="1:30" x14ac:dyDescent="0.25">
      <c r="A1901" t="s">
        <v>33</v>
      </c>
      <c r="D1901" t="s">
        <v>2847</v>
      </c>
      <c r="E1901" t="s">
        <v>2893</v>
      </c>
      <c r="F1901" t="s">
        <v>248</v>
      </c>
      <c r="G1901" t="s">
        <v>4497</v>
      </c>
      <c r="H1901" t="s">
        <v>143</v>
      </c>
      <c r="I1901" t="s">
        <v>272</v>
      </c>
      <c r="J1901" t="s">
        <v>145</v>
      </c>
      <c r="K1901" t="s">
        <v>146</v>
      </c>
      <c r="L1901" t="s">
        <v>4498</v>
      </c>
      <c r="N1901" t="s">
        <v>4499</v>
      </c>
      <c r="O1901" t="s">
        <v>273</v>
      </c>
      <c r="R1901" t="s">
        <v>4502</v>
      </c>
      <c r="S1901" t="s">
        <v>2864</v>
      </c>
      <c r="V1901" t="s">
        <v>2855</v>
      </c>
      <c r="W1901" t="s">
        <v>2898</v>
      </c>
      <c r="X1901" t="s">
        <v>270</v>
      </c>
      <c r="AD1901" t="s">
        <v>4503</v>
      </c>
    </row>
    <row r="1902" spans="1:30" x14ac:dyDescent="0.25">
      <c r="A1902" t="s">
        <v>33</v>
      </c>
      <c r="D1902" t="s">
        <v>2847</v>
      </c>
      <c r="E1902" t="s">
        <v>2893</v>
      </c>
      <c r="F1902" t="s">
        <v>248</v>
      </c>
      <c r="G1902" t="s">
        <v>4497</v>
      </c>
      <c r="H1902" t="s">
        <v>143</v>
      </c>
      <c r="I1902" t="s">
        <v>267</v>
      </c>
      <c r="J1902" t="s">
        <v>145</v>
      </c>
      <c r="K1902" t="s">
        <v>146</v>
      </c>
      <c r="L1902" t="s">
        <v>4498</v>
      </c>
      <c r="N1902" t="s">
        <v>4499</v>
      </c>
      <c r="O1902" t="s">
        <v>268</v>
      </c>
      <c r="R1902" t="s">
        <v>4504</v>
      </c>
      <c r="S1902" t="s">
        <v>2864</v>
      </c>
      <c r="V1902" t="s">
        <v>2855</v>
      </c>
      <c r="W1902" t="s">
        <v>2898</v>
      </c>
      <c r="X1902" t="s">
        <v>270</v>
      </c>
      <c r="AD1902" t="s">
        <v>4505</v>
      </c>
    </row>
    <row r="1903" spans="1:30" x14ac:dyDescent="0.25">
      <c r="A1903" t="s">
        <v>33</v>
      </c>
      <c r="D1903" t="s">
        <v>2847</v>
      </c>
      <c r="E1903" t="s">
        <v>2893</v>
      </c>
      <c r="F1903" t="s">
        <v>248</v>
      </c>
      <c r="G1903" t="s">
        <v>4497</v>
      </c>
      <c r="H1903" t="s">
        <v>143</v>
      </c>
      <c r="I1903" t="s">
        <v>295</v>
      </c>
      <c r="J1903" t="s">
        <v>145</v>
      </c>
      <c r="K1903" t="s">
        <v>146</v>
      </c>
      <c r="L1903" t="s">
        <v>4498</v>
      </c>
      <c r="M1903" t="s">
        <v>82</v>
      </c>
      <c r="N1903" t="s">
        <v>4499</v>
      </c>
      <c r="O1903" t="s">
        <v>296</v>
      </c>
      <c r="R1903" t="s">
        <v>4506</v>
      </c>
      <c r="S1903" t="s">
        <v>2864</v>
      </c>
      <c r="V1903" t="s">
        <v>2855</v>
      </c>
      <c r="W1903" t="s">
        <v>2898</v>
      </c>
      <c r="AD1903" t="s">
        <v>4507</v>
      </c>
    </row>
    <row r="1904" spans="1:30" x14ac:dyDescent="0.25">
      <c r="A1904" t="s">
        <v>33</v>
      </c>
      <c r="D1904" t="s">
        <v>2847</v>
      </c>
      <c r="E1904" t="s">
        <v>2893</v>
      </c>
      <c r="F1904" t="s">
        <v>248</v>
      </c>
      <c r="G1904" t="s">
        <v>4497</v>
      </c>
      <c r="H1904" t="s">
        <v>143</v>
      </c>
      <c r="I1904" t="s">
        <v>299</v>
      </c>
      <c r="J1904" t="s">
        <v>145</v>
      </c>
      <c r="K1904" t="s">
        <v>146</v>
      </c>
      <c r="L1904" t="s">
        <v>4498</v>
      </c>
      <c r="M1904" t="s">
        <v>82</v>
      </c>
      <c r="N1904" t="s">
        <v>4499</v>
      </c>
      <c r="O1904" t="s">
        <v>300</v>
      </c>
      <c r="R1904" t="s">
        <v>4508</v>
      </c>
      <c r="S1904" t="s">
        <v>2864</v>
      </c>
      <c r="V1904" t="s">
        <v>2855</v>
      </c>
      <c r="W1904" t="s">
        <v>2898</v>
      </c>
      <c r="AD1904" t="s">
        <v>4509</v>
      </c>
    </row>
    <row r="1905" spans="1:30" x14ac:dyDescent="0.25">
      <c r="A1905" t="s">
        <v>33</v>
      </c>
      <c r="D1905" t="s">
        <v>2847</v>
      </c>
      <c r="E1905" t="s">
        <v>2893</v>
      </c>
      <c r="F1905" t="s">
        <v>248</v>
      </c>
      <c r="G1905" t="s">
        <v>4497</v>
      </c>
      <c r="H1905" t="s">
        <v>143</v>
      </c>
      <c r="I1905" t="s">
        <v>4401</v>
      </c>
      <c r="J1905" t="s">
        <v>745</v>
      </c>
      <c r="K1905" t="s">
        <v>262</v>
      </c>
      <c r="L1905" t="s">
        <v>4498</v>
      </c>
      <c r="M1905" t="s">
        <v>3483</v>
      </c>
      <c r="N1905" t="s">
        <v>4499</v>
      </c>
      <c r="O1905" t="s">
        <v>4402</v>
      </c>
      <c r="R1905" t="s">
        <v>4510</v>
      </c>
      <c r="S1905" t="s">
        <v>2864</v>
      </c>
      <c r="V1905" t="s">
        <v>2855</v>
      </c>
      <c r="W1905" t="s">
        <v>2898</v>
      </c>
      <c r="X1905" t="s">
        <v>963</v>
      </c>
      <c r="AD1905" t="s">
        <v>4511</v>
      </c>
    </row>
    <row r="1906" spans="1:30" x14ac:dyDescent="0.25">
      <c r="A1906" t="s">
        <v>33</v>
      </c>
      <c r="D1906" t="s">
        <v>2847</v>
      </c>
      <c r="E1906" t="s">
        <v>2893</v>
      </c>
      <c r="F1906" t="s">
        <v>248</v>
      </c>
      <c r="G1906" t="s">
        <v>4497</v>
      </c>
      <c r="H1906" t="s">
        <v>38</v>
      </c>
      <c r="I1906" t="s">
        <v>257</v>
      </c>
      <c r="J1906" t="s">
        <v>40</v>
      </c>
      <c r="K1906" t="s">
        <v>41</v>
      </c>
      <c r="L1906" t="s">
        <v>4498</v>
      </c>
      <c r="M1906" t="s">
        <v>82</v>
      </c>
      <c r="N1906" t="s">
        <v>4499</v>
      </c>
      <c r="O1906" t="s">
        <v>258</v>
      </c>
      <c r="R1906" t="s">
        <v>4512</v>
      </c>
      <c r="S1906" t="s">
        <v>2864</v>
      </c>
      <c r="V1906" t="s">
        <v>2855</v>
      </c>
      <c r="W1906" t="s">
        <v>2898</v>
      </c>
      <c r="AD1906" t="s">
        <v>4513</v>
      </c>
    </row>
    <row r="1907" spans="1:30" x14ac:dyDescent="0.25">
      <c r="A1907" t="s">
        <v>33</v>
      </c>
      <c r="D1907" t="s">
        <v>2847</v>
      </c>
      <c r="E1907" t="s">
        <v>2893</v>
      </c>
      <c r="F1907" t="s">
        <v>248</v>
      </c>
      <c r="G1907" t="s">
        <v>4497</v>
      </c>
      <c r="H1907" t="s">
        <v>38</v>
      </c>
      <c r="I1907" t="s">
        <v>250</v>
      </c>
      <c r="J1907" t="s">
        <v>40</v>
      </c>
      <c r="K1907" t="s">
        <v>41</v>
      </c>
      <c r="L1907" t="s">
        <v>4498</v>
      </c>
      <c r="M1907" t="s">
        <v>3483</v>
      </c>
      <c r="N1907" t="s">
        <v>4499</v>
      </c>
      <c r="O1907" t="s">
        <v>254</v>
      </c>
      <c r="R1907" t="s">
        <v>4514</v>
      </c>
      <c r="S1907" t="s">
        <v>2864</v>
      </c>
      <c r="V1907" t="s">
        <v>2855</v>
      </c>
      <c r="W1907" t="s">
        <v>2898</v>
      </c>
      <c r="X1907" t="s">
        <v>963</v>
      </c>
      <c r="AD1907" t="s">
        <v>4515</v>
      </c>
    </row>
    <row r="1908" spans="1:30" x14ac:dyDescent="0.25">
      <c r="A1908" t="s">
        <v>33</v>
      </c>
      <c r="D1908" t="s">
        <v>2847</v>
      </c>
      <c r="E1908" t="s">
        <v>2893</v>
      </c>
      <c r="F1908" t="s">
        <v>248</v>
      </c>
      <c r="G1908" t="s">
        <v>4497</v>
      </c>
      <c r="H1908" t="s">
        <v>143</v>
      </c>
      <c r="I1908" t="s">
        <v>257</v>
      </c>
      <c r="J1908" t="s">
        <v>145</v>
      </c>
      <c r="K1908" t="s">
        <v>146</v>
      </c>
      <c r="L1908" t="s">
        <v>4498</v>
      </c>
      <c r="M1908" t="s">
        <v>82</v>
      </c>
      <c r="N1908" t="s">
        <v>4499</v>
      </c>
      <c r="O1908" t="s">
        <v>292</v>
      </c>
      <c r="R1908" t="s">
        <v>4516</v>
      </c>
      <c r="S1908" t="s">
        <v>2864</v>
      </c>
      <c r="V1908" t="s">
        <v>2855</v>
      </c>
      <c r="W1908" t="s">
        <v>2898</v>
      </c>
      <c r="AD1908" t="s">
        <v>4517</v>
      </c>
    </row>
    <row r="1909" spans="1:30" x14ac:dyDescent="0.25">
      <c r="A1909" t="s">
        <v>33</v>
      </c>
      <c r="D1909" t="s">
        <v>2847</v>
      </c>
      <c r="E1909" t="s">
        <v>2893</v>
      </c>
      <c r="F1909" t="s">
        <v>248</v>
      </c>
      <c r="G1909" t="s">
        <v>4497</v>
      </c>
      <c r="H1909" t="s">
        <v>143</v>
      </c>
      <c r="I1909" t="s">
        <v>261</v>
      </c>
      <c r="J1909" t="s">
        <v>745</v>
      </c>
      <c r="K1909" t="s">
        <v>262</v>
      </c>
      <c r="L1909" t="s">
        <v>4498</v>
      </c>
      <c r="M1909" t="s">
        <v>3483</v>
      </c>
      <c r="N1909" t="s">
        <v>4499</v>
      </c>
      <c r="O1909" t="s">
        <v>263</v>
      </c>
      <c r="R1909" t="s">
        <v>4518</v>
      </c>
      <c r="S1909" t="s">
        <v>2864</v>
      </c>
      <c r="V1909" t="s">
        <v>2855</v>
      </c>
      <c r="W1909" t="s">
        <v>2898</v>
      </c>
      <c r="X1909" t="s">
        <v>963</v>
      </c>
      <c r="AD1909" t="s">
        <v>4519</v>
      </c>
    </row>
    <row r="1910" spans="1:30" x14ac:dyDescent="0.25">
      <c r="A1910" t="s">
        <v>33</v>
      </c>
      <c r="D1910" t="s">
        <v>2847</v>
      </c>
      <c r="E1910" t="s">
        <v>2893</v>
      </c>
      <c r="F1910" t="s">
        <v>248</v>
      </c>
      <c r="G1910" t="s">
        <v>4497</v>
      </c>
      <c r="H1910" t="s">
        <v>280</v>
      </c>
      <c r="I1910" t="s">
        <v>281</v>
      </c>
      <c r="J1910" t="s">
        <v>282</v>
      </c>
      <c r="K1910" t="s">
        <v>283</v>
      </c>
      <c r="L1910" t="s">
        <v>4498</v>
      </c>
      <c r="N1910" t="s">
        <v>4499</v>
      </c>
      <c r="O1910" t="s">
        <v>284</v>
      </c>
      <c r="Q1910" t="s">
        <v>285</v>
      </c>
      <c r="R1910" t="s">
        <v>4520</v>
      </c>
      <c r="S1910" t="s">
        <v>2864</v>
      </c>
      <c r="V1910" t="s">
        <v>2855</v>
      </c>
      <c r="W1910" t="s">
        <v>2898</v>
      </c>
      <c r="AD1910" t="s">
        <v>4521</v>
      </c>
    </row>
    <row r="1911" spans="1:30" x14ac:dyDescent="0.25">
      <c r="A1911" t="s">
        <v>33</v>
      </c>
      <c r="D1911" t="s">
        <v>2847</v>
      </c>
      <c r="E1911" t="s">
        <v>2859</v>
      </c>
      <c r="F1911" t="s">
        <v>248</v>
      </c>
      <c r="G1911" t="s">
        <v>4522</v>
      </c>
      <c r="H1911" t="s">
        <v>143</v>
      </c>
      <c r="I1911" t="s">
        <v>276</v>
      </c>
      <c r="J1911" t="s">
        <v>145</v>
      </c>
      <c r="K1911" t="s">
        <v>146</v>
      </c>
      <c r="L1911" t="s">
        <v>4523</v>
      </c>
      <c r="N1911" t="s">
        <v>4524</v>
      </c>
      <c r="O1911" t="s">
        <v>277</v>
      </c>
      <c r="R1911" t="s">
        <v>4525</v>
      </c>
      <c r="S1911" t="s">
        <v>2864</v>
      </c>
      <c r="V1911" t="s">
        <v>2855</v>
      </c>
      <c r="W1911" t="s">
        <v>2865</v>
      </c>
      <c r="X1911" t="s">
        <v>270</v>
      </c>
      <c r="AD1911" t="s">
        <v>4526</v>
      </c>
    </row>
    <row r="1912" spans="1:30" x14ac:dyDescent="0.25">
      <c r="A1912" t="s">
        <v>33</v>
      </c>
      <c r="D1912" t="s">
        <v>2847</v>
      </c>
      <c r="E1912" t="s">
        <v>2859</v>
      </c>
      <c r="F1912" t="s">
        <v>248</v>
      </c>
      <c r="G1912" t="s">
        <v>4522</v>
      </c>
      <c r="H1912" t="s">
        <v>143</v>
      </c>
      <c r="I1912" t="s">
        <v>272</v>
      </c>
      <c r="J1912" t="s">
        <v>145</v>
      </c>
      <c r="K1912" t="s">
        <v>146</v>
      </c>
      <c r="L1912" t="s">
        <v>4523</v>
      </c>
      <c r="N1912" t="s">
        <v>4524</v>
      </c>
      <c r="O1912" t="s">
        <v>273</v>
      </c>
      <c r="R1912" t="s">
        <v>4527</v>
      </c>
      <c r="S1912" t="s">
        <v>2864</v>
      </c>
      <c r="V1912" t="s">
        <v>2855</v>
      </c>
      <c r="W1912" t="s">
        <v>2865</v>
      </c>
      <c r="X1912" t="s">
        <v>270</v>
      </c>
      <c r="AD1912" t="s">
        <v>4528</v>
      </c>
    </row>
    <row r="1913" spans="1:30" x14ac:dyDescent="0.25">
      <c r="A1913" t="s">
        <v>33</v>
      </c>
      <c r="D1913" t="s">
        <v>2847</v>
      </c>
      <c r="E1913" t="s">
        <v>2859</v>
      </c>
      <c r="F1913" t="s">
        <v>248</v>
      </c>
      <c r="G1913" t="s">
        <v>4522</v>
      </c>
      <c r="H1913" t="s">
        <v>143</v>
      </c>
      <c r="I1913" t="s">
        <v>267</v>
      </c>
      <c r="J1913" t="s">
        <v>145</v>
      </c>
      <c r="K1913" t="s">
        <v>146</v>
      </c>
      <c r="L1913" t="s">
        <v>4523</v>
      </c>
      <c r="N1913" t="s">
        <v>4524</v>
      </c>
      <c r="O1913" t="s">
        <v>268</v>
      </c>
      <c r="R1913" t="s">
        <v>4529</v>
      </c>
      <c r="S1913" t="s">
        <v>2864</v>
      </c>
      <c r="V1913" t="s">
        <v>2855</v>
      </c>
      <c r="W1913" t="s">
        <v>2865</v>
      </c>
      <c r="X1913" t="s">
        <v>270</v>
      </c>
      <c r="AD1913" t="s">
        <v>4530</v>
      </c>
    </row>
    <row r="1914" spans="1:30" x14ac:dyDescent="0.25">
      <c r="A1914" t="s">
        <v>33</v>
      </c>
      <c r="D1914" t="s">
        <v>2847</v>
      </c>
      <c r="E1914" t="s">
        <v>2859</v>
      </c>
      <c r="F1914" t="s">
        <v>248</v>
      </c>
      <c r="G1914" t="s">
        <v>4522</v>
      </c>
      <c r="H1914" t="s">
        <v>143</v>
      </c>
      <c r="I1914" t="s">
        <v>295</v>
      </c>
      <c r="J1914" t="s">
        <v>145</v>
      </c>
      <c r="K1914" t="s">
        <v>146</v>
      </c>
      <c r="L1914" t="s">
        <v>4523</v>
      </c>
      <c r="M1914" t="s">
        <v>82</v>
      </c>
      <c r="N1914" t="s">
        <v>4524</v>
      </c>
      <c r="O1914" t="s">
        <v>296</v>
      </c>
      <c r="R1914" t="s">
        <v>4531</v>
      </c>
      <c r="S1914" t="s">
        <v>2864</v>
      </c>
      <c r="V1914" t="s">
        <v>2855</v>
      </c>
      <c r="W1914" t="s">
        <v>2865</v>
      </c>
      <c r="AD1914" t="s">
        <v>4532</v>
      </c>
    </row>
    <row r="1915" spans="1:30" x14ac:dyDescent="0.25">
      <c r="A1915" t="s">
        <v>33</v>
      </c>
      <c r="D1915" t="s">
        <v>2847</v>
      </c>
      <c r="E1915" t="s">
        <v>2859</v>
      </c>
      <c r="F1915" t="s">
        <v>248</v>
      </c>
      <c r="G1915" t="s">
        <v>4522</v>
      </c>
      <c r="H1915" t="s">
        <v>143</v>
      </c>
      <c r="I1915" t="s">
        <v>4475</v>
      </c>
      <c r="J1915" t="s">
        <v>145</v>
      </c>
      <c r="K1915" t="s">
        <v>146</v>
      </c>
      <c r="L1915" t="s">
        <v>4523</v>
      </c>
      <c r="M1915" t="s">
        <v>3327</v>
      </c>
      <c r="N1915" t="s">
        <v>4524</v>
      </c>
      <c r="O1915" t="s">
        <v>4476</v>
      </c>
      <c r="R1915" t="s">
        <v>4533</v>
      </c>
      <c r="S1915" t="s">
        <v>2864</v>
      </c>
      <c r="V1915" t="s">
        <v>2855</v>
      </c>
      <c r="W1915" t="s">
        <v>2865</v>
      </c>
      <c r="X1915" t="s">
        <v>1193</v>
      </c>
      <c r="AD1915" t="s">
        <v>4534</v>
      </c>
    </row>
    <row r="1916" spans="1:30" x14ac:dyDescent="0.25">
      <c r="A1916" t="s">
        <v>33</v>
      </c>
      <c r="D1916" t="s">
        <v>2847</v>
      </c>
      <c r="E1916" t="s">
        <v>2859</v>
      </c>
      <c r="F1916" t="s">
        <v>248</v>
      </c>
      <c r="G1916" t="s">
        <v>4522</v>
      </c>
      <c r="H1916" t="s">
        <v>143</v>
      </c>
      <c r="I1916" t="s">
        <v>299</v>
      </c>
      <c r="J1916" t="s">
        <v>145</v>
      </c>
      <c r="K1916" t="s">
        <v>146</v>
      </c>
      <c r="L1916" t="s">
        <v>4523</v>
      </c>
      <c r="M1916" t="s">
        <v>82</v>
      </c>
      <c r="N1916" t="s">
        <v>4524</v>
      </c>
      <c r="O1916" t="s">
        <v>300</v>
      </c>
      <c r="R1916" t="s">
        <v>4535</v>
      </c>
      <c r="S1916" t="s">
        <v>2864</v>
      </c>
      <c r="V1916" t="s">
        <v>2855</v>
      </c>
      <c r="W1916" t="s">
        <v>2865</v>
      </c>
      <c r="AD1916" t="s">
        <v>4536</v>
      </c>
    </row>
    <row r="1917" spans="1:30" x14ac:dyDescent="0.25">
      <c r="A1917" t="s">
        <v>33</v>
      </c>
      <c r="D1917" t="s">
        <v>2847</v>
      </c>
      <c r="E1917" t="s">
        <v>2859</v>
      </c>
      <c r="F1917" t="s">
        <v>248</v>
      </c>
      <c r="G1917" t="s">
        <v>4522</v>
      </c>
      <c r="H1917" t="s">
        <v>143</v>
      </c>
      <c r="I1917" t="s">
        <v>4401</v>
      </c>
      <c r="J1917" t="s">
        <v>145</v>
      </c>
      <c r="K1917" t="s">
        <v>146</v>
      </c>
      <c r="L1917" t="s">
        <v>4523</v>
      </c>
      <c r="M1917" t="s">
        <v>3327</v>
      </c>
      <c r="N1917" t="s">
        <v>4524</v>
      </c>
      <c r="O1917" t="s">
        <v>4402</v>
      </c>
      <c r="R1917" t="s">
        <v>4537</v>
      </c>
      <c r="S1917" t="s">
        <v>2864</v>
      </c>
      <c r="V1917" t="s">
        <v>2855</v>
      </c>
      <c r="W1917" t="s">
        <v>2865</v>
      </c>
      <c r="X1917" t="s">
        <v>1193</v>
      </c>
      <c r="AD1917" t="s">
        <v>4538</v>
      </c>
    </row>
    <row r="1918" spans="1:30" x14ac:dyDescent="0.25">
      <c r="A1918" t="s">
        <v>33</v>
      </c>
      <c r="D1918" t="s">
        <v>2847</v>
      </c>
      <c r="E1918" t="s">
        <v>2859</v>
      </c>
      <c r="F1918" t="s">
        <v>248</v>
      </c>
      <c r="G1918" t="s">
        <v>4522</v>
      </c>
      <c r="H1918" t="s">
        <v>38</v>
      </c>
      <c r="I1918" t="s">
        <v>257</v>
      </c>
      <c r="J1918" t="s">
        <v>40</v>
      </c>
      <c r="K1918" t="s">
        <v>41</v>
      </c>
      <c r="L1918" t="s">
        <v>4523</v>
      </c>
      <c r="M1918" t="s">
        <v>82</v>
      </c>
      <c r="N1918" t="s">
        <v>4524</v>
      </c>
      <c r="O1918" t="s">
        <v>258</v>
      </c>
      <c r="R1918" t="s">
        <v>4539</v>
      </c>
      <c r="S1918" t="s">
        <v>2864</v>
      </c>
      <c r="V1918" t="s">
        <v>2855</v>
      </c>
      <c r="W1918" t="s">
        <v>2865</v>
      </c>
      <c r="AD1918" t="s">
        <v>4540</v>
      </c>
    </row>
    <row r="1919" spans="1:30" x14ac:dyDescent="0.25">
      <c r="A1919" t="s">
        <v>33</v>
      </c>
      <c r="D1919" t="s">
        <v>2847</v>
      </c>
      <c r="E1919" t="s">
        <v>2859</v>
      </c>
      <c r="F1919" t="s">
        <v>248</v>
      </c>
      <c r="G1919" t="s">
        <v>4522</v>
      </c>
      <c r="H1919" t="s">
        <v>38</v>
      </c>
      <c r="I1919" t="s">
        <v>250</v>
      </c>
      <c r="J1919" t="s">
        <v>40</v>
      </c>
      <c r="K1919" t="s">
        <v>41</v>
      </c>
      <c r="L1919" t="s">
        <v>4523</v>
      </c>
      <c r="M1919" t="s">
        <v>3327</v>
      </c>
      <c r="N1919" t="s">
        <v>4524</v>
      </c>
      <c r="O1919" t="s">
        <v>254</v>
      </c>
      <c r="R1919" t="s">
        <v>4541</v>
      </c>
      <c r="S1919" t="s">
        <v>2864</v>
      </c>
      <c r="V1919" t="s">
        <v>2855</v>
      </c>
      <c r="W1919" t="s">
        <v>2865</v>
      </c>
      <c r="X1919" t="s">
        <v>1193</v>
      </c>
      <c r="AD1919" t="s">
        <v>4542</v>
      </c>
    </row>
    <row r="1920" spans="1:30" x14ac:dyDescent="0.25">
      <c r="A1920" t="s">
        <v>33</v>
      </c>
      <c r="D1920" t="s">
        <v>2847</v>
      </c>
      <c r="E1920" t="s">
        <v>2859</v>
      </c>
      <c r="F1920" t="s">
        <v>248</v>
      </c>
      <c r="G1920" t="s">
        <v>4522</v>
      </c>
      <c r="H1920" t="s">
        <v>143</v>
      </c>
      <c r="I1920" t="s">
        <v>257</v>
      </c>
      <c r="J1920" t="s">
        <v>145</v>
      </c>
      <c r="K1920" t="s">
        <v>146</v>
      </c>
      <c r="L1920" t="s">
        <v>4523</v>
      </c>
      <c r="M1920" t="s">
        <v>82</v>
      </c>
      <c r="N1920" t="s">
        <v>4524</v>
      </c>
      <c r="O1920" t="s">
        <v>292</v>
      </c>
      <c r="R1920" t="s">
        <v>4543</v>
      </c>
      <c r="S1920" t="s">
        <v>2864</v>
      </c>
      <c r="V1920" t="s">
        <v>2855</v>
      </c>
      <c r="W1920" t="s">
        <v>2865</v>
      </c>
      <c r="AD1920" t="s">
        <v>4544</v>
      </c>
    </row>
    <row r="1921" spans="1:30" x14ac:dyDescent="0.25">
      <c r="A1921" t="s">
        <v>33</v>
      </c>
      <c r="D1921" t="s">
        <v>2847</v>
      </c>
      <c r="E1921" t="s">
        <v>2859</v>
      </c>
      <c r="F1921" t="s">
        <v>248</v>
      </c>
      <c r="G1921" t="s">
        <v>4522</v>
      </c>
      <c r="H1921" t="s">
        <v>143</v>
      </c>
      <c r="I1921" t="s">
        <v>261</v>
      </c>
      <c r="J1921" t="s">
        <v>145</v>
      </c>
      <c r="K1921" t="s">
        <v>146</v>
      </c>
      <c r="L1921" t="s">
        <v>4523</v>
      </c>
      <c r="M1921" t="s">
        <v>3327</v>
      </c>
      <c r="N1921" t="s">
        <v>4524</v>
      </c>
      <c r="O1921" t="s">
        <v>263</v>
      </c>
      <c r="R1921" t="s">
        <v>4545</v>
      </c>
      <c r="S1921" t="s">
        <v>2864</v>
      </c>
      <c r="V1921" t="s">
        <v>2855</v>
      </c>
      <c r="W1921" t="s">
        <v>2865</v>
      </c>
      <c r="X1921" t="s">
        <v>1193</v>
      </c>
      <c r="AD1921" t="s">
        <v>4546</v>
      </c>
    </row>
    <row r="1922" spans="1:30" x14ac:dyDescent="0.25">
      <c r="A1922" t="s">
        <v>33</v>
      </c>
      <c r="D1922" t="s">
        <v>2847</v>
      </c>
      <c r="E1922" t="s">
        <v>2859</v>
      </c>
      <c r="F1922" t="s">
        <v>248</v>
      </c>
      <c r="G1922" t="s">
        <v>4522</v>
      </c>
      <c r="H1922" t="s">
        <v>280</v>
      </c>
      <c r="I1922" t="s">
        <v>281</v>
      </c>
      <c r="J1922" t="s">
        <v>282</v>
      </c>
      <c r="K1922" t="s">
        <v>283</v>
      </c>
      <c r="L1922" t="s">
        <v>4523</v>
      </c>
      <c r="N1922" t="s">
        <v>4524</v>
      </c>
      <c r="O1922" t="s">
        <v>284</v>
      </c>
      <c r="Q1922" t="s">
        <v>285</v>
      </c>
      <c r="R1922" t="s">
        <v>4547</v>
      </c>
      <c r="S1922" t="s">
        <v>2864</v>
      </c>
      <c r="V1922" t="s">
        <v>2855</v>
      </c>
      <c r="W1922" t="s">
        <v>2865</v>
      </c>
      <c r="AD1922" t="s">
        <v>4548</v>
      </c>
    </row>
    <row r="1923" spans="1:30" x14ac:dyDescent="0.25">
      <c r="A1923" t="s">
        <v>33</v>
      </c>
      <c r="D1923" t="s">
        <v>2847</v>
      </c>
      <c r="E1923" t="s">
        <v>2893</v>
      </c>
      <c r="F1923" t="s">
        <v>78</v>
      </c>
      <c r="G1923" t="s">
        <v>4480</v>
      </c>
      <c r="H1923" t="s">
        <v>143</v>
      </c>
      <c r="I1923" t="s">
        <v>257</v>
      </c>
      <c r="J1923" t="s">
        <v>145</v>
      </c>
      <c r="K1923" t="s">
        <v>146</v>
      </c>
      <c r="L1923" t="s">
        <v>4481</v>
      </c>
      <c r="M1923" t="s">
        <v>82</v>
      </c>
      <c r="N1923" t="s">
        <v>4482</v>
      </c>
      <c r="O1923" t="s">
        <v>292</v>
      </c>
      <c r="R1923" t="s">
        <v>4549</v>
      </c>
      <c r="S1923" t="s">
        <v>2864</v>
      </c>
      <c r="V1923" t="s">
        <v>2855</v>
      </c>
      <c r="W1923" t="s">
        <v>2898</v>
      </c>
      <c r="AD1923" t="s">
        <v>4550</v>
      </c>
    </row>
    <row r="1924" spans="1:30" x14ac:dyDescent="0.25">
      <c r="A1924" t="s">
        <v>33</v>
      </c>
      <c r="D1924" t="s">
        <v>2847</v>
      </c>
      <c r="E1924" t="s">
        <v>2893</v>
      </c>
      <c r="F1924" t="s">
        <v>78</v>
      </c>
      <c r="G1924" t="s">
        <v>4480</v>
      </c>
      <c r="H1924" t="s">
        <v>143</v>
      </c>
      <c r="I1924" t="s">
        <v>261</v>
      </c>
      <c r="J1924" t="s">
        <v>145</v>
      </c>
      <c r="K1924" t="s">
        <v>262</v>
      </c>
      <c r="L1924" t="s">
        <v>4481</v>
      </c>
      <c r="M1924" t="s">
        <v>252</v>
      </c>
      <c r="N1924" t="s">
        <v>4482</v>
      </c>
      <c r="O1924" t="s">
        <v>263</v>
      </c>
      <c r="R1924" t="s">
        <v>4551</v>
      </c>
      <c r="S1924" t="s">
        <v>2864</v>
      </c>
      <c r="V1924" t="s">
        <v>2855</v>
      </c>
      <c r="W1924" t="s">
        <v>2898</v>
      </c>
      <c r="AD1924" t="s">
        <v>4552</v>
      </c>
    </row>
    <row r="1925" spans="1:30" x14ac:dyDescent="0.25">
      <c r="A1925" t="s">
        <v>33</v>
      </c>
      <c r="D1925" t="s">
        <v>2847</v>
      </c>
      <c r="E1925" t="s">
        <v>2893</v>
      </c>
      <c r="F1925" t="s">
        <v>78</v>
      </c>
      <c r="G1925" t="s">
        <v>4480</v>
      </c>
      <c r="H1925" t="s">
        <v>280</v>
      </c>
      <c r="I1925" t="s">
        <v>281</v>
      </c>
      <c r="J1925" t="s">
        <v>282</v>
      </c>
      <c r="K1925" t="s">
        <v>283</v>
      </c>
      <c r="L1925" t="s">
        <v>4481</v>
      </c>
      <c r="N1925" t="s">
        <v>4482</v>
      </c>
      <c r="O1925" t="s">
        <v>284</v>
      </c>
      <c r="Q1925" t="s">
        <v>285</v>
      </c>
      <c r="R1925" t="s">
        <v>4553</v>
      </c>
      <c r="S1925" t="s">
        <v>2864</v>
      </c>
      <c r="V1925" t="s">
        <v>2855</v>
      </c>
      <c r="W1925" t="s">
        <v>2898</v>
      </c>
      <c r="AD1925" t="s">
        <v>4554</v>
      </c>
    </row>
    <row r="1926" spans="1:30" x14ac:dyDescent="0.25">
      <c r="A1926" t="s">
        <v>33</v>
      </c>
      <c r="D1926" t="s">
        <v>2847</v>
      </c>
      <c r="E1926" t="s">
        <v>2893</v>
      </c>
      <c r="F1926" t="s">
        <v>78</v>
      </c>
      <c r="G1926" t="s">
        <v>4480</v>
      </c>
      <c r="H1926" t="s">
        <v>166</v>
      </c>
      <c r="I1926" t="s">
        <v>4555</v>
      </c>
      <c r="J1926" t="s">
        <v>167</v>
      </c>
      <c r="K1926" t="s">
        <v>41</v>
      </c>
      <c r="L1926" t="s">
        <v>4481</v>
      </c>
      <c r="N1926" t="s">
        <v>4482</v>
      </c>
      <c r="O1926" t="s">
        <v>4556</v>
      </c>
      <c r="Q1926" t="s">
        <v>4557</v>
      </c>
      <c r="R1926" t="s">
        <v>4558</v>
      </c>
      <c r="S1926" t="s">
        <v>2864</v>
      </c>
      <c r="V1926" t="s">
        <v>2855</v>
      </c>
      <c r="W1926" t="s">
        <v>2898</v>
      </c>
      <c r="AD1926" t="s">
        <v>4559</v>
      </c>
    </row>
    <row r="1927" spans="1:30" x14ac:dyDescent="0.25">
      <c r="A1927" t="s">
        <v>33</v>
      </c>
      <c r="D1927" t="s">
        <v>2847</v>
      </c>
      <c r="E1927" t="s">
        <v>2893</v>
      </c>
      <c r="F1927" t="s">
        <v>78</v>
      </c>
      <c r="G1927" t="s">
        <v>4480</v>
      </c>
      <c r="H1927" t="s">
        <v>143</v>
      </c>
      <c r="I1927" t="s">
        <v>261</v>
      </c>
      <c r="J1927" t="s">
        <v>145</v>
      </c>
      <c r="K1927" t="s">
        <v>146</v>
      </c>
      <c r="L1927" t="s">
        <v>4481</v>
      </c>
      <c r="M1927" t="s">
        <v>252</v>
      </c>
      <c r="N1927" t="s">
        <v>4482</v>
      </c>
      <c r="O1927" t="s">
        <v>263</v>
      </c>
      <c r="R1927" t="s">
        <v>4560</v>
      </c>
      <c r="S1927" t="s">
        <v>2864</v>
      </c>
      <c r="V1927" t="s">
        <v>2855</v>
      </c>
      <c r="W1927" t="s">
        <v>2898</v>
      </c>
      <c r="AD1927" t="s">
        <v>4552</v>
      </c>
    </row>
    <row r="1928" spans="1:30" x14ac:dyDescent="0.25">
      <c r="A1928" t="s">
        <v>33</v>
      </c>
      <c r="D1928" t="s">
        <v>2847</v>
      </c>
      <c r="E1928" t="s">
        <v>2893</v>
      </c>
      <c r="F1928" t="s">
        <v>78</v>
      </c>
      <c r="G1928" t="s">
        <v>4561</v>
      </c>
      <c r="H1928" t="s">
        <v>143</v>
      </c>
      <c r="I1928" t="s">
        <v>276</v>
      </c>
      <c r="J1928" t="s">
        <v>145</v>
      </c>
      <c r="K1928" t="s">
        <v>146</v>
      </c>
      <c r="L1928" t="s">
        <v>4562</v>
      </c>
      <c r="N1928" t="s">
        <v>4563</v>
      </c>
      <c r="O1928" t="s">
        <v>277</v>
      </c>
      <c r="R1928" t="s">
        <v>4564</v>
      </c>
      <c r="S1928" t="s">
        <v>2864</v>
      </c>
      <c r="V1928" t="s">
        <v>2855</v>
      </c>
      <c r="W1928" t="s">
        <v>2898</v>
      </c>
      <c r="X1928" t="s">
        <v>270</v>
      </c>
      <c r="AD1928" t="s">
        <v>4565</v>
      </c>
    </row>
    <row r="1929" spans="1:30" x14ac:dyDescent="0.25">
      <c r="A1929" t="s">
        <v>33</v>
      </c>
      <c r="D1929" t="s">
        <v>2847</v>
      </c>
      <c r="E1929" t="s">
        <v>2893</v>
      </c>
      <c r="F1929" t="s">
        <v>78</v>
      </c>
      <c r="G1929" t="s">
        <v>4561</v>
      </c>
      <c r="H1929" t="s">
        <v>143</v>
      </c>
      <c r="I1929" t="s">
        <v>272</v>
      </c>
      <c r="J1929" t="s">
        <v>145</v>
      </c>
      <c r="K1929" t="s">
        <v>146</v>
      </c>
      <c r="L1929" t="s">
        <v>4562</v>
      </c>
      <c r="N1929" t="s">
        <v>4563</v>
      </c>
      <c r="O1929" t="s">
        <v>273</v>
      </c>
      <c r="R1929" t="s">
        <v>4566</v>
      </c>
      <c r="S1929" t="s">
        <v>2864</v>
      </c>
      <c r="V1929" t="s">
        <v>2855</v>
      </c>
      <c r="W1929" t="s">
        <v>2898</v>
      </c>
      <c r="X1929" t="s">
        <v>270</v>
      </c>
      <c r="AD1929" t="s">
        <v>4567</v>
      </c>
    </row>
    <row r="1930" spans="1:30" x14ac:dyDescent="0.25">
      <c r="A1930" t="s">
        <v>33</v>
      </c>
      <c r="D1930" t="s">
        <v>2847</v>
      </c>
      <c r="E1930" t="s">
        <v>2893</v>
      </c>
      <c r="F1930" t="s">
        <v>78</v>
      </c>
      <c r="G1930" t="s">
        <v>4561</v>
      </c>
      <c r="H1930" t="s">
        <v>143</v>
      </c>
      <c r="I1930" t="s">
        <v>267</v>
      </c>
      <c r="J1930" t="s">
        <v>145</v>
      </c>
      <c r="K1930" t="s">
        <v>146</v>
      </c>
      <c r="L1930" t="s">
        <v>4562</v>
      </c>
      <c r="N1930" t="s">
        <v>4563</v>
      </c>
      <c r="O1930" t="s">
        <v>268</v>
      </c>
      <c r="R1930" t="s">
        <v>4568</v>
      </c>
      <c r="S1930" t="s">
        <v>2864</v>
      </c>
      <c r="V1930" t="s">
        <v>2855</v>
      </c>
      <c r="W1930" t="s">
        <v>2898</v>
      </c>
      <c r="X1930" t="s">
        <v>270</v>
      </c>
      <c r="AD1930" t="s">
        <v>4569</v>
      </c>
    </row>
    <row r="1931" spans="1:30" x14ac:dyDescent="0.25">
      <c r="A1931" t="s">
        <v>33</v>
      </c>
      <c r="D1931" t="s">
        <v>2847</v>
      </c>
      <c r="E1931" t="s">
        <v>2859</v>
      </c>
      <c r="F1931" t="s">
        <v>87</v>
      </c>
      <c r="G1931" t="s">
        <v>2926</v>
      </c>
      <c r="H1931" t="s">
        <v>38</v>
      </c>
      <c r="I1931" t="s">
        <v>106</v>
      </c>
      <c r="J1931" t="s">
        <v>40</v>
      </c>
      <c r="K1931" t="s">
        <v>41</v>
      </c>
      <c r="L1931" t="s">
        <v>2927</v>
      </c>
      <c r="M1931" t="s">
        <v>252</v>
      </c>
      <c r="N1931" t="s">
        <v>2928</v>
      </c>
      <c r="O1931" t="s">
        <v>109</v>
      </c>
      <c r="R1931" t="s">
        <v>4570</v>
      </c>
      <c r="S1931" t="s">
        <v>2864</v>
      </c>
      <c r="V1931" t="s">
        <v>2855</v>
      </c>
      <c r="W1931" t="s">
        <v>2865</v>
      </c>
      <c r="AD1931" t="s">
        <v>4571</v>
      </c>
    </row>
    <row r="1932" spans="1:30" x14ac:dyDescent="0.25">
      <c r="A1932" t="s">
        <v>33</v>
      </c>
      <c r="D1932" t="s">
        <v>2847</v>
      </c>
      <c r="E1932" t="s">
        <v>2848</v>
      </c>
      <c r="F1932" t="s">
        <v>87</v>
      </c>
      <c r="G1932" t="s">
        <v>4572</v>
      </c>
      <c r="H1932" t="s">
        <v>153</v>
      </c>
      <c r="I1932" t="s">
        <v>90</v>
      </c>
      <c r="J1932" t="s">
        <v>154</v>
      </c>
      <c r="K1932" t="s">
        <v>155</v>
      </c>
      <c r="L1932" t="s">
        <v>4573</v>
      </c>
      <c r="N1932" t="s">
        <v>4574</v>
      </c>
      <c r="O1932" t="s">
        <v>386</v>
      </c>
      <c r="R1932" t="s">
        <v>4575</v>
      </c>
      <c r="S1932" t="s">
        <v>2854</v>
      </c>
      <c r="V1932" t="s">
        <v>2855</v>
      </c>
      <c r="W1932" t="s">
        <v>2856</v>
      </c>
      <c r="AD1932" t="s">
        <v>4576</v>
      </c>
    </row>
    <row r="1933" spans="1:30" x14ac:dyDescent="0.25">
      <c r="A1933" t="s">
        <v>33</v>
      </c>
      <c r="D1933" t="s">
        <v>2847</v>
      </c>
      <c r="E1933" t="s">
        <v>2848</v>
      </c>
      <c r="F1933" t="s">
        <v>87</v>
      </c>
      <c r="G1933" t="s">
        <v>4572</v>
      </c>
      <c r="H1933" t="s">
        <v>89</v>
      </c>
      <c r="I1933" t="s">
        <v>90</v>
      </c>
      <c r="J1933" t="s">
        <v>91</v>
      </c>
      <c r="K1933" t="s">
        <v>92</v>
      </c>
      <c r="L1933" t="s">
        <v>4573</v>
      </c>
      <c r="M1933" t="s">
        <v>94</v>
      </c>
      <c r="N1933" t="s">
        <v>4574</v>
      </c>
      <c r="O1933" t="s">
        <v>383</v>
      </c>
      <c r="P1933">
        <v>1E-3</v>
      </c>
      <c r="R1933" t="s">
        <v>4577</v>
      </c>
      <c r="S1933" t="s">
        <v>2854</v>
      </c>
      <c r="V1933" t="s">
        <v>2855</v>
      </c>
      <c r="W1933" t="s">
        <v>2856</v>
      </c>
      <c r="AD1933" t="s">
        <v>4578</v>
      </c>
    </row>
    <row r="1934" spans="1:30" x14ac:dyDescent="0.25">
      <c r="A1934" t="s">
        <v>33</v>
      </c>
      <c r="D1934" t="s">
        <v>2847</v>
      </c>
      <c r="E1934" t="s">
        <v>2848</v>
      </c>
      <c r="F1934" t="s">
        <v>87</v>
      </c>
      <c r="G1934" t="s">
        <v>4572</v>
      </c>
      <c r="H1934" t="s">
        <v>143</v>
      </c>
      <c r="I1934" t="s">
        <v>90</v>
      </c>
      <c r="J1934" t="s">
        <v>145</v>
      </c>
      <c r="K1934" t="s">
        <v>146</v>
      </c>
      <c r="L1934" t="s">
        <v>4573</v>
      </c>
      <c r="M1934" t="s">
        <v>493</v>
      </c>
      <c r="N1934" t="s">
        <v>4574</v>
      </c>
      <c r="O1934" t="s">
        <v>380</v>
      </c>
      <c r="R1934" t="s">
        <v>4579</v>
      </c>
      <c r="S1934" t="s">
        <v>2854</v>
      </c>
      <c r="V1934" t="s">
        <v>2855</v>
      </c>
      <c r="W1934" t="s">
        <v>2856</v>
      </c>
      <c r="AD1934" t="s">
        <v>4580</v>
      </c>
    </row>
    <row r="1935" spans="1:30" x14ac:dyDescent="0.25">
      <c r="A1935" t="s">
        <v>33</v>
      </c>
      <c r="D1935" t="s">
        <v>2847</v>
      </c>
      <c r="E1935" t="s">
        <v>2848</v>
      </c>
      <c r="F1935" t="s">
        <v>87</v>
      </c>
      <c r="G1935" t="s">
        <v>4572</v>
      </c>
      <c r="H1935" t="s">
        <v>143</v>
      </c>
      <c r="I1935" t="s">
        <v>90</v>
      </c>
      <c r="J1935" t="s">
        <v>145</v>
      </c>
      <c r="K1935" t="s">
        <v>262</v>
      </c>
      <c r="L1935" t="s">
        <v>4573</v>
      </c>
      <c r="M1935" t="s">
        <v>493</v>
      </c>
      <c r="N1935" t="s">
        <v>4574</v>
      </c>
      <c r="O1935" t="s">
        <v>380</v>
      </c>
      <c r="R1935" t="s">
        <v>4581</v>
      </c>
      <c r="S1935" t="s">
        <v>2854</v>
      </c>
      <c r="V1935" t="s">
        <v>2855</v>
      </c>
      <c r="W1935" t="s">
        <v>2856</v>
      </c>
      <c r="AD1935" t="s">
        <v>4580</v>
      </c>
    </row>
    <row r="1936" spans="1:30" x14ac:dyDescent="0.25">
      <c r="A1936" t="s">
        <v>33</v>
      </c>
      <c r="D1936" t="s">
        <v>2847</v>
      </c>
      <c r="E1936" t="s">
        <v>2848</v>
      </c>
      <c r="F1936" t="s">
        <v>87</v>
      </c>
      <c r="G1936" t="s">
        <v>4572</v>
      </c>
      <c r="H1936" t="s">
        <v>38</v>
      </c>
      <c r="I1936" t="s">
        <v>106</v>
      </c>
      <c r="J1936" t="s">
        <v>40</v>
      </c>
      <c r="K1936" t="s">
        <v>41</v>
      </c>
      <c r="L1936" t="s">
        <v>4573</v>
      </c>
      <c r="M1936" t="s">
        <v>493</v>
      </c>
      <c r="N1936" t="s">
        <v>4574</v>
      </c>
      <c r="O1936" t="s">
        <v>109</v>
      </c>
      <c r="R1936" t="s">
        <v>4582</v>
      </c>
      <c r="S1936" t="s">
        <v>2854</v>
      </c>
      <c r="V1936" t="s">
        <v>2855</v>
      </c>
      <c r="W1936" t="s">
        <v>2856</v>
      </c>
      <c r="AD1936" t="s">
        <v>4583</v>
      </c>
    </row>
    <row r="1937" spans="1:32" x14ac:dyDescent="0.25">
      <c r="A1937" t="s">
        <v>33</v>
      </c>
      <c r="D1937" t="s">
        <v>2847</v>
      </c>
      <c r="E1937" t="s">
        <v>2848</v>
      </c>
      <c r="F1937" t="s">
        <v>87</v>
      </c>
      <c r="G1937" t="s">
        <v>4572</v>
      </c>
      <c r="H1937" t="s">
        <v>38</v>
      </c>
      <c r="I1937" t="s">
        <v>25</v>
      </c>
      <c r="J1937" t="s">
        <v>69</v>
      </c>
      <c r="K1937" t="s">
        <v>41</v>
      </c>
      <c r="L1937" t="s">
        <v>4573</v>
      </c>
      <c r="M1937" t="s">
        <v>493</v>
      </c>
      <c r="N1937" t="s">
        <v>4574</v>
      </c>
      <c r="O1937" t="s">
        <v>512</v>
      </c>
      <c r="R1937" t="s">
        <v>4022</v>
      </c>
      <c r="S1937" t="s">
        <v>2854</v>
      </c>
      <c r="V1937" t="s">
        <v>2855</v>
      </c>
      <c r="W1937" t="s">
        <v>2856</v>
      </c>
      <c r="AD1937" t="s">
        <v>4584</v>
      </c>
    </row>
    <row r="1938" spans="1:32" x14ac:dyDescent="0.25">
      <c r="A1938" t="s">
        <v>33</v>
      </c>
      <c r="D1938" t="s">
        <v>2847</v>
      </c>
      <c r="E1938" t="s">
        <v>2848</v>
      </c>
      <c r="F1938" t="s">
        <v>87</v>
      </c>
      <c r="G1938" t="s">
        <v>4572</v>
      </c>
      <c r="H1938" t="s">
        <v>38</v>
      </c>
      <c r="I1938" t="s">
        <v>24</v>
      </c>
      <c r="J1938" t="s">
        <v>69</v>
      </c>
      <c r="K1938" t="s">
        <v>41</v>
      </c>
      <c r="L1938" t="s">
        <v>4573</v>
      </c>
      <c r="M1938" t="s">
        <v>493</v>
      </c>
      <c r="N1938" t="s">
        <v>4574</v>
      </c>
      <c r="O1938" t="s">
        <v>509</v>
      </c>
      <c r="R1938" t="s">
        <v>4028</v>
      </c>
      <c r="S1938" t="s">
        <v>2854</v>
      </c>
      <c r="V1938" t="s">
        <v>2855</v>
      </c>
      <c r="W1938" t="s">
        <v>2856</v>
      </c>
      <c r="AD1938" t="s">
        <v>4585</v>
      </c>
    </row>
    <row r="1939" spans="1:32" x14ac:dyDescent="0.25">
      <c r="A1939" t="s">
        <v>33</v>
      </c>
      <c r="D1939" t="s">
        <v>2847</v>
      </c>
      <c r="E1939" t="s">
        <v>2848</v>
      </c>
      <c r="F1939" t="s">
        <v>87</v>
      </c>
      <c r="G1939" t="s">
        <v>4586</v>
      </c>
      <c r="H1939" t="s">
        <v>153</v>
      </c>
      <c r="I1939" t="s">
        <v>144</v>
      </c>
      <c r="J1939" t="s">
        <v>154</v>
      </c>
      <c r="K1939" t="s">
        <v>155</v>
      </c>
      <c r="L1939" t="s">
        <v>4587</v>
      </c>
      <c r="N1939" t="s">
        <v>4588</v>
      </c>
      <c r="O1939" t="s">
        <v>156</v>
      </c>
      <c r="R1939" t="s">
        <v>4589</v>
      </c>
      <c r="S1939" t="s">
        <v>2854</v>
      </c>
      <c r="V1939" t="s">
        <v>2855</v>
      </c>
      <c r="W1939" t="s">
        <v>2856</v>
      </c>
      <c r="AD1939" t="s">
        <v>4590</v>
      </c>
    </row>
    <row r="1940" spans="1:32" x14ac:dyDescent="0.25">
      <c r="A1940" t="s">
        <v>33</v>
      </c>
      <c r="D1940" t="s">
        <v>2847</v>
      </c>
      <c r="E1940" t="s">
        <v>2848</v>
      </c>
      <c r="F1940" t="s">
        <v>87</v>
      </c>
      <c r="G1940" t="s">
        <v>4586</v>
      </c>
      <c r="H1940" t="s">
        <v>89</v>
      </c>
      <c r="I1940" t="s">
        <v>144</v>
      </c>
      <c r="J1940" t="s">
        <v>91</v>
      </c>
      <c r="K1940" t="s">
        <v>92</v>
      </c>
      <c r="L1940" t="s">
        <v>4587</v>
      </c>
      <c r="M1940" t="s">
        <v>94</v>
      </c>
      <c r="N1940" t="s">
        <v>4588</v>
      </c>
      <c r="O1940" t="s">
        <v>150</v>
      </c>
      <c r="P1940">
        <v>1E-3</v>
      </c>
      <c r="R1940" t="s">
        <v>4591</v>
      </c>
      <c r="S1940" t="s">
        <v>2854</v>
      </c>
      <c r="V1940" t="s">
        <v>2855</v>
      </c>
      <c r="W1940" t="s">
        <v>2856</v>
      </c>
      <c r="AD1940" t="s">
        <v>4592</v>
      </c>
    </row>
    <row r="1941" spans="1:32" x14ac:dyDescent="0.25">
      <c r="A1941" t="s">
        <v>33</v>
      </c>
      <c r="D1941" t="s">
        <v>2847</v>
      </c>
      <c r="E1941" t="s">
        <v>2848</v>
      </c>
      <c r="F1941" t="s">
        <v>87</v>
      </c>
      <c r="G1941" t="s">
        <v>4586</v>
      </c>
      <c r="H1941" t="s">
        <v>143</v>
      </c>
      <c r="I1941" t="s">
        <v>144</v>
      </c>
      <c r="J1941" t="s">
        <v>145</v>
      </c>
      <c r="K1941" t="s">
        <v>146</v>
      </c>
      <c r="L1941" t="s">
        <v>4587</v>
      </c>
      <c r="M1941" t="s">
        <v>493</v>
      </c>
      <c r="N1941" t="s">
        <v>4588</v>
      </c>
      <c r="O1941" t="s">
        <v>147</v>
      </c>
      <c r="R1941" t="s">
        <v>4593</v>
      </c>
      <c r="S1941" t="s">
        <v>2854</v>
      </c>
      <c r="V1941" t="s">
        <v>2855</v>
      </c>
      <c r="W1941" t="s">
        <v>2856</v>
      </c>
      <c r="AD1941" t="s">
        <v>4594</v>
      </c>
    </row>
    <row r="1942" spans="1:32" x14ac:dyDescent="0.25">
      <c r="A1942" t="s">
        <v>33</v>
      </c>
      <c r="D1942" t="s">
        <v>2847</v>
      </c>
      <c r="E1942" t="s">
        <v>2848</v>
      </c>
      <c r="F1942" t="s">
        <v>87</v>
      </c>
      <c r="G1942" t="s">
        <v>4586</v>
      </c>
      <c r="H1942" t="s">
        <v>143</v>
      </c>
      <c r="I1942" t="s">
        <v>144</v>
      </c>
      <c r="J1942" t="s">
        <v>145</v>
      </c>
      <c r="K1942" t="s">
        <v>262</v>
      </c>
      <c r="L1942" t="s">
        <v>4587</v>
      </c>
      <c r="M1942" t="s">
        <v>493</v>
      </c>
      <c r="N1942" t="s">
        <v>4588</v>
      </c>
      <c r="O1942" t="s">
        <v>147</v>
      </c>
      <c r="R1942" t="s">
        <v>4595</v>
      </c>
      <c r="S1942" t="s">
        <v>2854</v>
      </c>
      <c r="V1942" t="s">
        <v>2855</v>
      </c>
      <c r="W1942" t="s">
        <v>2856</v>
      </c>
      <c r="AD1942" t="s">
        <v>4594</v>
      </c>
    </row>
    <row r="1943" spans="1:32" x14ac:dyDescent="0.25">
      <c r="A1943" t="s">
        <v>33</v>
      </c>
      <c r="D1943" t="s">
        <v>2847</v>
      </c>
      <c r="E1943" t="s">
        <v>2848</v>
      </c>
      <c r="F1943" t="s">
        <v>87</v>
      </c>
      <c r="G1943" t="s">
        <v>4586</v>
      </c>
      <c r="H1943" t="s">
        <v>153</v>
      </c>
      <c r="I1943" t="s">
        <v>90</v>
      </c>
      <c r="J1943" t="s">
        <v>154</v>
      </c>
      <c r="K1943" t="s">
        <v>155</v>
      </c>
      <c r="L1943" t="s">
        <v>4587</v>
      </c>
      <c r="N1943" t="s">
        <v>4588</v>
      </c>
      <c r="O1943" t="s">
        <v>386</v>
      </c>
      <c r="R1943" t="s">
        <v>4596</v>
      </c>
      <c r="S1943" t="s">
        <v>2854</v>
      </c>
      <c r="V1943" t="s">
        <v>2855</v>
      </c>
      <c r="W1943" t="s">
        <v>2856</v>
      </c>
      <c r="AC1943" t="s">
        <v>4597</v>
      </c>
      <c r="AD1943" t="s">
        <v>4598</v>
      </c>
      <c r="AE1943" t="s">
        <v>2995</v>
      </c>
      <c r="AF1943">
        <v>5</v>
      </c>
    </row>
    <row r="1944" spans="1:32" x14ac:dyDescent="0.25">
      <c r="A1944" t="s">
        <v>33</v>
      </c>
      <c r="D1944" t="s">
        <v>2847</v>
      </c>
      <c r="E1944" t="s">
        <v>2848</v>
      </c>
      <c r="F1944" t="s">
        <v>87</v>
      </c>
      <c r="G1944" t="s">
        <v>4586</v>
      </c>
      <c r="H1944" t="s">
        <v>89</v>
      </c>
      <c r="I1944" t="s">
        <v>90</v>
      </c>
      <c r="J1944" t="s">
        <v>91</v>
      </c>
      <c r="K1944" t="s">
        <v>92</v>
      </c>
      <c r="L1944" t="s">
        <v>4587</v>
      </c>
      <c r="M1944" t="s">
        <v>94</v>
      </c>
      <c r="N1944" t="s">
        <v>4588</v>
      </c>
      <c r="O1944" t="s">
        <v>383</v>
      </c>
      <c r="P1944">
        <v>1E-3</v>
      </c>
      <c r="R1944" t="s">
        <v>4599</v>
      </c>
      <c r="S1944" t="s">
        <v>2854</v>
      </c>
      <c r="V1944" t="s">
        <v>2855</v>
      </c>
      <c r="W1944" t="s">
        <v>2856</v>
      </c>
      <c r="AD1944" t="s">
        <v>4600</v>
      </c>
    </row>
    <row r="1945" spans="1:32" x14ac:dyDescent="0.25">
      <c r="A1945" t="s">
        <v>33</v>
      </c>
      <c r="D1945" t="s">
        <v>2847</v>
      </c>
      <c r="E1945" t="s">
        <v>2848</v>
      </c>
      <c r="F1945" t="s">
        <v>87</v>
      </c>
      <c r="G1945" t="s">
        <v>4586</v>
      </c>
      <c r="H1945" t="s">
        <v>143</v>
      </c>
      <c r="I1945" t="s">
        <v>90</v>
      </c>
      <c r="J1945" t="s">
        <v>145</v>
      </c>
      <c r="K1945" t="s">
        <v>146</v>
      </c>
      <c r="L1945" t="s">
        <v>4587</v>
      </c>
      <c r="M1945" t="s">
        <v>493</v>
      </c>
      <c r="N1945" t="s">
        <v>4588</v>
      </c>
      <c r="O1945" t="s">
        <v>380</v>
      </c>
      <c r="R1945" t="s">
        <v>4601</v>
      </c>
      <c r="S1945" t="s">
        <v>2854</v>
      </c>
      <c r="V1945" t="s">
        <v>2855</v>
      </c>
      <c r="W1945" t="s">
        <v>2856</v>
      </c>
      <c r="AD1945" t="s">
        <v>4602</v>
      </c>
    </row>
    <row r="1946" spans="1:32" x14ac:dyDescent="0.25">
      <c r="A1946" t="s">
        <v>33</v>
      </c>
      <c r="D1946" t="s">
        <v>2847</v>
      </c>
      <c r="E1946" t="s">
        <v>2848</v>
      </c>
      <c r="F1946" t="s">
        <v>87</v>
      </c>
      <c r="G1946" t="s">
        <v>4586</v>
      </c>
      <c r="H1946" t="s">
        <v>143</v>
      </c>
      <c r="I1946" t="s">
        <v>90</v>
      </c>
      <c r="J1946" t="s">
        <v>145</v>
      </c>
      <c r="K1946" t="s">
        <v>262</v>
      </c>
      <c r="L1946" t="s">
        <v>4587</v>
      </c>
      <c r="M1946" t="s">
        <v>493</v>
      </c>
      <c r="N1946" t="s">
        <v>4588</v>
      </c>
      <c r="O1946" t="s">
        <v>380</v>
      </c>
      <c r="R1946" t="s">
        <v>4603</v>
      </c>
      <c r="S1946" t="s">
        <v>2854</v>
      </c>
      <c r="V1946" t="s">
        <v>2855</v>
      </c>
      <c r="W1946" t="s">
        <v>2856</v>
      </c>
      <c r="AD1946" t="s">
        <v>4602</v>
      </c>
    </row>
    <row r="1947" spans="1:32" x14ac:dyDescent="0.25">
      <c r="A1947" t="s">
        <v>33</v>
      </c>
      <c r="D1947" t="s">
        <v>2847</v>
      </c>
      <c r="E1947" t="s">
        <v>2848</v>
      </c>
      <c r="F1947" t="s">
        <v>87</v>
      </c>
      <c r="G1947" t="s">
        <v>4586</v>
      </c>
      <c r="H1947" t="s">
        <v>38</v>
      </c>
      <c r="I1947" t="s">
        <v>106</v>
      </c>
      <c r="J1947" t="s">
        <v>40</v>
      </c>
      <c r="K1947" t="s">
        <v>41</v>
      </c>
      <c r="L1947" t="s">
        <v>4587</v>
      </c>
      <c r="M1947" t="s">
        <v>493</v>
      </c>
      <c r="N1947" t="s">
        <v>4588</v>
      </c>
      <c r="O1947" t="s">
        <v>109</v>
      </c>
      <c r="R1947" t="s">
        <v>4604</v>
      </c>
      <c r="S1947" t="s">
        <v>2854</v>
      </c>
      <c r="V1947" t="s">
        <v>2855</v>
      </c>
      <c r="W1947" t="s">
        <v>2856</v>
      </c>
      <c r="AD1947" t="s">
        <v>4605</v>
      </c>
    </row>
    <row r="1948" spans="1:32" x14ac:dyDescent="0.25">
      <c r="A1948" t="s">
        <v>33</v>
      </c>
      <c r="D1948" t="s">
        <v>2847</v>
      </c>
      <c r="E1948" t="s">
        <v>2848</v>
      </c>
      <c r="F1948" t="s">
        <v>87</v>
      </c>
      <c r="G1948" t="s">
        <v>4586</v>
      </c>
      <c r="H1948" t="s">
        <v>38</v>
      </c>
      <c r="I1948" t="s">
        <v>25</v>
      </c>
      <c r="J1948" t="s">
        <v>69</v>
      </c>
      <c r="K1948" t="s">
        <v>41</v>
      </c>
      <c r="L1948" t="s">
        <v>4587</v>
      </c>
      <c r="M1948" t="s">
        <v>493</v>
      </c>
      <c r="N1948" t="s">
        <v>4588</v>
      </c>
      <c r="O1948" t="s">
        <v>512</v>
      </c>
      <c r="R1948" t="s">
        <v>4033</v>
      </c>
      <c r="S1948" t="s">
        <v>2854</v>
      </c>
      <c r="V1948" t="s">
        <v>2855</v>
      </c>
      <c r="W1948" t="s">
        <v>2856</v>
      </c>
      <c r="AD1948" t="s">
        <v>4606</v>
      </c>
    </row>
    <row r="1949" spans="1:32" x14ac:dyDescent="0.25">
      <c r="A1949" t="s">
        <v>33</v>
      </c>
      <c r="D1949" t="s">
        <v>2847</v>
      </c>
      <c r="E1949" t="s">
        <v>2848</v>
      </c>
      <c r="F1949" t="s">
        <v>87</v>
      </c>
      <c r="G1949" t="s">
        <v>4586</v>
      </c>
      <c r="H1949" t="s">
        <v>38</v>
      </c>
      <c r="I1949" t="s">
        <v>24</v>
      </c>
      <c r="J1949" t="s">
        <v>69</v>
      </c>
      <c r="K1949" t="s">
        <v>41</v>
      </c>
      <c r="L1949" t="s">
        <v>4587</v>
      </c>
      <c r="M1949" t="s">
        <v>493</v>
      </c>
      <c r="N1949" t="s">
        <v>4588</v>
      </c>
      <c r="O1949" t="s">
        <v>509</v>
      </c>
      <c r="R1949" t="s">
        <v>4041</v>
      </c>
      <c r="S1949" t="s">
        <v>2854</v>
      </c>
      <c r="V1949" t="s">
        <v>2855</v>
      </c>
      <c r="W1949" t="s">
        <v>2856</v>
      </c>
      <c r="AD1949" t="s">
        <v>4607</v>
      </c>
    </row>
    <row r="1950" spans="1:32" x14ac:dyDescent="0.25">
      <c r="A1950" t="s">
        <v>33</v>
      </c>
      <c r="D1950" t="s">
        <v>2847</v>
      </c>
      <c r="E1950" t="s">
        <v>2848</v>
      </c>
      <c r="F1950" t="s">
        <v>87</v>
      </c>
      <c r="G1950" t="s">
        <v>4608</v>
      </c>
      <c r="H1950" t="s">
        <v>153</v>
      </c>
      <c r="I1950" t="s">
        <v>144</v>
      </c>
      <c r="J1950" t="s">
        <v>154</v>
      </c>
      <c r="K1950" t="s">
        <v>155</v>
      </c>
      <c r="L1950" t="s">
        <v>4609</v>
      </c>
      <c r="N1950" t="s">
        <v>4610</v>
      </c>
      <c r="O1950" t="s">
        <v>156</v>
      </c>
      <c r="R1950" t="s">
        <v>4611</v>
      </c>
      <c r="S1950" t="s">
        <v>2854</v>
      </c>
      <c r="V1950" t="s">
        <v>2855</v>
      </c>
      <c r="W1950" t="s">
        <v>2856</v>
      </c>
      <c r="AD1950" t="s">
        <v>4612</v>
      </c>
    </row>
    <row r="1951" spans="1:32" x14ac:dyDescent="0.25">
      <c r="A1951" t="s">
        <v>33</v>
      </c>
      <c r="D1951" t="s">
        <v>2847</v>
      </c>
      <c r="E1951" t="s">
        <v>2848</v>
      </c>
      <c r="F1951" t="s">
        <v>87</v>
      </c>
      <c r="G1951" t="s">
        <v>4608</v>
      </c>
      <c r="H1951" t="s">
        <v>89</v>
      </c>
      <c r="I1951" t="s">
        <v>144</v>
      </c>
      <c r="J1951" t="s">
        <v>91</v>
      </c>
      <c r="K1951" t="s">
        <v>92</v>
      </c>
      <c r="L1951" t="s">
        <v>4609</v>
      </c>
      <c r="M1951" t="s">
        <v>94</v>
      </c>
      <c r="N1951" t="s">
        <v>4610</v>
      </c>
      <c r="O1951" t="s">
        <v>150</v>
      </c>
      <c r="P1951">
        <v>1E-3</v>
      </c>
      <c r="R1951" t="s">
        <v>4613</v>
      </c>
      <c r="S1951" t="s">
        <v>2854</v>
      </c>
      <c r="V1951" t="s">
        <v>2855</v>
      </c>
      <c r="W1951" t="s">
        <v>2856</v>
      </c>
      <c r="AD1951" t="s">
        <v>4614</v>
      </c>
    </row>
    <row r="1952" spans="1:32" x14ac:dyDescent="0.25">
      <c r="A1952" t="s">
        <v>33</v>
      </c>
      <c r="D1952" t="s">
        <v>2847</v>
      </c>
      <c r="E1952" t="s">
        <v>2848</v>
      </c>
      <c r="F1952" t="s">
        <v>87</v>
      </c>
      <c r="G1952" t="s">
        <v>4608</v>
      </c>
      <c r="H1952" t="s">
        <v>143</v>
      </c>
      <c r="I1952" t="s">
        <v>144</v>
      </c>
      <c r="J1952" t="s">
        <v>145</v>
      </c>
      <c r="K1952" t="s">
        <v>146</v>
      </c>
      <c r="L1952" t="s">
        <v>4609</v>
      </c>
      <c r="M1952" t="s">
        <v>493</v>
      </c>
      <c r="N1952" t="s">
        <v>4610</v>
      </c>
      <c r="O1952" t="s">
        <v>147</v>
      </c>
      <c r="R1952" t="s">
        <v>4615</v>
      </c>
      <c r="S1952" t="s">
        <v>2854</v>
      </c>
      <c r="V1952" t="s">
        <v>2855</v>
      </c>
      <c r="W1952" t="s">
        <v>2856</v>
      </c>
      <c r="AD1952" t="s">
        <v>4616</v>
      </c>
    </row>
    <row r="1953" spans="1:32" x14ac:dyDescent="0.25">
      <c r="A1953" t="s">
        <v>33</v>
      </c>
      <c r="D1953" t="s">
        <v>2847</v>
      </c>
      <c r="E1953" t="s">
        <v>2848</v>
      </c>
      <c r="F1953" t="s">
        <v>87</v>
      </c>
      <c r="G1953" t="s">
        <v>4608</v>
      </c>
      <c r="H1953" t="s">
        <v>143</v>
      </c>
      <c r="I1953" t="s">
        <v>144</v>
      </c>
      <c r="J1953" t="s">
        <v>145</v>
      </c>
      <c r="K1953" t="s">
        <v>262</v>
      </c>
      <c r="L1953" t="s">
        <v>4609</v>
      </c>
      <c r="M1953" t="s">
        <v>493</v>
      </c>
      <c r="N1953" t="s">
        <v>4610</v>
      </c>
      <c r="O1953" t="s">
        <v>147</v>
      </c>
      <c r="R1953" t="s">
        <v>4617</v>
      </c>
      <c r="S1953" t="s">
        <v>2854</v>
      </c>
      <c r="V1953" t="s">
        <v>2855</v>
      </c>
      <c r="W1953" t="s">
        <v>2856</v>
      </c>
      <c r="AD1953" t="s">
        <v>4616</v>
      </c>
    </row>
    <row r="1954" spans="1:32" x14ac:dyDescent="0.25">
      <c r="A1954" t="s">
        <v>33</v>
      </c>
      <c r="D1954" t="s">
        <v>2847</v>
      </c>
      <c r="E1954" t="s">
        <v>2848</v>
      </c>
      <c r="F1954" t="s">
        <v>87</v>
      </c>
      <c r="G1954" t="s">
        <v>4608</v>
      </c>
      <c r="H1954" t="s">
        <v>153</v>
      </c>
      <c r="I1954" t="s">
        <v>90</v>
      </c>
      <c r="J1954" t="s">
        <v>154</v>
      </c>
      <c r="K1954" t="s">
        <v>155</v>
      </c>
      <c r="L1954" t="s">
        <v>4609</v>
      </c>
      <c r="N1954" t="s">
        <v>4610</v>
      </c>
      <c r="O1954" t="s">
        <v>386</v>
      </c>
      <c r="R1954" t="s">
        <v>4618</v>
      </c>
      <c r="S1954" t="s">
        <v>2854</v>
      </c>
      <c r="V1954" t="s">
        <v>2855</v>
      </c>
      <c r="W1954" t="s">
        <v>2856</v>
      </c>
      <c r="AD1954" t="s">
        <v>4619</v>
      </c>
    </row>
    <row r="1955" spans="1:32" x14ac:dyDescent="0.25">
      <c r="A1955" t="s">
        <v>33</v>
      </c>
      <c r="D1955" t="s">
        <v>2847</v>
      </c>
      <c r="E1955" t="s">
        <v>2848</v>
      </c>
      <c r="F1955" t="s">
        <v>87</v>
      </c>
      <c r="G1955" t="s">
        <v>4608</v>
      </c>
      <c r="H1955" t="s">
        <v>89</v>
      </c>
      <c r="I1955" t="s">
        <v>90</v>
      </c>
      <c r="J1955" t="s">
        <v>91</v>
      </c>
      <c r="K1955" t="s">
        <v>92</v>
      </c>
      <c r="L1955" t="s">
        <v>4609</v>
      </c>
      <c r="M1955" t="s">
        <v>94</v>
      </c>
      <c r="N1955" t="s">
        <v>4610</v>
      </c>
      <c r="O1955" t="s">
        <v>383</v>
      </c>
      <c r="P1955">
        <v>1E-3</v>
      </c>
      <c r="R1955" t="s">
        <v>4620</v>
      </c>
      <c r="S1955" t="s">
        <v>2854</v>
      </c>
      <c r="V1955" t="s">
        <v>2855</v>
      </c>
      <c r="W1955" t="s">
        <v>2856</v>
      </c>
      <c r="AD1955" t="s">
        <v>4621</v>
      </c>
    </row>
    <row r="1956" spans="1:32" x14ac:dyDescent="0.25">
      <c r="A1956" t="s">
        <v>33</v>
      </c>
      <c r="D1956" t="s">
        <v>2847</v>
      </c>
      <c r="E1956" t="s">
        <v>2848</v>
      </c>
      <c r="F1956" t="s">
        <v>87</v>
      </c>
      <c r="G1956" t="s">
        <v>4608</v>
      </c>
      <c r="H1956" t="s">
        <v>143</v>
      </c>
      <c r="I1956" t="s">
        <v>90</v>
      </c>
      <c r="J1956" t="s">
        <v>145</v>
      </c>
      <c r="K1956" t="s">
        <v>146</v>
      </c>
      <c r="L1956" t="s">
        <v>4609</v>
      </c>
      <c r="M1956" t="s">
        <v>493</v>
      </c>
      <c r="N1956" t="s">
        <v>4610</v>
      </c>
      <c r="O1956" t="s">
        <v>380</v>
      </c>
      <c r="R1956" t="s">
        <v>4622</v>
      </c>
      <c r="S1956" t="s">
        <v>2854</v>
      </c>
      <c r="V1956" t="s">
        <v>2855</v>
      </c>
      <c r="W1956" t="s">
        <v>2856</v>
      </c>
      <c r="AD1956" t="s">
        <v>4623</v>
      </c>
    </row>
    <row r="1957" spans="1:32" x14ac:dyDescent="0.25">
      <c r="A1957" t="s">
        <v>33</v>
      </c>
      <c r="D1957" t="s">
        <v>2847</v>
      </c>
      <c r="E1957" t="s">
        <v>2848</v>
      </c>
      <c r="F1957" t="s">
        <v>87</v>
      </c>
      <c r="G1957" t="s">
        <v>4608</v>
      </c>
      <c r="H1957" t="s">
        <v>143</v>
      </c>
      <c r="I1957" t="s">
        <v>90</v>
      </c>
      <c r="J1957" t="s">
        <v>145</v>
      </c>
      <c r="K1957" t="s">
        <v>262</v>
      </c>
      <c r="L1957" t="s">
        <v>4609</v>
      </c>
      <c r="M1957" t="s">
        <v>493</v>
      </c>
      <c r="N1957" t="s">
        <v>4610</v>
      </c>
      <c r="O1957" t="s">
        <v>380</v>
      </c>
      <c r="R1957" t="s">
        <v>4624</v>
      </c>
      <c r="S1957" t="s">
        <v>2854</v>
      </c>
      <c r="V1957" t="s">
        <v>2855</v>
      </c>
      <c r="W1957" t="s">
        <v>2856</v>
      </c>
      <c r="AD1957" t="s">
        <v>4623</v>
      </c>
    </row>
    <row r="1958" spans="1:32" x14ac:dyDescent="0.25">
      <c r="A1958" t="s">
        <v>33</v>
      </c>
      <c r="D1958" t="s">
        <v>2847</v>
      </c>
      <c r="E1958" t="s">
        <v>2848</v>
      </c>
      <c r="F1958" t="s">
        <v>87</v>
      </c>
      <c r="G1958" t="s">
        <v>4608</v>
      </c>
      <c r="H1958" t="s">
        <v>38</v>
      </c>
      <c r="I1958" t="s">
        <v>106</v>
      </c>
      <c r="J1958" t="s">
        <v>40</v>
      </c>
      <c r="K1958" t="s">
        <v>41</v>
      </c>
      <c r="L1958" t="s">
        <v>4609</v>
      </c>
      <c r="M1958" t="s">
        <v>493</v>
      </c>
      <c r="N1958" t="s">
        <v>4610</v>
      </c>
      <c r="O1958" t="s">
        <v>109</v>
      </c>
      <c r="R1958" t="s">
        <v>4625</v>
      </c>
      <c r="S1958" t="s">
        <v>2854</v>
      </c>
      <c r="V1958" t="s">
        <v>2855</v>
      </c>
      <c r="W1958" t="s">
        <v>2856</v>
      </c>
      <c r="AD1958" t="s">
        <v>4626</v>
      </c>
    </row>
    <row r="1959" spans="1:32" x14ac:dyDescent="0.25">
      <c r="A1959" t="s">
        <v>33</v>
      </c>
      <c r="D1959" t="s">
        <v>2847</v>
      </c>
      <c r="E1959" t="s">
        <v>2848</v>
      </c>
      <c r="F1959" t="s">
        <v>87</v>
      </c>
      <c r="G1959" t="s">
        <v>4608</v>
      </c>
      <c r="H1959" t="s">
        <v>38</v>
      </c>
      <c r="I1959" t="s">
        <v>25</v>
      </c>
      <c r="J1959" t="s">
        <v>69</v>
      </c>
      <c r="K1959" t="s">
        <v>41</v>
      </c>
      <c r="L1959" t="s">
        <v>4609</v>
      </c>
      <c r="M1959" t="s">
        <v>493</v>
      </c>
      <c r="N1959" t="s">
        <v>4610</v>
      </c>
      <c r="O1959" t="s">
        <v>512</v>
      </c>
      <c r="R1959" t="s">
        <v>525</v>
      </c>
      <c r="S1959" t="s">
        <v>2854</v>
      </c>
      <c r="V1959" t="s">
        <v>2855</v>
      </c>
      <c r="W1959" t="s">
        <v>2856</v>
      </c>
      <c r="AD1959" t="s">
        <v>4627</v>
      </c>
    </row>
    <row r="1960" spans="1:32" x14ac:dyDescent="0.25">
      <c r="A1960" t="s">
        <v>33</v>
      </c>
      <c r="D1960" t="s">
        <v>2847</v>
      </c>
      <c r="E1960" t="s">
        <v>2848</v>
      </c>
      <c r="F1960" t="s">
        <v>87</v>
      </c>
      <c r="G1960" t="s">
        <v>4608</v>
      </c>
      <c r="H1960" t="s">
        <v>38</v>
      </c>
      <c r="I1960" t="s">
        <v>24</v>
      </c>
      <c r="J1960" t="s">
        <v>69</v>
      </c>
      <c r="K1960" t="s">
        <v>41</v>
      </c>
      <c r="L1960" t="s">
        <v>4609</v>
      </c>
      <c r="M1960" t="s">
        <v>493</v>
      </c>
      <c r="N1960" t="s">
        <v>4610</v>
      </c>
      <c r="O1960" t="s">
        <v>509</v>
      </c>
      <c r="R1960" t="s">
        <v>523</v>
      </c>
      <c r="S1960" t="s">
        <v>2854</v>
      </c>
      <c r="V1960" t="s">
        <v>2855</v>
      </c>
      <c r="W1960" t="s">
        <v>2856</v>
      </c>
      <c r="AD1960" t="s">
        <v>4628</v>
      </c>
    </row>
    <row r="1961" spans="1:32" x14ac:dyDescent="0.25">
      <c r="A1961" t="s">
        <v>33</v>
      </c>
      <c r="D1961" t="s">
        <v>2847</v>
      </c>
      <c r="E1961" t="s">
        <v>2848</v>
      </c>
      <c r="F1961" t="s">
        <v>87</v>
      </c>
      <c r="G1961" t="s">
        <v>4629</v>
      </c>
      <c r="H1961" t="s">
        <v>153</v>
      </c>
      <c r="I1961" t="s">
        <v>144</v>
      </c>
      <c r="J1961" t="s">
        <v>154</v>
      </c>
      <c r="K1961" t="s">
        <v>155</v>
      </c>
      <c r="L1961" t="s">
        <v>4630</v>
      </c>
      <c r="N1961" t="s">
        <v>4631</v>
      </c>
      <c r="O1961" t="s">
        <v>156</v>
      </c>
      <c r="R1961" t="s">
        <v>4632</v>
      </c>
      <c r="S1961" t="s">
        <v>2854</v>
      </c>
      <c r="V1961" t="s">
        <v>2855</v>
      </c>
      <c r="W1961" t="s">
        <v>2856</v>
      </c>
      <c r="AD1961" t="s">
        <v>4633</v>
      </c>
    </row>
    <row r="1962" spans="1:32" x14ac:dyDescent="0.25">
      <c r="A1962" t="s">
        <v>33</v>
      </c>
      <c r="D1962" t="s">
        <v>2847</v>
      </c>
      <c r="E1962" t="s">
        <v>2848</v>
      </c>
      <c r="F1962" t="s">
        <v>87</v>
      </c>
      <c r="G1962" t="s">
        <v>4629</v>
      </c>
      <c r="H1962" t="s">
        <v>89</v>
      </c>
      <c r="I1962" t="s">
        <v>144</v>
      </c>
      <c r="J1962" t="s">
        <v>91</v>
      </c>
      <c r="K1962" t="s">
        <v>92</v>
      </c>
      <c r="L1962" t="s">
        <v>4630</v>
      </c>
      <c r="M1962" t="s">
        <v>94</v>
      </c>
      <c r="N1962" t="s">
        <v>4631</v>
      </c>
      <c r="O1962" t="s">
        <v>150</v>
      </c>
      <c r="P1962">
        <v>1E-3</v>
      </c>
      <c r="R1962" t="s">
        <v>4634</v>
      </c>
      <c r="S1962" t="s">
        <v>2854</v>
      </c>
      <c r="V1962" t="s">
        <v>2855</v>
      </c>
      <c r="W1962" t="s">
        <v>2856</v>
      </c>
      <c r="AD1962" t="s">
        <v>4635</v>
      </c>
    </row>
    <row r="1963" spans="1:32" x14ac:dyDescent="0.25">
      <c r="A1963" t="s">
        <v>33</v>
      </c>
      <c r="D1963" t="s">
        <v>2847</v>
      </c>
      <c r="E1963" t="s">
        <v>2848</v>
      </c>
      <c r="F1963" t="s">
        <v>87</v>
      </c>
      <c r="G1963" t="s">
        <v>4629</v>
      </c>
      <c r="H1963" t="s">
        <v>143</v>
      </c>
      <c r="I1963" t="s">
        <v>144</v>
      </c>
      <c r="J1963" t="s">
        <v>145</v>
      </c>
      <c r="K1963" t="s">
        <v>146</v>
      </c>
      <c r="L1963" t="s">
        <v>4630</v>
      </c>
      <c r="M1963" t="s">
        <v>493</v>
      </c>
      <c r="N1963" t="s">
        <v>4631</v>
      </c>
      <c r="O1963" t="s">
        <v>147</v>
      </c>
      <c r="R1963" t="s">
        <v>4636</v>
      </c>
      <c r="S1963" t="s">
        <v>2854</v>
      </c>
      <c r="V1963" t="s">
        <v>2855</v>
      </c>
      <c r="W1963" t="s">
        <v>2856</v>
      </c>
      <c r="AD1963" t="s">
        <v>4637</v>
      </c>
    </row>
    <row r="1964" spans="1:32" x14ac:dyDescent="0.25">
      <c r="A1964" t="s">
        <v>33</v>
      </c>
      <c r="D1964" t="s">
        <v>2847</v>
      </c>
      <c r="E1964" t="s">
        <v>2848</v>
      </c>
      <c r="F1964" t="s">
        <v>87</v>
      </c>
      <c r="G1964" t="s">
        <v>4629</v>
      </c>
      <c r="H1964" t="s">
        <v>143</v>
      </c>
      <c r="I1964" t="s">
        <v>144</v>
      </c>
      <c r="J1964" t="s">
        <v>145</v>
      </c>
      <c r="K1964" t="s">
        <v>262</v>
      </c>
      <c r="L1964" t="s">
        <v>4630</v>
      </c>
      <c r="M1964" t="s">
        <v>493</v>
      </c>
      <c r="N1964" t="s">
        <v>4631</v>
      </c>
      <c r="O1964" t="s">
        <v>147</v>
      </c>
      <c r="R1964" t="s">
        <v>4638</v>
      </c>
      <c r="S1964" t="s">
        <v>2854</v>
      </c>
      <c r="V1964" t="s">
        <v>2855</v>
      </c>
      <c r="W1964" t="s">
        <v>2856</v>
      </c>
      <c r="AD1964" t="s">
        <v>4637</v>
      </c>
    </row>
    <row r="1965" spans="1:32" x14ac:dyDescent="0.25">
      <c r="A1965" t="s">
        <v>33</v>
      </c>
      <c r="D1965" t="s">
        <v>2847</v>
      </c>
      <c r="E1965" t="s">
        <v>2848</v>
      </c>
      <c r="F1965" t="s">
        <v>87</v>
      </c>
      <c r="G1965" t="s">
        <v>4629</v>
      </c>
      <c r="H1965" t="s">
        <v>153</v>
      </c>
      <c r="I1965" t="s">
        <v>90</v>
      </c>
      <c r="J1965" t="s">
        <v>154</v>
      </c>
      <c r="K1965" t="s">
        <v>155</v>
      </c>
      <c r="L1965" t="s">
        <v>4630</v>
      </c>
      <c r="N1965" t="s">
        <v>4631</v>
      </c>
      <c r="O1965" t="s">
        <v>386</v>
      </c>
      <c r="R1965" t="s">
        <v>4639</v>
      </c>
      <c r="S1965" t="s">
        <v>2854</v>
      </c>
      <c r="V1965" t="s">
        <v>2855</v>
      </c>
      <c r="W1965" t="s">
        <v>2856</v>
      </c>
      <c r="AC1965" t="s">
        <v>4640</v>
      </c>
      <c r="AD1965" t="s">
        <v>4641</v>
      </c>
      <c r="AE1965" t="s">
        <v>3034</v>
      </c>
      <c r="AF1965">
        <v>6</v>
      </c>
    </row>
    <row r="1966" spans="1:32" x14ac:dyDescent="0.25">
      <c r="A1966" t="s">
        <v>33</v>
      </c>
      <c r="D1966" t="s">
        <v>2847</v>
      </c>
      <c r="E1966" t="s">
        <v>2848</v>
      </c>
      <c r="F1966" t="s">
        <v>87</v>
      </c>
      <c r="G1966" t="s">
        <v>4629</v>
      </c>
      <c r="H1966" t="s">
        <v>89</v>
      </c>
      <c r="I1966" t="s">
        <v>90</v>
      </c>
      <c r="J1966" t="s">
        <v>91</v>
      </c>
      <c r="K1966" t="s">
        <v>92</v>
      </c>
      <c r="L1966" t="s">
        <v>4630</v>
      </c>
      <c r="M1966" t="s">
        <v>94</v>
      </c>
      <c r="N1966" t="s">
        <v>4631</v>
      </c>
      <c r="O1966" t="s">
        <v>383</v>
      </c>
      <c r="P1966">
        <v>1E-3</v>
      </c>
      <c r="R1966" t="s">
        <v>4642</v>
      </c>
      <c r="S1966" t="s">
        <v>2854</v>
      </c>
      <c r="V1966" t="s">
        <v>2855</v>
      </c>
      <c r="W1966" t="s">
        <v>2856</v>
      </c>
      <c r="AD1966" t="s">
        <v>4643</v>
      </c>
    </row>
    <row r="1967" spans="1:32" x14ac:dyDescent="0.25">
      <c r="A1967" t="s">
        <v>33</v>
      </c>
      <c r="D1967" t="s">
        <v>2847</v>
      </c>
      <c r="E1967" t="s">
        <v>2848</v>
      </c>
      <c r="F1967" t="s">
        <v>87</v>
      </c>
      <c r="G1967" t="s">
        <v>4629</v>
      </c>
      <c r="H1967" t="s">
        <v>143</v>
      </c>
      <c r="I1967" t="s">
        <v>90</v>
      </c>
      <c r="J1967" t="s">
        <v>145</v>
      </c>
      <c r="K1967" t="s">
        <v>146</v>
      </c>
      <c r="L1967" t="s">
        <v>4630</v>
      </c>
      <c r="M1967" t="s">
        <v>493</v>
      </c>
      <c r="N1967" t="s">
        <v>4631</v>
      </c>
      <c r="O1967" t="s">
        <v>380</v>
      </c>
      <c r="R1967" t="s">
        <v>4644</v>
      </c>
      <c r="S1967" t="s">
        <v>2854</v>
      </c>
      <c r="V1967" t="s">
        <v>2855</v>
      </c>
      <c r="W1967" t="s">
        <v>2856</v>
      </c>
      <c r="AD1967" t="s">
        <v>4645</v>
      </c>
    </row>
    <row r="1968" spans="1:32" x14ac:dyDescent="0.25">
      <c r="A1968" t="s">
        <v>33</v>
      </c>
      <c r="D1968" t="s">
        <v>2847</v>
      </c>
      <c r="E1968" t="s">
        <v>2848</v>
      </c>
      <c r="F1968" t="s">
        <v>87</v>
      </c>
      <c r="G1968" t="s">
        <v>4629</v>
      </c>
      <c r="H1968" t="s">
        <v>143</v>
      </c>
      <c r="I1968" t="s">
        <v>90</v>
      </c>
      <c r="J1968" t="s">
        <v>145</v>
      </c>
      <c r="K1968" t="s">
        <v>262</v>
      </c>
      <c r="L1968" t="s">
        <v>4630</v>
      </c>
      <c r="M1968" t="s">
        <v>493</v>
      </c>
      <c r="N1968" t="s">
        <v>4631</v>
      </c>
      <c r="O1968" t="s">
        <v>380</v>
      </c>
      <c r="R1968" t="s">
        <v>4646</v>
      </c>
      <c r="S1968" t="s">
        <v>2854</v>
      </c>
      <c r="V1968" t="s">
        <v>2855</v>
      </c>
      <c r="W1968" t="s">
        <v>2856</v>
      </c>
      <c r="AD1968" t="s">
        <v>4645</v>
      </c>
    </row>
    <row r="1969" spans="1:30" x14ac:dyDescent="0.25">
      <c r="A1969" t="s">
        <v>33</v>
      </c>
      <c r="D1969" t="s">
        <v>2847</v>
      </c>
      <c r="E1969" t="s">
        <v>2848</v>
      </c>
      <c r="F1969" t="s">
        <v>87</v>
      </c>
      <c r="G1969" t="s">
        <v>4629</v>
      </c>
      <c r="H1969" t="s">
        <v>38</v>
      </c>
      <c r="I1969" t="s">
        <v>106</v>
      </c>
      <c r="J1969" t="s">
        <v>40</v>
      </c>
      <c r="K1969" t="s">
        <v>41</v>
      </c>
      <c r="L1969" t="s">
        <v>4630</v>
      </c>
      <c r="M1969" t="s">
        <v>493</v>
      </c>
      <c r="N1969" t="s">
        <v>4631</v>
      </c>
      <c r="O1969" t="s">
        <v>109</v>
      </c>
      <c r="R1969" t="s">
        <v>4647</v>
      </c>
      <c r="S1969" t="s">
        <v>2854</v>
      </c>
      <c r="V1969" t="s">
        <v>2855</v>
      </c>
      <c r="W1969" t="s">
        <v>2856</v>
      </c>
      <c r="AD1969" t="s">
        <v>4648</v>
      </c>
    </row>
    <row r="1970" spans="1:30" x14ac:dyDescent="0.25">
      <c r="A1970" t="s">
        <v>33</v>
      </c>
      <c r="D1970" t="s">
        <v>2847</v>
      </c>
      <c r="E1970" t="s">
        <v>2848</v>
      </c>
      <c r="F1970" t="s">
        <v>87</v>
      </c>
      <c r="G1970" t="s">
        <v>4629</v>
      </c>
      <c r="H1970" t="s">
        <v>38</v>
      </c>
      <c r="I1970" t="s">
        <v>25</v>
      </c>
      <c r="J1970" t="s">
        <v>69</v>
      </c>
      <c r="K1970" t="s">
        <v>41</v>
      </c>
      <c r="L1970" t="s">
        <v>4630</v>
      </c>
      <c r="M1970" t="s">
        <v>493</v>
      </c>
      <c r="N1970" t="s">
        <v>4631</v>
      </c>
      <c r="O1970" t="s">
        <v>512</v>
      </c>
      <c r="R1970" t="s">
        <v>545</v>
      </c>
      <c r="S1970" t="s">
        <v>2854</v>
      </c>
      <c r="V1970" t="s">
        <v>2855</v>
      </c>
      <c r="W1970" t="s">
        <v>2856</v>
      </c>
      <c r="AD1970" t="s">
        <v>4649</v>
      </c>
    </row>
    <row r="1971" spans="1:30" x14ac:dyDescent="0.25">
      <c r="A1971" t="s">
        <v>33</v>
      </c>
      <c r="D1971" t="s">
        <v>2847</v>
      </c>
      <c r="E1971" t="s">
        <v>2848</v>
      </c>
      <c r="F1971" t="s">
        <v>87</v>
      </c>
      <c r="G1971" t="s">
        <v>4629</v>
      </c>
      <c r="H1971" t="s">
        <v>38</v>
      </c>
      <c r="I1971" t="s">
        <v>24</v>
      </c>
      <c r="J1971" t="s">
        <v>69</v>
      </c>
      <c r="K1971" t="s">
        <v>41</v>
      </c>
      <c r="L1971" t="s">
        <v>4630</v>
      </c>
      <c r="M1971" t="s">
        <v>493</v>
      </c>
      <c r="N1971" t="s">
        <v>4631</v>
      </c>
      <c r="O1971" t="s">
        <v>509</v>
      </c>
      <c r="R1971" t="s">
        <v>543</v>
      </c>
      <c r="S1971" t="s">
        <v>2854</v>
      </c>
      <c r="V1971" t="s">
        <v>2855</v>
      </c>
      <c r="W1971" t="s">
        <v>2856</v>
      </c>
      <c r="AD1971" t="s">
        <v>4650</v>
      </c>
    </row>
    <row r="1972" spans="1:30" x14ac:dyDescent="0.25">
      <c r="A1972" t="s">
        <v>33</v>
      </c>
      <c r="D1972" t="s">
        <v>2847</v>
      </c>
      <c r="E1972" t="s">
        <v>2848</v>
      </c>
      <c r="F1972" t="s">
        <v>87</v>
      </c>
      <c r="G1972" t="s">
        <v>4651</v>
      </c>
      <c r="H1972" t="s">
        <v>153</v>
      </c>
      <c r="I1972" t="s">
        <v>144</v>
      </c>
      <c r="J1972" t="s">
        <v>154</v>
      </c>
      <c r="K1972" t="s">
        <v>155</v>
      </c>
      <c r="L1972" t="s">
        <v>4652</v>
      </c>
      <c r="N1972" t="s">
        <v>4653</v>
      </c>
      <c r="O1972" t="s">
        <v>156</v>
      </c>
      <c r="R1972" t="s">
        <v>4654</v>
      </c>
      <c r="S1972" t="s">
        <v>2854</v>
      </c>
      <c r="V1972" t="s">
        <v>2855</v>
      </c>
      <c r="W1972" t="s">
        <v>2856</v>
      </c>
      <c r="AD1972" t="s">
        <v>4655</v>
      </c>
    </row>
    <row r="1973" spans="1:30" x14ac:dyDescent="0.25">
      <c r="A1973" t="s">
        <v>33</v>
      </c>
      <c r="D1973" t="s">
        <v>2847</v>
      </c>
      <c r="E1973" t="s">
        <v>2848</v>
      </c>
      <c r="F1973" t="s">
        <v>87</v>
      </c>
      <c r="G1973" t="s">
        <v>4651</v>
      </c>
      <c r="H1973" t="s">
        <v>89</v>
      </c>
      <c r="I1973" t="s">
        <v>144</v>
      </c>
      <c r="J1973" t="s">
        <v>91</v>
      </c>
      <c r="K1973" t="s">
        <v>92</v>
      </c>
      <c r="L1973" t="s">
        <v>4652</v>
      </c>
      <c r="M1973" t="s">
        <v>94</v>
      </c>
      <c r="N1973" t="s">
        <v>4653</v>
      </c>
      <c r="O1973" t="s">
        <v>150</v>
      </c>
      <c r="P1973">
        <v>1E-3</v>
      </c>
      <c r="R1973" t="s">
        <v>4656</v>
      </c>
      <c r="S1973" t="s">
        <v>2854</v>
      </c>
      <c r="V1973" t="s">
        <v>2855</v>
      </c>
      <c r="W1973" t="s">
        <v>2856</v>
      </c>
      <c r="AD1973" t="s">
        <v>4657</v>
      </c>
    </row>
    <row r="1974" spans="1:30" x14ac:dyDescent="0.25">
      <c r="A1974" t="s">
        <v>33</v>
      </c>
      <c r="D1974" t="s">
        <v>2847</v>
      </c>
      <c r="E1974" t="s">
        <v>2848</v>
      </c>
      <c r="F1974" t="s">
        <v>87</v>
      </c>
      <c r="G1974" t="s">
        <v>4651</v>
      </c>
      <c r="H1974" t="s">
        <v>143</v>
      </c>
      <c r="I1974" t="s">
        <v>144</v>
      </c>
      <c r="J1974" t="s">
        <v>145</v>
      </c>
      <c r="K1974" t="s">
        <v>146</v>
      </c>
      <c r="L1974" t="s">
        <v>4652</v>
      </c>
      <c r="M1974" t="s">
        <v>493</v>
      </c>
      <c r="N1974" t="s">
        <v>4653</v>
      </c>
      <c r="O1974" t="s">
        <v>147</v>
      </c>
      <c r="R1974" t="s">
        <v>4658</v>
      </c>
      <c r="S1974" t="s">
        <v>2854</v>
      </c>
      <c r="V1974" t="s">
        <v>2855</v>
      </c>
      <c r="W1974" t="s">
        <v>2856</v>
      </c>
      <c r="AD1974" t="s">
        <v>4659</v>
      </c>
    </row>
    <row r="1975" spans="1:30" x14ac:dyDescent="0.25">
      <c r="A1975" t="s">
        <v>33</v>
      </c>
      <c r="D1975" t="s">
        <v>2847</v>
      </c>
      <c r="E1975" t="s">
        <v>2848</v>
      </c>
      <c r="F1975" t="s">
        <v>87</v>
      </c>
      <c r="G1975" t="s">
        <v>4651</v>
      </c>
      <c r="H1975" t="s">
        <v>143</v>
      </c>
      <c r="I1975" t="s">
        <v>144</v>
      </c>
      <c r="J1975" t="s">
        <v>145</v>
      </c>
      <c r="K1975" t="s">
        <v>262</v>
      </c>
      <c r="L1975" t="s">
        <v>4652</v>
      </c>
      <c r="M1975" t="s">
        <v>493</v>
      </c>
      <c r="N1975" t="s">
        <v>4653</v>
      </c>
      <c r="O1975" t="s">
        <v>147</v>
      </c>
      <c r="R1975" t="s">
        <v>4660</v>
      </c>
      <c r="S1975" t="s">
        <v>2854</v>
      </c>
      <c r="V1975" t="s">
        <v>2855</v>
      </c>
      <c r="W1975" t="s">
        <v>2856</v>
      </c>
      <c r="AD1975" t="s">
        <v>4659</v>
      </c>
    </row>
    <row r="1976" spans="1:30" x14ac:dyDescent="0.25">
      <c r="A1976" t="s">
        <v>33</v>
      </c>
      <c r="D1976" t="s">
        <v>2847</v>
      </c>
      <c r="E1976" t="s">
        <v>2848</v>
      </c>
      <c r="F1976" t="s">
        <v>87</v>
      </c>
      <c r="G1976" t="s">
        <v>4651</v>
      </c>
      <c r="H1976" t="s">
        <v>153</v>
      </c>
      <c r="I1976" t="s">
        <v>90</v>
      </c>
      <c r="J1976" t="s">
        <v>154</v>
      </c>
      <c r="K1976" t="s">
        <v>155</v>
      </c>
      <c r="L1976" t="s">
        <v>4652</v>
      </c>
      <c r="N1976" t="s">
        <v>4653</v>
      </c>
      <c r="O1976" t="s">
        <v>386</v>
      </c>
      <c r="R1976" t="s">
        <v>4661</v>
      </c>
      <c r="S1976" t="s">
        <v>2854</v>
      </c>
      <c r="V1976" t="s">
        <v>2855</v>
      </c>
      <c r="W1976" t="s">
        <v>2856</v>
      </c>
      <c r="AD1976" t="s">
        <v>4662</v>
      </c>
    </row>
    <row r="1977" spans="1:30" x14ac:dyDescent="0.25">
      <c r="A1977" t="s">
        <v>33</v>
      </c>
      <c r="D1977" t="s">
        <v>2847</v>
      </c>
      <c r="E1977" t="s">
        <v>2848</v>
      </c>
      <c r="F1977" t="s">
        <v>87</v>
      </c>
      <c r="G1977" t="s">
        <v>4651</v>
      </c>
      <c r="H1977" t="s">
        <v>89</v>
      </c>
      <c r="I1977" t="s">
        <v>90</v>
      </c>
      <c r="J1977" t="s">
        <v>91</v>
      </c>
      <c r="K1977" t="s">
        <v>92</v>
      </c>
      <c r="L1977" t="s">
        <v>4652</v>
      </c>
      <c r="M1977" t="s">
        <v>94</v>
      </c>
      <c r="N1977" t="s">
        <v>4653</v>
      </c>
      <c r="O1977" t="s">
        <v>383</v>
      </c>
      <c r="P1977">
        <v>1E-3</v>
      </c>
      <c r="R1977" t="s">
        <v>4663</v>
      </c>
      <c r="S1977" t="s">
        <v>2854</v>
      </c>
      <c r="V1977" t="s">
        <v>2855</v>
      </c>
      <c r="W1977" t="s">
        <v>2856</v>
      </c>
      <c r="AD1977" t="s">
        <v>4664</v>
      </c>
    </row>
    <row r="1978" spans="1:30" x14ac:dyDescent="0.25">
      <c r="A1978" t="s">
        <v>33</v>
      </c>
      <c r="D1978" t="s">
        <v>2847</v>
      </c>
      <c r="E1978" t="s">
        <v>2848</v>
      </c>
      <c r="F1978" t="s">
        <v>87</v>
      </c>
      <c r="G1978" t="s">
        <v>4651</v>
      </c>
      <c r="H1978" t="s">
        <v>143</v>
      </c>
      <c r="I1978" t="s">
        <v>90</v>
      </c>
      <c r="J1978" t="s">
        <v>145</v>
      </c>
      <c r="K1978" t="s">
        <v>146</v>
      </c>
      <c r="L1978" t="s">
        <v>4652</v>
      </c>
      <c r="M1978" t="s">
        <v>493</v>
      </c>
      <c r="N1978" t="s">
        <v>4653</v>
      </c>
      <c r="O1978" t="s">
        <v>380</v>
      </c>
      <c r="R1978" t="s">
        <v>4665</v>
      </c>
      <c r="S1978" t="s">
        <v>2854</v>
      </c>
      <c r="V1978" t="s">
        <v>2855</v>
      </c>
      <c r="W1978" t="s">
        <v>2856</v>
      </c>
      <c r="AD1978" t="s">
        <v>4666</v>
      </c>
    </row>
    <row r="1979" spans="1:30" x14ac:dyDescent="0.25">
      <c r="A1979" t="s">
        <v>33</v>
      </c>
      <c r="D1979" t="s">
        <v>2847</v>
      </c>
      <c r="E1979" t="s">
        <v>2848</v>
      </c>
      <c r="F1979" t="s">
        <v>87</v>
      </c>
      <c r="G1979" t="s">
        <v>4651</v>
      </c>
      <c r="H1979" t="s">
        <v>143</v>
      </c>
      <c r="I1979" t="s">
        <v>90</v>
      </c>
      <c r="J1979" t="s">
        <v>145</v>
      </c>
      <c r="K1979" t="s">
        <v>262</v>
      </c>
      <c r="L1979" t="s">
        <v>4652</v>
      </c>
      <c r="M1979" t="s">
        <v>493</v>
      </c>
      <c r="N1979" t="s">
        <v>4653</v>
      </c>
      <c r="O1979" t="s">
        <v>380</v>
      </c>
      <c r="R1979" t="s">
        <v>4667</v>
      </c>
      <c r="S1979" t="s">
        <v>2854</v>
      </c>
      <c r="V1979" t="s">
        <v>2855</v>
      </c>
      <c r="W1979" t="s">
        <v>2856</v>
      </c>
      <c r="AD1979" t="s">
        <v>4666</v>
      </c>
    </row>
    <row r="1980" spans="1:30" x14ac:dyDescent="0.25">
      <c r="A1980" t="s">
        <v>33</v>
      </c>
      <c r="D1980" t="s">
        <v>2847</v>
      </c>
      <c r="E1980" t="s">
        <v>2848</v>
      </c>
      <c r="F1980" t="s">
        <v>87</v>
      </c>
      <c r="G1980" t="s">
        <v>4651</v>
      </c>
      <c r="H1980" t="s">
        <v>38</v>
      </c>
      <c r="I1980" t="s">
        <v>106</v>
      </c>
      <c r="J1980" t="s">
        <v>40</v>
      </c>
      <c r="K1980" t="s">
        <v>41</v>
      </c>
      <c r="L1980" t="s">
        <v>4652</v>
      </c>
      <c r="M1980" t="s">
        <v>493</v>
      </c>
      <c r="N1980" t="s">
        <v>4653</v>
      </c>
      <c r="O1980" t="s">
        <v>109</v>
      </c>
      <c r="R1980" t="s">
        <v>4668</v>
      </c>
      <c r="S1980" t="s">
        <v>2854</v>
      </c>
      <c r="V1980" t="s">
        <v>2855</v>
      </c>
      <c r="W1980" t="s">
        <v>2856</v>
      </c>
      <c r="AD1980" t="s">
        <v>4669</v>
      </c>
    </row>
    <row r="1981" spans="1:30" x14ac:dyDescent="0.25">
      <c r="A1981" t="s">
        <v>33</v>
      </c>
      <c r="D1981" t="s">
        <v>2847</v>
      </c>
      <c r="E1981" t="s">
        <v>2848</v>
      </c>
      <c r="F1981" t="s">
        <v>87</v>
      </c>
      <c r="G1981" t="s">
        <v>4651</v>
      </c>
      <c r="H1981" t="s">
        <v>38</v>
      </c>
      <c r="I1981" t="s">
        <v>25</v>
      </c>
      <c r="J1981" t="s">
        <v>69</v>
      </c>
      <c r="K1981" t="s">
        <v>41</v>
      </c>
      <c r="L1981" t="s">
        <v>4652</v>
      </c>
      <c r="M1981" t="s">
        <v>493</v>
      </c>
      <c r="N1981" t="s">
        <v>4653</v>
      </c>
      <c r="O1981" t="s">
        <v>512</v>
      </c>
      <c r="R1981" t="s">
        <v>4046</v>
      </c>
      <c r="S1981" t="s">
        <v>2854</v>
      </c>
      <c r="V1981" t="s">
        <v>2855</v>
      </c>
      <c r="W1981" t="s">
        <v>2856</v>
      </c>
      <c r="AD1981" t="s">
        <v>4670</v>
      </c>
    </row>
    <row r="1982" spans="1:30" x14ac:dyDescent="0.25">
      <c r="A1982" t="s">
        <v>33</v>
      </c>
      <c r="D1982" t="s">
        <v>2847</v>
      </c>
      <c r="E1982" t="s">
        <v>2848</v>
      </c>
      <c r="F1982" t="s">
        <v>87</v>
      </c>
      <c r="G1982" t="s">
        <v>4651</v>
      </c>
      <c r="H1982" t="s">
        <v>38</v>
      </c>
      <c r="I1982" t="s">
        <v>24</v>
      </c>
      <c r="J1982" t="s">
        <v>69</v>
      </c>
      <c r="K1982" t="s">
        <v>41</v>
      </c>
      <c r="L1982" t="s">
        <v>4652</v>
      </c>
      <c r="M1982" t="s">
        <v>493</v>
      </c>
      <c r="N1982" t="s">
        <v>4653</v>
      </c>
      <c r="O1982" t="s">
        <v>509</v>
      </c>
      <c r="R1982" t="s">
        <v>4053</v>
      </c>
      <c r="S1982" t="s">
        <v>2854</v>
      </c>
      <c r="V1982" t="s">
        <v>2855</v>
      </c>
      <c r="W1982" t="s">
        <v>2856</v>
      </c>
      <c r="AD1982" t="s">
        <v>4671</v>
      </c>
    </row>
    <row r="1983" spans="1:30" x14ac:dyDescent="0.25">
      <c r="A1983" t="s">
        <v>33</v>
      </c>
      <c r="D1983" t="s">
        <v>2847</v>
      </c>
      <c r="E1983" t="s">
        <v>2848</v>
      </c>
      <c r="F1983" t="s">
        <v>87</v>
      </c>
      <c r="G1983" t="s">
        <v>4672</v>
      </c>
      <c r="H1983" t="s">
        <v>153</v>
      </c>
      <c r="I1983" t="s">
        <v>144</v>
      </c>
      <c r="J1983" t="s">
        <v>154</v>
      </c>
      <c r="K1983" t="s">
        <v>155</v>
      </c>
      <c r="L1983" t="s">
        <v>4673</v>
      </c>
      <c r="N1983" t="s">
        <v>4674</v>
      </c>
      <c r="O1983" t="s">
        <v>156</v>
      </c>
      <c r="R1983" t="s">
        <v>4675</v>
      </c>
      <c r="S1983" t="s">
        <v>2854</v>
      </c>
      <c r="V1983" t="s">
        <v>2855</v>
      </c>
      <c r="W1983" t="s">
        <v>2856</v>
      </c>
      <c r="AD1983" t="s">
        <v>4676</v>
      </c>
    </row>
    <row r="1984" spans="1:30" x14ac:dyDescent="0.25">
      <c r="A1984" t="s">
        <v>33</v>
      </c>
      <c r="D1984" t="s">
        <v>2847</v>
      </c>
      <c r="E1984" t="s">
        <v>2848</v>
      </c>
      <c r="F1984" t="s">
        <v>87</v>
      </c>
      <c r="G1984" t="s">
        <v>4672</v>
      </c>
      <c r="H1984" t="s">
        <v>89</v>
      </c>
      <c r="I1984" t="s">
        <v>144</v>
      </c>
      <c r="J1984" t="s">
        <v>91</v>
      </c>
      <c r="K1984" t="s">
        <v>92</v>
      </c>
      <c r="L1984" t="s">
        <v>4673</v>
      </c>
      <c r="M1984" t="s">
        <v>94</v>
      </c>
      <c r="N1984" t="s">
        <v>4674</v>
      </c>
      <c r="O1984" t="s">
        <v>150</v>
      </c>
      <c r="P1984">
        <v>1E-3</v>
      </c>
      <c r="R1984" t="s">
        <v>4677</v>
      </c>
      <c r="S1984" t="s">
        <v>2854</v>
      </c>
      <c r="V1984" t="s">
        <v>2855</v>
      </c>
      <c r="W1984" t="s">
        <v>2856</v>
      </c>
      <c r="AD1984" t="s">
        <v>4678</v>
      </c>
    </row>
    <row r="1985" spans="1:32" x14ac:dyDescent="0.25">
      <c r="A1985" t="s">
        <v>33</v>
      </c>
      <c r="D1985" t="s">
        <v>2847</v>
      </c>
      <c r="E1985" t="s">
        <v>2848</v>
      </c>
      <c r="F1985" t="s">
        <v>87</v>
      </c>
      <c r="G1985" t="s">
        <v>4672</v>
      </c>
      <c r="H1985" t="s">
        <v>143</v>
      </c>
      <c r="I1985" t="s">
        <v>144</v>
      </c>
      <c r="J1985" t="s">
        <v>145</v>
      </c>
      <c r="K1985" t="s">
        <v>146</v>
      </c>
      <c r="L1985" t="s">
        <v>4673</v>
      </c>
      <c r="M1985" t="s">
        <v>493</v>
      </c>
      <c r="N1985" t="s">
        <v>4674</v>
      </c>
      <c r="O1985" t="s">
        <v>147</v>
      </c>
      <c r="R1985" t="s">
        <v>4679</v>
      </c>
      <c r="S1985" t="s">
        <v>2854</v>
      </c>
      <c r="V1985" t="s">
        <v>2855</v>
      </c>
      <c r="W1985" t="s">
        <v>2856</v>
      </c>
      <c r="AD1985" t="s">
        <v>4680</v>
      </c>
    </row>
    <row r="1986" spans="1:32" x14ac:dyDescent="0.25">
      <c r="A1986" t="s">
        <v>33</v>
      </c>
      <c r="D1986" t="s">
        <v>2847</v>
      </c>
      <c r="E1986" t="s">
        <v>2859</v>
      </c>
      <c r="F1986" t="s">
        <v>87</v>
      </c>
      <c r="G1986" t="s">
        <v>4187</v>
      </c>
      <c r="H1986" t="s">
        <v>153</v>
      </c>
      <c r="I1986" t="s">
        <v>90</v>
      </c>
      <c r="J1986" t="s">
        <v>154</v>
      </c>
      <c r="K1986" t="s">
        <v>155</v>
      </c>
      <c r="L1986" t="s">
        <v>4188</v>
      </c>
      <c r="N1986" t="s">
        <v>4189</v>
      </c>
      <c r="O1986" t="s">
        <v>213</v>
      </c>
      <c r="R1986" t="s">
        <v>4681</v>
      </c>
      <c r="S1986" t="s">
        <v>2864</v>
      </c>
      <c r="V1986" t="s">
        <v>2855</v>
      </c>
      <c r="W1986" t="s">
        <v>2865</v>
      </c>
      <c r="AC1986" t="s">
        <v>4682</v>
      </c>
      <c r="AD1986" t="s">
        <v>4683</v>
      </c>
      <c r="AE1986" t="s">
        <v>2890</v>
      </c>
      <c r="AF1986">
        <v>6</v>
      </c>
    </row>
    <row r="1987" spans="1:32" x14ac:dyDescent="0.25">
      <c r="A1987" t="s">
        <v>33</v>
      </c>
      <c r="D1987" t="s">
        <v>2847</v>
      </c>
      <c r="E1987" t="s">
        <v>2859</v>
      </c>
      <c r="F1987" t="s">
        <v>87</v>
      </c>
      <c r="G1987" t="s">
        <v>4187</v>
      </c>
      <c r="H1987" t="s">
        <v>89</v>
      </c>
      <c r="I1987" t="s">
        <v>90</v>
      </c>
      <c r="J1987" t="s">
        <v>91</v>
      </c>
      <c r="K1987" t="s">
        <v>92</v>
      </c>
      <c r="L1987" t="s">
        <v>4188</v>
      </c>
      <c r="M1987" t="s">
        <v>94</v>
      </c>
      <c r="N1987" t="s">
        <v>4189</v>
      </c>
      <c r="O1987" t="s">
        <v>96</v>
      </c>
      <c r="P1987">
        <v>1E-3</v>
      </c>
      <c r="R1987" t="s">
        <v>4681</v>
      </c>
      <c r="S1987" t="s">
        <v>2864</v>
      </c>
      <c r="V1987" t="s">
        <v>2855</v>
      </c>
      <c r="W1987" t="s">
        <v>2865</v>
      </c>
      <c r="AD1987" t="s">
        <v>4684</v>
      </c>
    </row>
    <row r="1988" spans="1:32" x14ac:dyDescent="0.25">
      <c r="A1988" t="s">
        <v>33</v>
      </c>
      <c r="D1988" t="s">
        <v>2847</v>
      </c>
      <c r="E1988" t="s">
        <v>2859</v>
      </c>
      <c r="F1988" t="s">
        <v>87</v>
      </c>
      <c r="G1988" t="s">
        <v>4306</v>
      </c>
      <c r="H1988" t="s">
        <v>153</v>
      </c>
      <c r="I1988" t="s">
        <v>100</v>
      </c>
      <c r="J1988" t="s">
        <v>154</v>
      </c>
      <c r="K1988" t="s">
        <v>155</v>
      </c>
      <c r="L1988" t="s">
        <v>4307</v>
      </c>
      <c r="N1988" t="s">
        <v>4308</v>
      </c>
      <c r="O1988" t="s">
        <v>213</v>
      </c>
      <c r="R1988" t="s">
        <v>4681</v>
      </c>
      <c r="S1988" t="s">
        <v>2864</v>
      </c>
      <c r="V1988" t="s">
        <v>2855</v>
      </c>
      <c r="W1988" t="s">
        <v>2865</v>
      </c>
      <c r="AD1988" t="s">
        <v>4685</v>
      </c>
    </row>
    <row r="1989" spans="1:32" x14ac:dyDescent="0.25">
      <c r="A1989" t="s">
        <v>33</v>
      </c>
      <c r="D1989" t="s">
        <v>2847</v>
      </c>
      <c r="E1989" t="s">
        <v>2893</v>
      </c>
      <c r="F1989" t="s">
        <v>87</v>
      </c>
      <c r="G1989" t="s">
        <v>2916</v>
      </c>
      <c r="H1989" t="s">
        <v>166</v>
      </c>
      <c r="I1989" t="s">
        <v>216</v>
      </c>
      <c r="J1989" t="s">
        <v>167</v>
      </c>
      <c r="K1989" t="s">
        <v>41</v>
      </c>
      <c r="L1989" t="s">
        <v>2917</v>
      </c>
      <c r="N1989" t="s">
        <v>2918</v>
      </c>
      <c r="O1989" t="s">
        <v>217</v>
      </c>
      <c r="Q1989" t="s">
        <v>4686</v>
      </c>
      <c r="R1989" t="s">
        <v>4687</v>
      </c>
      <c r="S1989" t="s">
        <v>2864</v>
      </c>
      <c r="V1989" t="s">
        <v>2855</v>
      </c>
      <c r="W1989" t="s">
        <v>2898</v>
      </c>
      <c r="AD1989" t="s">
        <v>4688</v>
      </c>
    </row>
    <row r="1990" spans="1:32" x14ac:dyDescent="0.25">
      <c r="A1990" t="s">
        <v>33</v>
      </c>
      <c r="D1990" t="s">
        <v>2847</v>
      </c>
      <c r="E1990" t="s">
        <v>2848</v>
      </c>
      <c r="F1990" t="s">
        <v>87</v>
      </c>
      <c r="G1990" t="s">
        <v>3986</v>
      </c>
      <c r="H1990" t="s">
        <v>153</v>
      </c>
      <c r="I1990" t="s">
        <v>144</v>
      </c>
      <c r="J1990" t="s">
        <v>154</v>
      </c>
      <c r="K1990" t="s">
        <v>155</v>
      </c>
      <c r="L1990" t="s">
        <v>3987</v>
      </c>
      <c r="N1990" t="s">
        <v>3988</v>
      </c>
      <c r="O1990" t="s">
        <v>156</v>
      </c>
      <c r="R1990" t="s">
        <v>4689</v>
      </c>
      <c r="S1990" t="s">
        <v>2882</v>
      </c>
      <c r="V1990" t="s">
        <v>2855</v>
      </c>
      <c r="W1990" t="s">
        <v>2856</v>
      </c>
      <c r="AD1990" t="s">
        <v>4690</v>
      </c>
    </row>
    <row r="1991" spans="1:32" x14ac:dyDescent="0.25">
      <c r="A1991" t="s">
        <v>33</v>
      </c>
      <c r="D1991" t="s">
        <v>2847</v>
      </c>
      <c r="E1991" t="s">
        <v>2848</v>
      </c>
      <c r="F1991" t="s">
        <v>87</v>
      </c>
      <c r="G1991" t="s">
        <v>3986</v>
      </c>
      <c r="H1991" t="s">
        <v>153</v>
      </c>
      <c r="I1991" t="s">
        <v>90</v>
      </c>
      <c r="J1991" t="s">
        <v>154</v>
      </c>
      <c r="K1991" t="s">
        <v>155</v>
      </c>
      <c r="L1991" t="s">
        <v>3987</v>
      </c>
      <c r="N1991" t="s">
        <v>3988</v>
      </c>
      <c r="O1991" t="s">
        <v>386</v>
      </c>
      <c r="R1991" t="s">
        <v>4691</v>
      </c>
      <c r="S1991" t="s">
        <v>2882</v>
      </c>
      <c r="V1991" t="s">
        <v>2855</v>
      </c>
      <c r="W1991" t="s">
        <v>2856</v>
      </c>
      <c r="AD1991" t="s">
        <v>4692</v>
      </c>
    </row>
    <row r="1992" spans="1:32" x14ac:dyDescent="0.25">
      <c r="A1992" t="s">
        <v>33</v>
      </c>
      <c r="D1992" t="s">
        <v>2847</v>
      </c>
      <c r="E1992" t="s">
        <v>2848</v>
      </c>
      <c r="F1992" t="s">
        <v>87</v>
      </c>
      <c r="G1992" t="s">
        <v>3986</v>
      </c>
      <c r="H1992" t="s">
        <v>143</v>
      </c>
      <c r="I1992" t="s">
        <v>90</v>
      </c>
      <c r="J1992" t="s">
        <v>145</v>
      </c>
      <c r="K1992" t="s">
        <v>262</v>
      </c>
      <c r="L1992" t="s">
        <v>3987</v>
      </c>
      <c r="M1992" t="s">
        <v>252</v>
      </c>
      <c r="N1992" t="s">
        <v>3988</v>
      </c>
      <c r="O1992" t="s">
        <v>380</v>
      </c>
      <c r="R1992" t="s">
        <v>4693</v>
      </c>
      <c r="S1992" t="s">
        <v>2882</v>
      </c>
      <c r="V1992" t="s">
        <v>2855</v>
      </c>
      <c r="W1992" t="s">
        <v>2856</v>
      </c>
      <c r="AD1992" t="s">
        <v>4694</v>
      </c>
    </row>
    <row r="1993" spans="1:32" x14ac:dyDescent="0.25">
      <c r="A1993" t="s">
        <v>33</v>
      </c>
      <c r="D1993" t="s">
        <v>2847</v>
      </c>
      <c r="E1993" t="s">
        <v>2848</v>
      </c>
      <c r="F1993" t="s">
        <v>87</v>
      </c>
      <c r="G1993" t="s">
        <v>3986</v>
      </c>
      <c r="H1993" t="s">
        <v>89</v>
      </c>
      <c r="I1993" t="s">
        <v>90</v>
      </c>
      <c r="J1993" t="s">
        <v>91</v>
      </c>
      <c r="K1993" t="s">
        <v>92</v>
      </c>
      <c r="L1993" t="s">
        <v>3987</v>
      </c>
      <c r="M1993" t="s">
        <v>94</v>
      </c>
      <c r="N1993" t="s">
        <v>3988</v>
      </c>
      <c r="O1993" t="s">
        <v>383</v>
      </c>
      <c r="P1993">
        <v>1E-3</v>
      </c>
      <c r="R1993" t="s">
        <v>4695</v>
      </c>
      <c r="S1993" t="s">
        <v>2882</v>
      </c>
      <c r="V1993" t="s">
        <v>2855</v>
      </c>
      <c r="W1993" t="s">
        <v>2856</v>
      </c>
      <c r="AD1993" t="s">
        <v>4696</v>
      </c>
    </row>
    <row r="1994" spans="1:32" x14ac:dyDescent="0.25">
      <c r="A1994" t="s">
        <v>33</v>
      </c>
      <c r="D1994" t="s">
        <v>2847</v>
      </c>
      <c r="E1994" t="s">
        <v>2848</v>
      </c>
      <c r="F1994" t="s">
        <v>87</v>
      </c>
      <c r="G1994" t="s">
        <v>3986</v>
      </c>
      <c r="H1994" t="s">
        <v>143</v>
      </c>
      <c r="I1994" t="s">
        <v>144</v>
      </c>
      <c r="J1994" t="s">
        <v>145</v>
      </c>
      <c r="K1994" t="s">
        <v>262</v>
      </c>
      <c r="L1994" t="s">
        <v>3987</v>
      </c>
      <c r="M1994" t="s">
        <v>252</v>
      </c>
      <c r="N1994" t="s">
        <v>3988</v>
      </c>
      <c r="O1994" t="s">
        <v>147</v>
      </c>
      <c r="R1994" t="s">
        <v>4697</v>
      </c>
      <c r="S1994" t="s">
        <v>2882</v>
      </c>
      <c r="V1994" t="s">
        <v>2855</v>
      </c>
      <c r="W1994" t="s">
        <v>2856</v>
      </c>
      <c r="AD1994" t="s">
        <v>4698</v>
      </c>
    </row>
    <row r="1995" spans="1:32" x14ac:dyDescent="0.25">
      <c r="A1995" t="s">
        <v>33</v>
      </c>
      <c r="D1995" t="s">
        <v>2847</v>
      </c>
      <c r="E1995" t="s">
        <v>2848</v>
      </c>
      <c r="F1995" t="s">
        <v>87</v>
      </c>
      <c r="G1995" t="s">
        <v>3986</v>
      </c>
      <c r="H1995" t="s">
        <v>89</v>
      </c>
      <c r="I1995" t="s">
        <v>144</v>
      </c>
      <c r="J1995" t="s">
        <v>91</v>
      </c>
      <c r="K1995" t="s">
        <v>92</v>
      </c>
      <c r="L1995" t="s">
        <v>3987</v>
      </c>
      <c r="M1995" t="s">
        <v>94</v>
      </c>
      <c r="N1995" t="s">
        <v>3988</v>
      </c>
      <c r="O1995" t="s">
        <v>150</v>
      </c>
      <c r="P1995">
        <v>1E-3</v>
      </c>
      <c r="R1995" t="s">
        <v>4699</v>
      </c>
      <c r="S1995" t="s">
        <v>2882</v>
      </c>
      <c r="V1995" t="s">
        <v>2855</v>
      </c>
      <c r="W1995" t="s">
        <v>2856</v>
      </c>
      <c r="AD1995" t="s">
        <v>4700</v>
      </c>
    </row>
    <row r="1996" spans="1:32" x14ac:dyDescent="0.25">
      <c r="A1996" t="s">
        <v>33</v>
      </c>
      <c r="D1996" t="s">
        <v>2847</v>
      </c>
      <c r="E1996" t="s">
        <v>2848</v>
      </c>
      <c r="F1996" t="s">
        <v>87</v>
      </c>
      <c r="G1996" t="s">
        <v>3986</v>
      </c>
      <c r="H1996" t="s">
        <v>153</v>
      </c>
      <c r="I1996" t="s">
        <v>180</v>
      </c>
      <c r="J1996" t="s">
        <v>154</v>
      </c>
      <c r="K1996" t="s">
        <v>155</v>
      </c>
      <c r="L1996" t="s">
        <v>3987</v>
      </c>
      <c r="N1996" t="s">
        <v>3988</v>
      </c>
      <c r="O1996" t="s">
        <v>187</v>
      </c>
      <c r="R1996" t="s">
        <v>4701</v>
      </c>
      <c r="S1996" t="s">
        <v>2882</v>
      </c>
      <c r="V1996" t="s">
        <v>2855</v>
      </c>
      <c r="W1996" t="s">
        <v>2856</v>
      </c>
      <c r="AD1996" t="s">
        <v>4702</v>
      </c>
    </row>
    <row r="1997" spans="1:32" x14ac:dyDescent="0.25">
      <c r="A1997" t="s">
        <v>33</v>
      </c>
      <c r="D1997" t="s">
        <v>2847</v>
      </c>
      <c r="E1997" t="s">
        <v>2848</v>
      </c>
      <c r="F1997" t="s">
        <v>87</v>
      </c>
      <c r="G1997" t="s">
        <v>3986</v>
      </c>
      <c r="H1997" t="s">
        <v>153</v>
      </c>
      <c r="I1997" t="s">
        <v>100</v>
      </c>
      <c r="J1997" t="s">
        <v>154</v>
      </c>
      <c r="K1997" t="s">
        <v>155</v>
      </c>
      <c r="L1997" t="s">
        <v>3987</v>
      </c>
      <c r="N1997" t="s">
        <v>3988</v>
      </c>
      <c r="O1997" t="s">
        <v>448</v>
      </c>
      <c r="R1997" t="s">
        <v>4703</v>
      </c>
      <c r="S1997" t="s">
        <v>2882</v>
      </c>
      <c r="V1997" t="s">
        <v>2855</v>
      </c>
      <c r="W1997" t="s">
        <v>2856</v>
      </c>
      <c r="AD1997" t="s">
        <v>4704</v>
      </c>
    </row>
    <row r="1998" spans="1:32" x14ac:dyDescent="0.25">
      <c r="A1998" t="s">
        <v>33</v>
      </c>
      <c r="D1998" t="s">
        <v>2847</v>
      </c>
      <c r="E1998" t="s">
        <v>2848</v>
      </c>
      <c r="F1998" t="s">
        <v>87</v>
      </c>
      <c r="G1998" t="s">
        <v>3986</v>
      </c>
      <c r="H1998" t="s">
        <v>143</v>
      </c>
      <c r="I1998" t="s">
        <v>100</v>
      </c>
      <c r="J1998" t="s">
        <v>145</v>
      </c>
      <c r="K1998" t="s">
        <v>262</v>
      </c>
      <c r="L1998" t="s">
        <v>3987</v>
      </c>
      <c r="M1998" t="s">
        <v>252</v>
      </c>
      <c r="N1998" t="s">
        <v>3988</v>
      </c>
      <c r="O1998" t="s">
        <v>442</v>
      </c>
      <c r="R1998" t="s">
        <v>4705</v>
      </c>
      <c r="S1998" t="s">
        <v>2882</v>
      </c>
      <c r="V1998" t="s">
        <v>2855</v>
      </c>
      <c r="W1998" t="s">
        <v>2856</v>
      </c>
      <c r="AD1998" t="s">
        <v>4706</v>
      </c>
    </row>
    <row r="1999" spans="1:32" x14ac:dyDescent="0.25">
      <c r="A1999" t="s">
        <v>33</v>
      </c>
      <c r="D1999" t="s">
        <v>2847</v>
      </c>
      <c r="E1999" t="s">
        <v>2848</v>
      </c>
      <c r="F1999" t="s">
        <v>87</v>
      </c>
      <c r="G1999" t="s">
        <v>3986</v>
      </c>
      <c r="H1999" t="s">
        <v>89</v>
      </c>
      <c r="I1999" t="s">
        <v>100</v>
      </c>
      <c r="J1999" t="s">
        <v>91</v>
      </c>
      <c r="K1999" t="s">
        <v>92</v>
      </c>
      <c r="L1999" t="s">
        <v>3987</v>
      </c>
      <c r="M1999" t="s">
        <v>94</v>
      </c>
      <c r="N1999" t="s">
        <v>3988</v>
      </c>
      <c r="O1999" t="s">
        <v>445</v>
      </c>
      <c r="P1999">
        <v>1E-3</v>
      </c>
      <c r="R1999" t="s">
        <v>4707</v>
      </c>
      <c r="S1999" t="s">
        <v>2882</v>
      </c>
      <c r="V1999" t="s">
        <v>2855</v>
      </c>
      <c r="W1999" t="s">
        <v>2856</v>
      </c>
      <c r="AD1999" t="s">
        <v>4708</v>
      </c>
    </row>
    <row r="2000" spans="1:32" x14ac:dyDescent="0.25">
      <c r="A2000" t="s">
        <v>33</v>
      </c>
      <c r="D2000" t="s">
        <v>2847</v>
      </c>
      <c r="E2000" t="s">
        <v>2848</v>
      </c>
      <c r="F2000" t="s">
        <v>87</v>
      </c>
      <c r="G2000" t="s">
        <v>3986</v>
      </c>
      <c r="H2000" t="s">
        <v>143</v>
      </c>
      <c r="I2000" t="s">
        <v>180</v>
      </c>
      <c r="J2000" t="s">
        <v>145</v>
      </c>
      <c r="K2000" t="s">
        <v>262</v>
      </c>
      <c r="L2000" t="s">
        <v>3987</v>
      </c>
      <c r="M2000" t="s">
        <v>252</v>
      </c>
      <c r="N2000" t="s">
        <v>3988</v>
      </c>
      <c r="O2000" t="s">
        <v>181</v>
      </c>
      <c r="R2000" t="s">
        <v>4709</v>
      </c>
      <c r="S2000" t="s">
        <v>2882</v>
      </c>
      <c r="V2000" t="s">
        <v>2855</v>
      </c>
      <c r="W2000" t="s">
        <v>2856</v>
      </c>
      <c r="AD2000" t="s">
        <v>4710</v>
      </c>
    </row>
    <row r="2001" spans="1:30" x14ac:dyDescent="0.25">
      <c r="A2001" t="s">
        <v>33</v>
      </c>
      <c r="D2001" t="s">
        <v>2847</v>
      </c>
      <c r="E2001" t="s">
        <v>2848</v>
      </c>
      <c r="F2001" t="s">
        <v>87</v>
      </c>
      <c r="G2001" t="s">
        <v>3986</v>
      </c>
      <c r="H2001" t="s">
        <v>89</v>
      </c>
      <c r="I2001" t="s">
        <v>180</v>
      </c>
      <c r="J2001" t="s">
        <v>91</v>
      </c>
      <c r="K2001" t="s">
        <v>92</v>
      </c>
      <c r="L2001" t="s">
        <v>3987</v>
      </c>
      <c r="M2001" t="s">
        <v>94</v>
      </c>
      <c r="N2001" t="s">
        <v>3988</v>
      </c>
      <c r="O2001" t="s">
        <v>184</v>
      </c>
      <c r="P2001">
        <v>1E-3</v>
      </c>
      <c r="R2001" t="s">
        <v>4711</v>
      </c>
      <c r="S2001" t="s">
        <v>2882</v>
      </c>
      <c r="V2001" t="s">
        <v>2855</v>
      </c>
      <c r="W2001" t="s">
        <v>2856</v>
      </c>
      <c r="AD2001" t="s">
        <v>4712</v>
      </c>
    </row>
    <row r="2002" spans="1:30" x14ac:dyDescent="0.25">
      <c r="A2002" t="s">
        <v>33</v>
      </c>
      <c r="D2002" t="s">
        <v>2847</v>
      </c>
      <c r="E2002" t="s">
        <v>2848</v>
      </c>
      <c r="F2002" t="s">
        <v>87</v>
      </c>
      <c r="G2002" t="s">
        <v>3986</v>
      </c>
      <c r="H2002" t="s">
        <v>38</v>
      </c>
      <c r="I2002" t="s">
        <v>106</v>
      </c>
      <c r="J2002" t="s">
        <v>40</v>
      </c>
      <c r="K2002" t="s">
        <v>41</v>
      </c>
      <c r="L2002" t="s">
        <v>3987</v>
      </c>
      <c r="M2002" t="s">
        <v>252</v>
      </c>
      <c r="N2002" t="s">
        <v>3988</v>
      </c>
      <c r="O2002" t="s">
        <v>109</v>
      </c>
      <c r="R2002" t="s">
        <v>4713</v>
      </c>
      <c r="S2002" t="s">
        <v>2882</v>
      </c>
      <c r="V2002" t="s">
        <v>2855</v>
      </c>
      <c r="W2002" t="s">
        <v>2856</v>
      </c>
      <c r="AD2002" t="s">
        <v>4714</v>
      </c>
    </row>
    <row r="2003" spans="1:30" x14ac:dyDescent="0.25">
      <c r="A2003" t="s">
        <v>33</v>
      </c>
      <c r="D2003" t="s">
        <v>2847</v>
      </c>
      <c r="E2003" t="s">
        <v>2848</v>
      </c>
      <c r="F2003" t="s">
        <v>87</v>
      </c>
      <c r="G2003" t="s">
        <v>4003</v>
      </c>
      <c r="H2003" t="s">
        <v>153</v>
      </c>
      <c r="I2003" t="s">
        <v>144</v>
      </c>
      <c r="J2003" t="s">
        <v>154</v>
      </c>
      <c r="K2003" t="s">
        <v>155</v>
      </c>
      <c r="L2003" t="s">
        <v>4004</v>
      </c>
      <c r="N2003" t="s">
        <v>4005</v>
      </c>
      <c r="O2003" t="s">
        <v>156</v>
      </c>
      <c r="R2003" t="s">
        <v>4715</v>
      </c>
      <c r="S2003" t="s">
        <v>2882</v>
      </c>
      <c r="V2003" t="s">
        <v>2855</v>
      </c>
      <c r="W2003" t="s">
        <v>2856</v>
      </c>
      <c r="AD2003" t="s">
        <v>4716</v>
      </c>
    </row>
    <row r="2004" spans="1:30" x14ac:dyDescent="0.25">
      <c r="A2004" t="s">
        <v>33</v>
      </c>
      <c r="D2004" t="s">
        <v>2847</v>
      </c>
      <c r="E2004" t="s">
        <v>2848</v>
      </c>
      <c r="F2004" t="s">
        <v>87</v>
      </c>
      <c r="G2004" t="s">
        <v>4003</v>
      </c>
      <c r="H2004" t="s">
        <v>153</v>
      </c>
      <c r="I2004" t="s">
        <v>90</v>
      </c>
      <c r="J2004" t="s">
        <v>154</v>
      </c>
      <c r="K2004" t="s">
        <v>155</v>
      </c>
      <c r="L2004" t="s">
        <v>4004</v>
      </c>
      <c r="N2004" t="s">
        <v>4005</v>
      </c>
      <c r="O2004" t="s">
        <v>386</v>
      </c>
      <c r="R2004" t="s">
        <v>4717</v>
      </c>
      <c r="S2004" t="s">
        <v>2882</v>
      </c>
      <c r="V2004" t="s">
        <v>2855</v>
      </c>
      <c r="W2004" t="s">
        <v>2856</v>
      </c>
      <c r="AD2004" t="s">
        <v>4718</v>
      </c>
    </row>
    <row r="2005" spans="1:30" x14ac:dyDescent="0.25">
      <c r="A2005" t="s">
        <v>33</v>
      </c>
      <c r="D2005" t="s">
        <v>2847</v>
      </c>
      <c r="E2005" t="s">
        <v>2848</v>
      </c>
      <c r="F2005" t="s">
        <v>87</v>
      </c>
      <c r="G2005" t="s">
        <v>4003</v>
      </c>
      <c r="H2005" t="s">
        <v>143</v>
      </c>
      <c r="I2005" t="s">
        <v>90</v>
      </c>
      <c r="J2005" t="s">
        <v>145</v>
      </c>
      <c r="K2005" t="s">
        <v>262</v>
      </c>
      <c r="L2005" t="s">
        <v>4004</v>
      </c>
      <c r="M2005" t="s">
        <v>252</v>
      </c>
      <c r="N2005" t="s">
        <v>4005</v>
      </c>
      <c r="O2005" t="s">
        <v>380</v>
      </c>
      <c r="R2005" t="s">
        <v>4719</v>
      </c>
      <c r="S2005" t="s">
        <v>2882</v>
      </c>
      <c r="V2005" t="s">
        <v>2855</v>
      </c>
      <c r="W2005" t="s">
        <v>2856</v>
      </c>
      <c r="AD2005" t="s">
        <v>4720</v>
      </c>
    </row>
    <row r="2006" spans="1:30" x14ac:dyDescent="0.25">
      <c r="A2006" t="s">
        <v>33</v>
      </c>
      <c r="D2006" t="s">
        <v>2847</v>
      </c>
      <c r="E2006" t="s">
        <v>2848</v>
      </c>
      <c r="F2006" t="s">
        <v>87</v>
      </c>
      <c r="G2006" t="s">
        <v>4003</v>
      </c>
      <c r="H2006" t="s">
        <v>89</v>
      </c>
      <c r="I2006" t="s">
        <v>90</v>
      </c>
      <c r="J2006" t="s">
        <v>91</v>
      </c>
      <c r="K2006" t="s">
        <v>92</v>
      </c>
      <c r="L2006" t="s">
        <v>4004</v>
      </c>
      <c r="M2006" t="s">
        <v>94</v>
      </c>
      <c r="N2006" t="s">
        <v>4005</v>
      </c>
      <c r="O2006" t="s">
        <v>383</v>
      </c>
      <c r="P2006">
        <v>1E-3</v>
      </c>
      <c r="R2006" t="s">
        <v>4721</v>
      </c>
      <c r="S2006" t="s">
        <v>2882</v>
      </c>
      <c r="V2006" t="s">
        <v>2855</v>
      </c>
      <c r="W2006" t="s">
        <v>2856</v>
      </c>
      <c r="AD2006" t="s">
        <v>4722</v>
      </c>
    </row>
    <row r="2007" spans="1:30" x14ac:dyDescent="0.25">
      <c r="A2007" t="s">
        <v>33</v>
      </c>
      <c r="D2007" t="s">
        <v>2847</v>
      </c>
      <c r="E2007" t="s">
        <v>2848</v>
      </c>
      <c r="F2007" t="s">
        <v>87</v>
      </c>
      <c r="G2007" t="s">
        <v>4003</v>
      </c>
      <c r="H2007" t="s">
        <v>143</v>
      </c>
      <c r="I2007" t="s">
        <v>144</v>
      </c>
      <c r="J2007" t="s">
        <v>145</v>
      </c>
      <c r="K2007" t="s">
        <v>262</v>
      </c>
      <c r="L2007" t="s">
        <v>4004</v>
      </c>
      <c r="M2007" t="s">
        <v>252</v>
      </c>
      <c r="N2007" t="s">
        <v>4005</v>
      </c>
      <c r="O2007" t="s">
        <v>147</v>
      </c>
      <c r="R2007" t="s">
        <v>4723</v>
      </c>
      <c r="S2007" t="s">
        <v>2882</v>
      </c>
      <c r="V2007" t="s">
        <v>2855</v>
      </c>
      <c r="W2007" t="s">
        <v>2856</v>
      </c>
      <c r="AD2007" t="s">
        <v>4724</v>
      </c>
    </row>
    <row r="2008" spans="1:30" x14ac:dyDescent="0.25">
      <c r="A2008" t="s">
        <v>33</v>
      </c>
      <c r="D2008" t="s">
        <v>2847</v>
      </c>
      <c r="E2008" t="s">
        <v>2848</v>
      </c>
      <c r="F2008" t="s">
        <v>87</v>
      </c>
      <c r="G2008" t="s">
        <v>4003</v>
      </c>
      <c r="H2008" t="s">
        <v>89</v>
      </c>
      <c r="I2008" t="s">
        <v>144</v>
      </c>
      <c r="J2008" t="s">
        <v>91</v>
      </c>
      <c r="K2008" t="s">
        <v>92</v>
      </c>
      <c r="L2008" t="s">
        <v>4004</v>
      </c>
      <c r="M2008" t="s">
        <v>94</v>
      </c>
      <c r="N2008" t="s">
        <v>4005</v>
      </c>
      <c r="O2008" t="s">
        <v>150</v>
      </c>
      <c r="P2008">
        <v>1E-3</v>
      </c>
      <c r="R2008" t="s">
        <v>4725</v>
      </c>
      <c r="S2008" t="s">
        <v>2882</v>
      </c>
      <c r="V2008" t="s">
        <v>2855</v>
      </c>
      <c r="W2008" t="s">
        <v>2856</v>
      </c>
      <c r="AD2008" t="s">
        <v>4726</v>
      </c>
    </row>
    <row r="2009" spans="1:30" x14ac:dyDescent="0.25">
      <c r="A2009" t="s">
        <v>33</v>
      </c>
      <c r="D2009" t="s">
        <v>2847</v>
      </c>
      <c r="E2009" t="s">
        <v>2848</v>
      </c>
      <c r="F2009" t="s">
        <v>87</v>
      </c>
      <c r="G2009" t="s">
        <v>4003</v>
      </c>
      <c r="H2009" t="s">
        <v>153</v>
      </c>
      <c r="I2009" t="s">
        <v>180</v>
      </c>
      <c r="J2009" t="s">
        <v>154</v>
      </c>
      <c r="K2009" t="s">
        <v>155</v>
      </c>
      <c r="L2009" t="s">
        <v>4004</v>
      </c>
      <c r="N2009" t="s">
        <v>4005</v>
      </c>
      <c r="O2009" t="s">
        <v>187</v>
      </c>
      <c r="R2009" t="s">
        <v>4727</v>
      </c>
      <c r="S2009" t="s">
        <v>2882</v>
      </c>
      <c r="V2009" t="s">
        <v>2855</v>
      </c>
      <c r="W2009" t="s">
        <v>2856</v>
      </c>
      <c r="AD2009" t="s">
        <v>4728</v>
      </c>
    </row>
    <row r="2010" spans="1:30" x14ac:dyDescent="0.25">
      <c r="A2010" t="s">
        <v>33</v>
      </c>
      <c r="D2010" t="s">
        <v>2847</v>
      </c>
      <c r="E2010" t="s">
        <v>2848</v>
      </c>
      <c r="F2010" t="s">
        <v>87</v>
      </c>
      <c r="G2010" t="s">
        <v>4003</v>
      </c>
      <c r="H2010" t="s">
        <v>153</v>
      </c>
      <c r="I2010" t="s">
        <v>100</v>
      </c>
      <c r="J2010" t="s">
        <v>154</v>
      </c>
      <c r="K2010" t="s">
        <v>155</v>
      </c>
      <c r="L2010" t="s">
        <v>4004</v>
      </c>
      <c r="N2010" t="s">
        <v>4005</v>
      </c>
      <c r="O2010" t="s">
        <v>448</v>
      </c>
      <c r="R2010" t="s">
        <v>4729</v>
      </c>
      <c r="S2010" t="s">
        <v>2882</v>
      </c>
      <c r="V2010" t="s">
        <v>2855</v>
      </c>
      <c r="W2010" t="s">
        <v>2856</v>
      </c>
      <c r="AD2010" t="s">
        <v>4730</v>
      </c>
    </row>
    <row r="2011" spans="1:30" x14ac:dyDescent="0.25">
      <c r="A2011" t="s">
        <v>33</v>
      </c>
      <c r="D2011" t="s">
        <v>2847</v>
      </c>
      <c r="E2011" t="s">
        <v>2848</v>
      </c>
      <c r="F2011" t="s">
        <v>87</v>
      </c>
      <c r="G2011" t="s">
        <v>4003</v>
      </c>
      <c r="H2011" t="s">
        <v>143</v>
      </c>
      <c r="I2011" t="s">
        <v>100</v>
      </c>
      <c r="J2011" t="s">
        <v>145</v>
      </c>
      <c r="K2011" t="s">
        <v>262</v>
      </c>
      <c r="L2011" t="s">
        <v>4004</v>
      </c>
      <c r="M2011" t="s">
        <v>252</v>
      </c>
      <c r="N2011" t="s">
        <v>4005</v>
      </c>
      <c r="O2011" t="s">
        <v>442</v>
      </c>
      <c r="R2011" t="s">
        <v>4731</v>
      </c>
      <c r="S2011" t="s">
        <v>2882</v>
      </c>
      <c r="V2011" t="s">
        <v>2855</v>
      </c>
      <c r="W2011" t="s">
        <v>2856</v>
      </c>
      <c r="AD2011" t="s">
        <v>4732</v>
      </c>
    </row>
    <row r="2012" spans="1:30" x14ac:dyDescent="0.25">
      <c r="A2012" t="s">
        <v>33</v>
      </c>
      <c r="D2012" t="s">
        <v>2847</v>
      </c>
      <c r="E2012" t="s">
        <v>2848</v>
      </c>
      <c r="F2012" t="s">
        <v>87</v>
      </c>
      <c r="G2012" t="s">
        <v>4003</v>
      </c>
      <c r="H2012" t="s">
        <v>89</v>
      </c>
      <c r="I2012" t="s">
        <v>100</v>
      </c>
      <c r="J2012" t="s">
        <v>91</v>
      </c>
      <c r="K2012" t="s">
        <v>92</v>
      </c>
      <c r="L2012" t="s">
        <v>4004</v>
      </c>
      <c r="M2012" t="s">
        <v>94</v>
      </c>
      <c r="N2012" t="s">
        <v>4005</v>
      </c>
      <c r="O2012" t="s">
        <v>445</v>
      </c>
      <c r="P2012">
        <v>1E-3</v>
      </c>
      <c r="R2012" t="s">
        <v>4733</v>
      </c>
      <c r="S2012" t="s">
        <v>2882</v>
      </c>
      <c r="V2012" t="s">
        <v>2855</v>
      </c>
      <c r="W2012" t="s">
        <v>2856</v>
      </c>
      <c r="AD2012" t="s">
        <v>4734</v>
      </c>
    </row>
    <row r="2013" spans="1:30" x14ac:dyDescent="0.25">
      <c r="A2013" t="s">
        <v>33</v>
      </c>
      <c r="D2013" t="s">
        <v>2847</v>
      </c>
      <c r="E2013" t="s">
        <v>2848</v>
      </c>
      <c r="F2013" t="s">
        <v>87</v>
      </c>
      <c r="G2013" t="s">
        <v>4003</v>
      </c>
      <c r="H2013" t="s">
        <v>143</v>
      </c>
      <c r="I2013" t="s">
        <v>180</v>
      </c>
      <c r="J2013" t="s">
        <v>145</v>
      </c>
      <c r="K2013" t="s">
        <v>262</v>
      </c>
      <c r="L2013" t="s">
        <v>4004</v>
      </c>
      <c r="M2013" t="s">
        <v>252</v>
      </c>
      <c r="N2013" t="s">
        <v>4005</v>
      </c>
      <c r="O2013" t="s">
        <v>181</v>
      </c>
      <c r="R2013" t="s">
        <v>4735</v>
      </c>
      <c r="S2013" t="s">
        <v>2882</v>
      </c>
      <c r="V2013" t="s">
        <v>2855</v>
      </c>
      <c r="W2013" t="s">
        <v>2856</v>
      </c>
      <c r="AD2013" t="s">
        <v>4736</v>
      </c>
    </row>
    <row r="2014" spans="1:30" x14ac:dyDescent="0.25">
      <c r="A2014" t="s">
        <v>33</v>
      </c>
      <c r="D2014" t="s">
        <v>2847</v>
      </c>
      <c r="E2014" t="s">
        <v>2848</v>
      </c>
      <c r="F2014" t="s">
        <v>87</v>
      </c>
      <c r="G2014" t="s">
        <v>4035</v>
      </c>
      <c r="H2014" t="s">
        <v>143</v>
      </c>
      <c r="I2014" t="s">
        <v>180</v>
      </c>
      <c r="J2014" t="s">
        <v>145</v>
      </c>
      <c r="K2014" t="s">
        <v>262</v>
      </c>
      <c r="L2014" t="s">
        <v>4036</v>
      </c>
      <c r="M2014" t="s">
        <v>252</v>
      </c>
      <c r="N2014" t="s">
        <v>4037</v>
      </c>
      <c r="O2014" t="s">
        <v>181</v>
      </c>
      <c r="R2014" t="s">
        <v>4735</v>
      </c>
      <c r="S2014" t="s">
        <v>2882</v>
      </c>
      <c r="V2014" t="s">
        <v>2855</v>
      </c>
      <c r="W2014" t="s">
        <v>2856</v>
      </c>
      <c r="AD2014" t="s">
        <v>4737</v>
      </c>
    </row>
    <row r="2015" spans="1:30" x14ac:dyDescent="0.25">
      <c r="A2015" t="s">
        <v>33</v>
      </c>
      <c r="D2015" t="s">
        <v>2847</v>
      </c>
      <c r="E2015" t="s">
        <v>2848</v>
      </c>
      <c r="F2015" t="s">
        <v>87</v>
      </c>
      <c r="G2015" t="s">
        <v>4003</v>
      </c>
      <c r="H2015" t="s">
        <v>89</v>
      </c>
      <c r="I2015" t="s">
        <v>180</v>
      </c>
      <c r="J2015" t="s">
        <v>91</v>
      </c>
      <c r="K2015" t="s">
        <v>92</v>
      </c>
      <c r="L2015" t="s">
        <v>4004</v>
      </c>
      <c r="M2015" t="s">
        <v>94</v>
      </c>
      <c r="N2015" t="s">
        <v>4005</v>
      </c>
      <c r="O2015" t="s">
        <v>184</v>
      </c>
      <c r="P2015">
        <v>1E-3</v>
      </c>
      <c r="R2015" t="s">
        <v>4738</v>
      </c>
      <c r="S2015" t="s">
        <v>2882</v>
      </c>
      <c r="V2015" t="s">
        <v>2855</v>
      </c>
      <c r="W2015" t="s">
        <v>2856</v>
      </c>
      <c r="AD2015" t="s">
        <v>4739</v>
      </c>
    </row>
    <row r="2016" spans="1:30" x14ac:dyDescent="0.25">
      <c r="A2016" t="s">
        <v>33</v>
      </c>
      <c r="D2016" t="s">
        <v>2847</v>
      </c>
      <c r="E2016" t="s">
        <v>2848</v>
      </c>
      <c r="F2016" t="s">
        <v>87</v>
      </c>
      <c r="G2016" t="s">
        <v>2220</v>
      </c>
      <c r="H2016" t="s">
        <v>38</v>
      </c>
      <c r="I2016" t="s">
        <v>106</v>
      </c>
      <c r="J2016" t="s">
        <v>40</v>
      </c>
      <c r="K2016" t="s">
        <v>41</v>
      </c>
      <c r="L2016" t="s">
        <v>2221</v>
      </c>
      <c r="M2016" t="s">
        <v>252</v>
      </c>
      <c r="N2016" t="s">
        <v>4077</v>
      </c>
      <c r="O2016" t="s">
        <v>109</v>
      </c>
      <c r="R2016" t="s">
        <v>4740</v>
      </c>
      <c r="S2016" t="s">
        <v>2864</v>
      </c>
      <c r="V2016" t="s">
        <v>2855</v>
      </c>
      <c r="W2016" t="s">
        <v>2856</v>
      </c>
      <c r="AD2016" t="s">
        <v>4741</v>
      </c>
    </row>
    <row r="2017" spans="1:32" x14ac:dyDescent="0.25">
      <c r="A2017" t="s">
        <v>33</v>
      </c>
      <c r="D2017" t="s">
        <v>2847</v>
      </c>
      <c r="E2017" t="s">
        <v>2848</v>
      </c>
      <c r="F2017" t="s">
        <v>87</v>
      </c>
      <c r="G2017" t="s">
        <v>4003</v>
      </c>
      <c r="H2017" t="s">
        <v>38</v>
      </c>
      <c r="I2017" t="s">
        <v>106</v>
      </c>
      <c r="J2017" t="s">
        <v>40</v>
      </c>
      <c r="K2017" t="s">
        <v>41</v>
      </c>
      <c r="L2017" t="s">
        <v>4004</v>
      </c>
      <c r="M2017" t="s">
        <v>252</v>
      </c>
      <c r="N2017" t="s">
        <v>4005</v>
      </c>
      <c r="O2017" t="s">
        <v>109</v>
      </c>
      <c r="R2017" t="s">
        <v>4740</v>
      </c>
      <c r="S2017" t="s">
        <v>2882</v>
      </c>
      <c r="V2017" t="s">
        <v>2855</v>
      </c>
      <c r="W2017" t="s">
        <v>2856</v>
      </c>
      <c r="AD2017" t="s">
        <v>4742</v>
      </c>
    </row>
    <row r="2018" spans="1:32" x14ac:dyDescent="0.25">
      <c r="A2018" t="s">
        <v>33</v>
      </c>
      <c r="D2018" t="s">
        <v>2847</v>
      </c>
      <c r="E2018" t="s">
        <v>2893</v>
      </c>
      <c r="F2018" t="s">
        <v>87</v>
      </c>
      <c r="G2018" t="s">
        <v>4743</v>
      </c>
      <c r="H2018" t="s">
        <v>153</v>
      </c>
      <c r="I2018" t="s">
        <v>180</v>
      </c>
      <c r="J2018" t="s">
        <v>154</v>
      </c>
      <c r="K2018" t="s">
        <v>155</v>
      </c>
      <c r="L2018" t="s">
        <v>4744</v>
      </c>
      <c r="N2018" t="s">
        <v>4745</v>
      </c>
      <c r="O2018" t="s">
        <v>187</v>
      </c>
      <c r="R2018" t="s">
        <v>4746</v>
      </c>
      <c r="S2018" t="s">
        <v>2864</v>
      </c>
      <c r="V2018" t="s">
        <v>2855</v>
      </c>
      <c r="W2018" t="s">
        <v>2898</v>
      </c>
      <c r="AD2018" t="s">
        <v>4747</v>
      </c>
    </row>
    <row r="2019" spans="1:32" x14ac:dyDescent="0.25">
      <c r="A2019" t="s">
        <v>33</v>
      </c>
      <c r="D2019" t="s">
        <v>2847</v>
      </c>
      <c r="E2019" t="s">
        <v>2893</v>
      </c>
      <c r="F2019" t="s">
        <v>87</v>
      </c>
      <c r="G2019" t="s">
        <v>4743</v>
      </c>
      <c r="H2019" t="s">
        <v>153</v>
      </c>
      <c r="I2019" t="s">
        <v>100</v>
      </c>
      <c r="J2019" t="s">
        <v>154</v>
      </c>
      <c r="K2019" t="s">
        <v>155</v>
      </c>
      <c r="L2019" t="s">
        <v>4744</v>
      </c>
      <c r="N2019" t="s">
        <v>4745</v>
      </c>
      <c r="O2019" t="s">
        <v>448</v>
      </c>
      <c r="R2019" t="s">
        <v>4748</v>
      </c>
      <c r="S2019" t="s">
        <v>2864</v>
      </c>
      <c r="V2019" t="s">
        <v>2855</v>
      </c>
      <c r="W2019" t="s">
        <v>2898</v>
      </c>
      <c r="AC2019" t="s">
        <v>4749</v>
      </c>
      <c r="AD2019" t="s">
        <v>4750</v>
      </c>
      <c r="AE2019" t="s">
        <v>4751</v>
      </c>
      <c r="AF2019">
        <v>2</v>
      </c>
    </row>
    <row r="2020" spans="1:32" x14ac:dyDescent="0.25">
      <c r="A2020" t="s">
        <v>33</v>
      </c>
      <c r="D2020" t="s">
        <v>2847</v>
      </c>
      <c r="E2020" t="s">
        <v>2893</v>
      </c>
      <c r="F2020" t="s">
        <v>87</v>
      </c>
      <c r="G2020" t="s">
        <v>4743</v>
      </c>
      <c r="H2020" t="s">
        <v>89</v>
      </c>
      <c r="I2020" t="s">
        <v>100</v>
      </c>
      <c r="J2020" t="s">
        <v>91</v>
      </c>
      <c r="K2020" t="s">
        <v>92</v>
      </c>
      <c r="L2020" t="s">
        <v>4744</v>
      </c>
      <c r="M2020" t="s">
        <v>94</v>
      </c>
      <c r="N2020" t="s">
        <v>4745</v>
      </c>
      <c r="O2020" t="s">
        <v>445</v>
      </c>
      <c r="P2020">
        <v>1E-3</v>
      </c>
      <c r="R2020" t="s">
        <v>4752</v>
      </c>
      <c r="S2020" t="s">
        <v>2864</v>
      </c>
      <c r="V2020" t="s">
        <v>2855</v>
      </c>
      <c r="W2020" t="s">
        <v>2898</v>
      </c>
      <c r="AD2020" t="s">
        <v>4753</v>
      </c>
    </row>
    <row r="2021" spans="1:32" x14ac:dyDescent="0.25">
      <c r="A2021" t="s">
        <v>33</v>
      </c>
      <c r="D2021" t="s">
        <v>2847</v>
      </c>
      <c r="E2021" t="s">
        <v>2893</v>
      </c>
      <c r="F2021" t="s">
        <v>87</v>
      </c>
      <c r="G2021" t="s">
        <v>4743</v>
      </c>
      <c r="H2021" t="s">
        <v>89</v>
      </c>
      <c r="I2021" t="s">
        <v>180</v>
      </c>
      <c r="J2021" t="s">
        <v>91</v>
      </c>
      <c r="K2021" t="s">
        <v>92</v>
      </c>
      <c r="L2021" t="s">
        <v>4744</v>
      </c>
      <c r="M2021" t="s">
        <v>94</v>
      </c>
      <c r="N2021" t="s">
        <v>4745</v>
      </c>
      <c r="O2021" t="s">
        <v>184</v>
      </c>
      <c r="P2021">
        <v>1E-3</v>
      </c>
      <c r="R2021" t="s">
        <v>4754</v>
      </c>
      <c r="S2021" t="s">
        <v>2864</v>
      </c>
      <c r="V2021" t="s">
        <v>2855</v>
      </c>
      <c r="W2021" t="s">
        <v>2898</v>
      </c>
      <c r="AD2021" t="s">
        <v>4755</v>
      </c>
    </row>
    <row r="2022" spans="1:32" x14ac:dyDescent="0.25">
      <c r="A2022" t="s">
        <v>33</v>
      </c>
      <c r="D2022" t="s">
        <v>2847</v>
      </c>
      <c r="E2022" t="s">
        <v>2893</v>
      </c>
      <c r="F2022" t="s">
        <v>87</v>
      </c>
      <c r="G2022" t="s">
        <v>4743</v>
      </c>
      <c r="H2022" t="s">
        <v>38</v>
      </c>
      <c r="I2022" t="s">
        <v>106</v>
      </c>
      <c r="J2022" t="s">
        <v>40</v>
      </c>
      <c r="K2022" t="s">
        <v>41</v>
      </c>
      <c r="L2022" t="s">
        <v>4744</v>
      </c>
      <c r="M2022" t="s">
        <v>252</v>
      </c>
      <c r="N2022" t="s">
        <v>4745</v>
      </c>
      <c r="O2022" t="s">
        <v>109</v>
      </c>
      <c r="R2022" t="s">
        <v>4756</v>
      </c>
      <c r="S2022" t="s">
        <v>2864</v>
      </c>
      <c r="V2022" t="s">
        <v>2855</v>
      </c>
      <c r="W2022" t="s">
        <v>2898</v>
      </c>
      <c r="AD2022" t="s">
        <v>4757</v>
      </c>
    </row>
    <row r="2023" spans="1:32" x14ac:dyDescent="0.25">
      <c r="A2023" t="s">
        <v>33</v>
      </c>
      <c r="D2023" t="s">
        <v>2847</v>
      </c>
      <c r="E2023" t="s">
        <v>2893</v>
      </c>
      <c r="F2023" t="s">
        <v>87</v>
      </c>
      <c r="G2023" t="s">
        <v>4758</v>
      </c>
      <c r="H2023" t="s">
        <v>153</v>
      </c>
      <c r="I2023" t="s">
        <v>144</v>
      </c>
      <c r="J2023" t="s">
        <v>154</v>
      </c>
      <c r="K2023" t="s">
        <v>155</v>
      </c>
      <c r="L2023" t="s">
        <v>4759</v>
      </c>
      <c r="N2023" t="s">
        <v>4760</v>
      </c>
      <c r="O2023" t="s">
        <v>156</v>
      </c>
      <c r="R2023" t="s">
        <v>4761</v>
      </c>
      <c r="S2023" t="s">
        <v>2864</v>
      </c>
      <c r="V2023" t="s">
        <v>2855</v>
      </c>
      <c r="W2023" t="s">
        <v>2898</v>
      </c>
      <c r="AD2023" t="s">
        <v>4762</v>
      </c>
    </row>
    <row r="2024" spans="1:32" x14ac:dyDescent="0.25">
      <c r="A2024" t="s">
        <v>33</v>
      </c>
      <c r="D2024" t="s">
        <v>2847</v>
      </c>
      <c r="E2024" t="s">
        <v>2893</v>
      </c>
      <c r="F2024" t="s">
        <v>87</v>
      </c>
      <c r="G2024" t="s">
        <v>4758</v>
      </c>
      <c r="H2024" t="s">
        <v>153</v>
      </c>
      <c r="I2024" t="s">
        <v>90</v>
      </c>
      <c r="J2024" t="s">
        <v>154</v>
      </c>
      <c r="K2024" t="s">
        <v>155</v>
      </c>
      <c r="L2024" t="s">
        <v>4759</v>
      </c>
      <c r="N2024" t="s">
        <v>4760</v>
      </c>
      <c r="O2024" t="s">
        <v>386</v>
      </c>
      <c r="R2024" t="s">
        <v>4763</v>
      </c>
      <c r="S2024" t="s">
        <v>2864</v>
      </c>
      <c r="V2024" t="s">
        <v>2855</v>
      </c>
      <c r="W2024" t="s">
        <v>2898</v>
      </c>
      <c r="AC2024" t="s">
        <v>4764</v>
      </c>
      <c r="AD2024" t="s">
        <v>4765</v>
      </c>
      <c r="AE2024" t="s">
        <v>4751</v>
      </c>
      <c r="AF2024">
        <v>3</v>
      </c>
    </row>
    <row r="2025" spans="1:32" x14ac:dyDescent="0.25">
      <c r="A2025" t="s">
        <v>33</v>
      </c>
      <c r="D2025" t="s">
        <v>2847</v>
      </c>
      <c r="E2025" t="s">
        <v>2893</v>
      </c>
      <c r="F2025" t="s">
        <v>87</v>
      </c>
      <c r="G2025" t="s">
        <v>4758</v>
      </c>
      <c r="H2025" t="s">
        <v>89</v>
      </c>
      <c r="I2025" t="s">
        <v>90</v>
      </c>
      <c r="J2025" t="s">
        <v>91</v>
      </c>
      <c r="K2025" t="s">
        <v>92</v>
      </c>
      <c r="L2025" t="s">
        <v>4759</v>
      </c>
      <c r="M2025" t="s">
        <v>94</v>
      </c>
      <c r="N2025" t="s">
        <v>4760</v>
      </c>
      <c r="O2025" t="s">
        <v>383</v>
      </c>
      <c r="P2025">
        <v>1E-3</v>
      </c>
      <c r="R2025" t="s">
        <v>4766</v>
      </c>
      <c r="S2025" t="s">
        <v>2864</v>
      </c>
      <c r="V2025" t="s">
        <v>2855</v>
      </c>
      <c r="W2025" t="s">
        <v>2898</v>
      </c>
      <c r="AD2025" t="s">
        <v>4767</v>
      </c>
    </row>
    <row r="2026" spans="1:32" x14ac:dyDescent="0.25">
      <c r="A2026" t="s">
        <v>33</v>
      </c>
      <c r="D2026" t="s">
        <v>2847</v>
      </c>
      <c r="E2026" t="s">
        <v>2893</v>
      </c>
      <c r="F2026" t="s">
        <v>87</v>
      </c>
      <c r="G2026" t="s">
        <v>4758</v>
      </c>
      <c r="H2026" t="s">
        <v>89</v>
      </c>
      <c r="I2026" t="s">
        <v>144</v>
      </c>
      <c r="J2026" t="s">
        <v>91</v>
      </c>
      <c r="K2026" t="s">
        <v>92</v>
      </c>
      <c r="L2026" t="s">
        <v>4759</v>
      </c>
      <c r="M2026" t="s">
        <v>94</v>
      </c>
      <c r="N2026" t="s">
        <v>4760</v>
      </c>
      <c r="O2026" t="s">
        <v>150</v>
      </c>
      <c r="P2026">
        <v>1E-3</v>
      </c>
      <c r="R2026" t="s">
        <v>4768</v>
      </c>
      <c r="S2026" t="s">
        <v>2864</v>
      </c>
      <c r="V2026" t="s">
        <v>2855</v>
      </c>
      <c r="W2026" t="s">
        <v>2898</v>
      </c>
      <c r="AD2026" t="s">
        <v>4769</v>
      </c>
    </row>
    <row r="2027" spans="1:32" x14ac:dyDescent="0.25">
      <c r="A2027" t="s">
        <v>33</v>
      </c>
      <c r="D2027" t="s">
        <v>2847</v>
      </c>
      <c r="E2027" t="s">
        <v>2893</v>
      </c>
      <c r="F2027" t="s">
        <v>87</v>
      </c>
      <c r="G2027" t="s">
        <v>4758</v>
      </c>
      <c r="H2027" t="s">
        <v>38</v>
      </c>
      <c r="I2027" t="s">
        <v>106</v>
      </c>
      <c r="J2027" t="s">
        <v>40</v>
      </c>
      <c r="K2027" t="s">
        <v>41</v>
      </c>
      <c r="L2027" t="s">
        <v>4759</v>
      </c>
      <c r="M2027" t="s">
        <v>252</v>
      </c>
      <c r="N2027" t="s">
        <v>4760</v>
      </c>
      <c r="O2027" t="s">
        <v>109</v>
      </c>
      <c r="R2027" t="s">
        <v>4770</v>
      </c>
      <c r="S2027" t="s">
        <v>2864</v>
      </c>
      <c r="V2027" t="s">
        <v>2855</v>
      </c>
      <c r="W2027" t="s">
        <v>2898</v>
      </c>
      <c r="AD2027" t="s">
        <v>4771</v>
      </c>
    </row>
    <row r="2028" spans="1:32" x14ac:dyDescent="0.25">
      <c r="A2028" t="s">
        <v>33</v>
      </c>
      <c r="D2028" t="s">
        <v>2847</v>
      </c>
      <c r="E2028" t="s">
        <v>2893</v>
      </c>
      <c r="F2028" t="s">
        <v>87</v>
      </c>
      <c r="G2028" t="s">
        <v>4772</v>
      </c>
      <c r="H2028" t="s">
        <v>153</v>
      </c>
      <c r="I2028" t="s">
        <v>180</v>
      </c>
      <c r="J2028" t="s">
        <v>154</v>
      </c>
      <c r="K2028" t="s">
        <v>155</v>
      </c>
      <c r="L2028" t="s">
        <v>4773</v>
      </c>
      <c r="N2028" t="s">
        <v>4774</v>
      </c>
      <c r="O2028" t="s">
        <v>187</v>
      </c>
      <c r="R2028" t="s">
        <v>4775</v>
      </c>
      <c r="S2028" t="s">
        <v>2864</v>
      </c>
      <c r="V2028" t="s">
        <v>2855</v>
      </c>
      <c r="W2028" t="s">
        <v>2898</v>
      </c>
      <c r="AD2028" t="s">
        <v>4776</v>
      </c>
    </row>
    <row r="2029" spans="1:32" x14ac:dyDescent="0.25">
      <c r="A2029" t="s">
        <v>33</v>
      </c>
      <c r="D2029" t="s">
        <v>2847</v>
      </c>
      <c r="E2029" t="s">
        <v>2893</v>
      </c>
      <c r="F2029" t="s">
        <v>87</v>
      </c>
      <c r="G2029" t="s">
        <v>4772</v>
      </c>
      <c r="H2029" t="s">
        <v>153</v>
      </c>
      <c r="I2029" t="s">
        <v>100</v>
      </c>
      <c r="J2029" t="s">
        <v>154</v>
      </c>
      <c r="K2029" t="s">
        <v>155</v>
      </c>
      <c r="L2029" t="s">
        <v>4773</v>
      </c>
      <c r="N2029" t="s">
        <v>4774</v>
      </c>
      <c r="O2029" t="s">
        <v>448</v>
      </c>
      <c r="R2029" t="s">
        <v>4777</v>
      </c>
      <c r="S2029" t="s">
        <v>2864</v>
      </c>
      <c r="V2029" t="s">
        <v>2855</v>
      </c>
      <c r="W2029" t="s">
        <v>2898</v>
      </c>
      <c r="AC2029" t="s">
        <v>4778</v>
      </c>
      <c r="AD2029" t="s">
        <v>4779</v>
      </c>
      <c r="AE2029" t="s">
        <v>4780</v>
      </c>
      <c r="AF2029">
        <v>2</v>
      </c>
    </row>
    <row r="2030" spans="1:32" x14ac:dyDescent="0.25">
      <c r="A2030" t="s">
        <v>33</v>
      </c>
      <c r="D2030" t="s">
        <v>2847</v>
      </c>
      <c r="E2030" t="s">
        <v>2893</v>
      </c>
      <c r="F2030" t="s">
        <v>87</v>
      </c>
      <c r="G2030" t="s">
        <v>4772</v>
      </c>
      <c r="H2030" t="s">
        <v>89</v>
      </c>
      <c r="I2030" t="s">
        <v>100</v>
      </c>
      <c r="J2030" t="s">
        <v>91</v>
      </c>
      <c r="K2030" t="s">
        <v>92</v>
      </c>
      <c r="L2030" t="s">
        <v>4773</v>
      </c>
      <c r="M2030" t="s">
        <v>94</v>
      </c>
      <c r="N2030" t="s">
        <v>4774</v>
      </c>
      <c r="O2030" t="s">
        <v>445</v>
      </c>
      <c r="P2030">
        <v>1E-3</v>
      </c>
      <c r="R2030" t="s">
        <v>4781</v>
      </c>
      <c r="S2030" t="s">
        <v>2864</v>
      </c>
      <c r="V2030" t="s">
        <v>2855</v>
      </c>
      <c r="W2030" t="s">
        <v>2898</v>
      </c>
      <c r="AD2030" t="s">
        <v>4782</v>
      </c>
    </row>
    <row r="2031" spans="1:32" x14ac:dyDescent="0.25">
      <c r="A2031" t="s">
        <v>33</v>
      </c>
      <c r="D2031" t="s">
        <v>2847</v>
      </c>
      <c r="E2031" t="s">
        <v>2893</v>
      </c>
      <c r="F2031" t="s">
        <v>87</v>
      </c>
      <c r="G2031" t="s">
        <v>4772</v>
      </c>
      <c r="H2031" t="s">
        <v>89</v>
      </c>
      <c r="I2031" t="s">
        <v>180</v>
      </c>
      <c r="J2031" t="s">
        <v>91</v>
      </c>
      <c r="K2031" t="s">
        <v>92</v>
      </c>
      <c r="L2031" t="s">
        <v>4773</v>
      </c>
      <c r="M2031" t="s">
        <v>94</v>
      </c>
      <c r="N2031" t="s">
        <v>4774</v>
      </c>
      <c r="O2031" t="s">
        <v>184</v>
      </c>
      <c r="P2031">
        <v>1E-3</v>
      </c>
      <c r="R2031" t="s">
        <v>4783</v>
      </c>
      <c r="S2031" t="s">
        <v>2864</v>
      </c>
      <c r="V2031" t="s">
        <v>2855</v>
      </c>
      <c r="W2031" t="s">
        <v>2898</v>
      </c>
      <c r="AD2031" t="s">
        <v>4784</v>
      </c>
    </row>
    <row r="2032" spans="1:32" x14ac:dyDescent="0.25">
      <c r="A2032" t="s">
        <v>33</v>
      </c>
      <c r="D2032" t="s">
        <v>2847</v>
      </c>
      <c r="E2032" t="s">
        <v>2893</v>
      </c>
      <c r="F2032" t="s">
        <v>87</v>
      </c>
      <c r="G2032" t="s">
        <v>4772</v>
      </c>
      <c r="H2032" t="s">
        <v>38</v>
      </c>
      <c r="I2032" t="s">
        <v>106</v>
      </c>
      <c r="J2032" t="s">
        <v>40</v>
      </c>
      <c r="K2032" t="s">
        <v>41</v>
      </c>
      <c r="L2032" t="s">
        <v>4773</v>
      </c>
      <c r="M2032" t="s">
        <v>252</v>
      </c>
      <c r="N2032" t="s">
        <v>4774</v>
      </c>
      <c r="O2032" t="s">
        <v>109</v>
      </c>
      <c r="R2032" t="s">
        <v>4785</v>
      </c>
      <c r="S2032" t="s">
        <v>2864</v>
      </c>
      <c r="V2032" t="s">
        <v>2855</v>
      </c>
      <c r="W2032" t="s">
        <v>2898</v>
      </c>
      <c r="AD2032" t="s">
        <v>4786</v>
      </c>
    </row>
    <row r="2033" spans="1:32" x14ac:dyDescent="0.25">
      <c r="A2033" t="s">
        <v>33</v>
      </c>
      <c r="D2033" t="s">
        <v>2847</v>
      </c>
      <c r="E2033" t="s">
        <v>2893</v>
      </c>
      <c r="F2033" t="s">
        <v>87</v>
      </c>
      <c r="G2033" t="s">
        <v>4787</v>
      </c>
      <c r="H2033" t="s">
        <v>153</v>
      </c>
      <c r="I2033" t="s">
        <v>144</v>
      </c>
      <c r="J2033" t="s">
        <v>154</v>
      </c>
      <c r="K2033" t="s">
        <v>155</v>
      </c>
      <c r="L2033" t="s">
        <v>4788</v>
      </c>
      <c r="N2033" t="s">
        <v>4789</v>
      </c>
      <c r="O2033" t="s">
        <v>156</v>
      </c>
      <c r="R2033" t="s">
        <v>4790</v>
      </c>
      <c r="S2033" t="s">
        <v>2864</v>
      </c>
      <c r="V2033" t="s">
        <v>2855</v>
      </c>
      <c r="W2033" t="s">
        <v>2898</v>
      </c>
      <c r="AD2033" t="s">
        <v>4791</v>
      </c>
    </row>
    <row r="2034" spans="1:32" x14ac:dyDescent="0.25">
      <c r="A2034" t="s">
        <v>33</v>
      </c>
      <c r="D2034" t="s">
        <v>2847</v>
      </c>
      <c r="E2034" t="s">
        <v>2893</v>
      </c>
      <c r="F2034" t="s">
        <v>87</v>
      </c>
      <c r="G2034" t="s">
        <v>4787</v>
      </c>
      <c r="H2034" t="s">
        <v>153</v>
      </c>
      <c r="I2034" t="s">
        <v>90</v>
      </c>
      <c r="J2034" t="s">
        <v>154</v>
      </c>
      <c r="K2034" t="s">
        <v>155</v>
      </c>
      <c r="L2034" t="s">
        <v>4788</v>
      </c>
      <c r="N2034" t="s">
        <v>4789</v>
      </c>
      <c r="O2034" t="s">
        <v>386</v>
      </c>
      <c r="R2034" t="s">
        <v>4792</v>
      </c>
      <c r="S2034" t="s">
        <v>2864</v>
      </c>
      <c r="V2034" t="s">
        <v>2855</v>
      </c>
      <c r="W2034" t="s">
        <v>2898</v>
      </c>
      <c r="AC2034" t="s">
        <v>4793</v>
      </c>
      <c r="AD2034" t="s">
        <v>4794</v>
      </c>
      <c r="AE2034" t="s">
        <v>4780</v>
      </c>
      <c r="AF2034">
        <v>3</v>
      </c>
    </row>
    <row r="2035" spans="1:32" x14ac:dyDescent="0.25">
      <c r="A2035" t="s">
        <v>33</v>
      </c>
      <c r="D2035" t="s">
        <v>2847</v>
      </c>
      <c r="E2035" t="s">
        <v>2893</v>
      </c>
      <c r="F2035" t="s">
        <v>87</v>
      </c>
      <c r="G2035" t="s">
        <v>4787</v>
      </c>
      <c r="H2035" t="s">
        <v>89</v>
      </c>
      <c r="I2035" t="s">
        <v>90</v>
      </c>
      <c r="J2035" t="s">
        <v>91</v>
      </c>
      <c r="K2035" t="s">
        <v>92</v>
      </c>
      <c r="L2035" t="s">
        <v>4788</v>
      </c>
      <c r="M2035" t="s">
        <v>94</v>
      </c>
      <c r="N2035" t="s">
        <v>4789</v>
      </c>
      <c r="O2035" t="s">
        <v>383</v>
      </c>
      <c r="P2035">
        <v>1E-3</v>
      </c>
      <c r="R2035" t="s">
        <v>4795</v>
      </c>
      <c r="S2035" t="s">
        <v>2864</v>
      </c>
      <c r="V2035" t="s">
        <v>2855</v>
      </c>
      <c r="W2035" t="s">
        <v>2898</v>
      </c>
      <c r="AD2035" t="s">
        <v>4796</v>
      </c>
    </row>
    <row r="2036" spans="1:32" x14ac:dyDescent="0.25">
      <c r="A2036" t="s">
        <v>33</v>
      </c>
      <c r="D2036" t="s">
        <v>2847</v>
      </c>
      <c r="E2036" t="s">
        <v>2893</v>
      </c>
      <c r="F2036" t="s">
        <v>87</v>
      </c>
      <c r="G2036" t="s">
        <v>4787</v>
      </c>
      <c r="H2036" t="s">
        <v>89</v>
      </c>
      <c r="I2036" t="s">
        <v>144</v>
      </c>
      <c r="J2036" t="s">
        <v>91</v>
      </c>
      <c r="K2036" t="s">
        <v>92</v>
      </c>
      <c r="L2036" t="s">
        <v>4788</v>
      </c>
      <c r="M2036" t="s">
        <v>94</v>
      </c>
      <c r="N2036" t="s">
        <v>4789</v>
      </c>
      <c r="O2036" t="s">
        <v>150</v>
      </c>
      <c r="P2036">
        <v>1E-3</v>
      </c>
      <c r="R2036" t="s">
        <v>4797</v>
      </c>
      <c r="S2036" t="s">
        <v>2864</v>
      </c>
      <c r="V2036" t="s">
        <v>2855</v>
      </c>
      <c r="W2036" t="s">
        <v>2898</v>
      </c>
      <c r="AD2036" t="s">
        <v>4798</v>
      </c>
    </row>
    <row r="2037" spans="1:32" x14ac:dyDescent="0.25">
      <c r="A2037" t="s">
        <v>33</v>
      </c>
      <c r="D2037" t="s">
        <v>2847</v>
      </c>
      <c r="E2037" t="s">
        <v>2893</v>
      </c>
      <c r="F2037" t="s">
        <v>87</v>
      </c>
      <c r="G2037" t="s">
        <v>4787</v>
      </c>
      <c r="H2037" t="s">
        <v>38</v>
      </c>
      <c r="I2037" t="s">
        <v>106</v>
      </c>
      <c r="J2037" t="s">
        <v>40</v>
      </c>
      <c r="K2037" t="s">
        <v>41</v>
      </c>
      <c r="L2037" t="s">
        <v>4788</v>
      </c>
      <c r="M2037" t="s">
        <v>252</v>
      </c>
      <c r="N2037" t="s">
        <v>4789</v>
      </c>
      <c r="O2037" t="s">
        <v>109</v>
      </c>
      <c r="R2037" t="s">
        <v>4799</v>
      </c>
      <c r="S2037" t="s">
        <v>2864</v>
      </c>
      <c r="V2037" t="s">
        <v>2855</v>
      </c>
      <c r="W2037" t="s">
        <v>2898</v>
      </c>
      <c r="AD2037" t="s">
        <v>4800</v>
      </c>
    </row>
    <row r="2038" spans="1:32" x14ac:dyDescent="0.25">
      <c r="A2038" t="s">
        <v>33</v>
      </c>
      <c r="D2038" t="s">
        <v>2847</v>
      </c>
      <c r="E2038" t="s">
        <v>2893</v>
      </c>
      <c r="F2038" t="s">
        <v>87</v>
      </c>
      <c r="G2038" t="s">
        <v>4801</v>
      </c>
      <c r="H2038" t="s">
        <v>153</v>
      </c>
      <c r="I2038" t="s">
        <v>180</v>
      </c>
      <c r="J2038" t="s">
        <v>154</v>
      </c>
      <c r="K2038" t="s">
        <v>155</v>
      </c>
      <c r="L2038" t="s">
        <v>4802</v>
      </c>
      <c r="N2038" t="s">
        <v>4803</v>
      </c>
      <c r="O2038" t="s">
        <v>187</v>
      </c>
      <c r="R2038" t="s">
        <v>4804</v>
      </c>
      <c r="S2038" t="s">
        <v>2864</v>
      </c>
      <c r="V2038" t="s">
        <v>2855</v>
      </c>
      <c r="W2038" t="s">
        <v>2898</v>
      </c>
      <c r="AD2038" t="s">
        <v>4805</v>
      </c>
    </row>
    <row r="2039" spans="1:32" x14ac:dyDescent="0.25">
      <c r="A2039" t="s">
        <v>33</v>
      </c>
      <c r="D2039" t="s">
        <v>2847</v>
      </c>
      <c r="E2039" t="s">
        <v>2893</v>
      </c>
      <c r="F2039" t="s">
        <v>87</v>
      </c>
      <c r="G2039" t="s">
        <v>4801</v>
      </c>
      <c r="H2039" t="s">
        <v>153</v>
      </c>
      <c r="I2039" t="s">
        <v>100</v>
      </c>
      <c r="J2039" t="s">
        <v>154</v>
      </c>
      <c r="K2039" t="s">
        <v>155</v>
      </c>
      <c r="L2039" t="s">
        <v>4802</v>
      </c>
      <c r="N2039" t="s">
        <v>4803</v>
      </c>
      <c r="O2039" t="s">
        <v>448</v>
      </c>
      <c r="R2039" t="s">
        <v>4806</v>
      </c>
      <c r="S2039" t="s">
        <v>2864</v>
      </c>
      <c r="V2039" t="s">
        <v>2855</v>
      </c>
      <c r="W2039" t="s">
        <v>2898</v>
      </c>
      <c r="AD2039" t="s">
        <v>4807</v>
      </c>
    </row>
    <row r="2040" spans="1:32" x14ac:dyDescent="0.25">
      <c r="A2040" t="s">
        <v>33</v>
      </c>
      <c r="D2040" t="s">
        <v>2847</v>
      </c>
      <c r="E2040" t="s">
        <v>2893</v>
      </c>
      <c r="F2040" t="s">
        <v>87</v>
      </c>
      <c r="G2040" t="s">
        <v>4801</v>
      </c>
      <c r="H2040" t="s">
        <v>89</v>
      </c>
      <c r="I2040" t="s">
        <v>100</v>
      </c>
      <c r="J2040" t="s">
        <v>91</v>
      </c>
      <c r="K2040" t="s">
        <v>92</v>
      </c>
      <c r="L2040" t="s">
        <v>4802</v>
      </c>
      <c r="M2040" t="s">
        <v>94</v>
      </c>
      <c r="N2040" t="s">
        <v>4803</v>
      </c>
      <c r="O2040" t="s">
        <v>445</v>
      </c>
      <c r="P2040">
        <v>1E-3</v>
      </c>
      <c r="R2040" t="s">
        <v>4808</v>
      </c>
      <c r="S2040" t="s">
        <v>2864</v>
      </c>
      <c r="V2040" t="s">
        <v>2855</v>
      </c>
      <c r="W2040" t="s">
        <v>2898</v>
      </c>
      <c r="AD2040" t="s">
        <v>4809</v>
      </c>
    </row>
    <row r="2041" spans="1:32" x14ac:dyDescent="0.25">
      <c r="A2041" t="s">
        <v>33</v>
      </c>
      <c r="D2041" t="s">
        <v>2847</v>
      </c>
      <c r="E2041" t="s">
        <v>2893</v>
      </c>
      <c r="F2041" t="s">
        <v>87</v>
      </c>
      <c r="G2041" t="s">
        <v>4801</v>
      </c>
      <c r="H2041" t="s">
        <v>89</v>
      </c>
      <c r="I2041" t="s">
        <v>180</v>
      </c>
      <c r="J2041" t="s">
        <v>91</v>
      </c>
      <c r="K2041" t="s">
        <v>92</v>
      </c>
      <c r="L2041" t="s">
        <v>4802</v>
      </c>
      <c r="M2041" t="s">
        <v>94</v>
      </c>
      <c r="N2041" t="s">
        <v>4803</v>
      </c>
      <c r="O2041" t="s">
        <v>184</v>
      </c>
      <c r="P2041">
        <v>1E-3</v>
      </c>
      <c r="R2041" t="s">
        <v>4810</v>
      </c>
      <c r="S2041" t="s">
        <v>2864</v>
      </c>
      <c r="V2041" t="s">
        <v>2855</v>
      </c>
      <c r="W2041" t="s">
        <v>2898</v>
      </c>
      <c r="AD2041" t="s">
        <v>4811</v>
      </c>
    </row>
    <row r="2042" spans="1:32" x14ac:dyDescent="0.25">
      <c r="A2042" t="s">
        <v>33</v>
      </c>
      <c r="D2042" t="s">
        <v>2847</v>
      </c>
      <c r="E2042" t="s">
        <v>2893</v>
      </c>
      <c r="F2042" t="s">
        <v>87</v>
      </c>
      <c r="G2042" t="s">
        <v>4801</v>
      </c>
      <c r="H2042" t="s">
        <v>38</v>
      </c>
      <c r="I2042" t="s">
        <v>106</v>
      </c>
      <c r="J2042" t="s">
        <v>40</v>
      </c>
      <c r="K2042" t="s">
        <v>41</v>
      </c>
      <c r="L2042" t="s">
        <v>4802</v>
      </c>
      <c r="M2042" t="s">
        <v>252</v>
      </c>
      <c r="N2042" t="s">
        <v>4803</v>
      </c>
      <c r="O2042" t="s">
        <v>109</v>
      </c>
      <c r="R2042" t="s">
        <v>4812</v>
      </c>
      <c r="S2042" t="s">
        <v>2864</v>
      </c>
      <c r="V2042" t="s">
        <v>2855</v>
      </c>
      <c r="W2042" t="s">
        <v>2898</v>
      </c>
      <c r="AD2042" t="s">
        <v>4813</v>
      </c>
    </row>
    <row r="2043" spans="1:32" x14ac:dyDescent="0.25">
      <c r="A2043" t="s">
        <v>33</v>
      </c>
      <c r="D2043" t="s">
        <v>2847</v>
      </c>
      <c r="E2043" t="s">
        <v>2893</v>
      </c>
      <c r="F2043" t="s">
        <v>87</v>
      </c>
      <c r="G2043" t="s">
        <v>4814</v>
      </c>
      <c r="H2043" t="s">
        <v>153</v>
      </c>
      <c r="I2043" t="s">
        <v>144</v>
      </c>
      <c r="J2043" t="s">
        <v>154</v>
      </c>
      <c r="K2043" t="s">
        <v>155</v>
      </c>
      <c r="L2043" t="s">
        <v>4815</v>
      </c>
      <c r="N2043" t="s">
        <v>4816</v>
      </c>
      <c r="O2043" t="s">
        <v>156</v>
      </c>
      <c r="R2043" t="s">
        <v>4817</v>
      </c>
      <c r="S2043" t="s">
        <v>2864</v>
      </c>
      <c r="V2043" t="s">
        <v>2855</v>
      </c>
      <c r="W2043" t="s">
        <v>2898</v>
      </c>
      <c r="AD2043" t="s">
        <v>4818</v>
      </c>
    </row>
    <row r="2044" spans="1:32" x14ac:dyDescent="0.25">
      <c r="A2044" t="s">
        <v>33</v>
      </c>
      <c r="D2044" t="s">
        <v>2847</v>
      </c>
      <c r="E2044" t="s">
        <v>2893</v>
      </c>
      <c r="F2044" t="s">
        <v>87</v>
      </c>
      <c r="G2044" t="s">
        <v>4814</v>
      </c>
      <c r="H2044" t="s">
        <v>153</v>
      </c>
      <c r="I2044" t="s">
        <v>90</v>
      </c>
      <c r="J2044" t="s">
        <v>154</v>
      </c>
      <c r="K2044" t="s">
        <v>155</v>
      </c>
      <c r="L2044" t="s">
        <v>4815</v>
      </c>
      <c r="N2044" t="s">
        <v>4816</v>
      </c>
      <c r="O2044" t="s">
        <v>386</v>
      </c>
      <c r="R2044" t="s">
        <v>4819</v>
      </c>
      <c r="S2044" t="s">
        <v>2864</v>
      </c>
      <c r="V2044" t="s">
        <v>2855</v>
      </c>
      <c r="W2044" t="s">
        <v>2898</v>
      </c>
      <c r="AD2044" t="s">
        <v>4820</v>
      </c>
    </row>
    <row r="2045" spans="1:32" x14ac:dyDescent="0.25">
      <c r="A2045" t="s">
        <v>33</v>
      </c>
      <c r="D2045" t="s">
        <v>2847</v>
      </c>
      <c r="E2045" t="s">
        <v>2893</v>
      </c>
      <c r="F2045" t="s">
        <v>87</v>
      </c>
      <c r="G2045" t="s">
        <v>4814</v>
      </c>
      <c r="H2045" t="s">
        <v>89</v>
      </c>
      <c r="I2045" t="s">
        <v>90</v>
      </c>
      <c r="J2045" t="s">
        <v>91</v>
      </c>
      <c r="K2045" t="s">
        <v>92</v>
      </c>
      <c r="L2045" t="s">
        <v>4815</v>
      </c>
      <c r="M2045" t="s">
        <v>94</v>
      </c>
      <c r="N2045" t="s">
        <v>4816</v>
      </c>
      <c r="O2045" t="s">
        <v>383</v>
      </c>
      <c r="P2045">
        <v>1E-3</v>
      </c>
      <c r="R2045" t="s">
        <v>4821</v>
      </c>
      <c r="S2045" t="s">
        <v>2864</v>
      </c>
      <c r="V2045" t="s">
        <v>2855</v>
      </c>
      <c r="W2045" t="s">
        <v>2898</v>
      </c>
      <c r="AD2045" t="s">
        <v>4822</v>
      </c>
    </row>
    <row r="2046" spans="1:32" x14ac:dyDescent="0.25">
      <c r="A2046" t="s">
        <v>33</v>
      </c>
      <c r="D2046" t="s">
        <v>2847</v>
      </c>
      <c r="E2046" t="s">
        <v>2893</v>
      </c>
      <c r="F2046" t="s">
        <v>87</v>
      </c>
      <c r="G2046" t="s">
        <v>4814</v>
      </c>
      <c r="H2046" t="s">
        <v>89</v>
      </c>
      <c r="I2046" t="s">
        <v>144</v>
      </c>
      <c r="J2046" t="s">
        <v>91</v>
      </c>
      <c r="K2046" t="s">
        <v>92</v>
      </c>
      <c r="L2046" t="s">
        <v>4815</v>
      </c>
      <c r="M2046" t="s">
        <v>94</v>
      </c>
      <c r="N2046" t="s">
        <v>4816</v>
      </c>
      <c r="O2046" t="s">
        <v>150</v>
      </c>
      <c r="P2046">
        <v>1E-3</v>
      </c>
      <c r="R2046" t="s">
        <v>4823</v>
      </c>
      <c r="S2046" t="s">
        <v>2864</v>
      </c>
      <c r="V2046" t="s">
        <v>2855</v>
      </c>
      <c r="W2046" t="s">
        <v>2898</v>
      </c>
      <c r="AD2046" t="s">
        <v>4824</v>
      </c>
    </row>
    <row r="2047" spans="1:32" x14ac:dyDescent="0.25">
      <c r="A2047" t="s">
        <v>33</v>
      </c>
      <c r="D2047" t="s">
        <v>2847</v>
      </c>
      <c r="E2047" t="s">
        <v>2893</v>
      </c>
      <c r="F2047" t="s">
        <v>87</v>
      </c>
      <c r="G2047" t="s">
        <v>4814</v>
      </c>
      <c r="H2047" t="s">
        <v>38</v>
      </c>
      <c r="I2047" t="s">
        <v>106</v>
      </c>
      <c r="J2047" t="s">
        <v>40</v>
      </c>
      <c r="K2047" t="s">
        <v>41</v>
      </c>
      <c r="L2047" t="s">
        <v>4815</v>
      </c>
      <c r="M2047" t="s">
        <v>252</v>
      </c>
      <c r="N2047" t="s">
        <v>4816</v>
      </c>
      <c r="O2047" t="s">
        <v>109</v>
      </c>
      <c r="R2047" t="s">
        <v>4825</v>
      </c>
      <c r="S2047" t="s">
        <v>2864</v>
      </c>
      <c r="V2047" t="s">
        <v>2855</v>
      </c>
      <c r="W2047" t="s">
        <v>2898</v>
      </c>
      <c r="AD2047" t="s">
        <v>4826</v>
      </c>
    </row>
    <row r="2048" spans="1:32" x14ac:dyDescent="0.25">
      <c r="A2048" t="s">
        <v>33</v>
      </c>
      <c r="D2048" t="s">
        <v>2847</v>
      </c>
      <c r="E2048" t="s">
        <v>2893</v>
      </c>
      <c r="F2048" t="s">
        <v>87</v>
      </c>
      <c r="G2048" t="s">
        <v>4827</v>
      </c>
      <c r="H2048" t="s">
        <v>153</v>
      </c>
      <c r="I2048" t="s">
        <v>180</v>
      </c>
      <c r="J2048" t="s">
        <v>154</v>
      </c>
      <c r="K2048" t="s">
        <v>155</v>
      </c>
      <c r="L2048" t="s">
        <v>4828</v>
      </c>
      <c r="N2048" t="s">
        <v>4829</v>
      </c>
      <c r="O2048" t="s">
        <v>187</v>
      </c>
      <c r="R2048" t="s">
        <v>4830</v>
      </c>
      <c r="S2048" t="s">
        <v>2864</v>
      </c>
      <c r="V2048" t="s">
        <v>2855</v>
      </c>
      <c r="W2048" t="s">
        <v>2898</v>
      </c>
      <c r="AD2048" t="s">
        <v>4831</v>
      </c>
    </row>
    <row r="2049" spans="1:32" x14ac:dyDescent="0.25">
      <c r="A2049" t="s">
        <v>33</v>
      </c>
      <c r="D2049" t="s">
        <v>2847</v>
      </c>
      <c r="E2049" t="s">
        <v>2893</v>
      </c>
      <c r="F2049" t="s">
        <v>87</v>
      </c>
      <c r="G2049" t="s">
        <v>4827</v>
      </c>
      <c r="H2049" t="s">
        <v>153</v>
      </c>
      <c r="I2049" t="s">
        <v>100</v>
      </c>
      <c r="J2049" t="s">
        <v>154</v>
      </c>
      <c r="K2049" t="s">
        <v>155</v>
      </c>
      <c r="L2049" t="s">
        <v>4828</v>
      </c>
      <c r="N2049" t="s">
        <v>4829</v>
      </c>
      <c r="O2049" t="s">
        <v>448</v>
      </c>
      <c r="R2049" t="s">
        <v>4832</v>
      </c>
      <c r="S2049" t="s">
        <v>2864</v>
      </c>
      <c r="V2049" t="s">
        <v>2855</v>
      </c>
      <c r="W2049" t="s">
        <v>2898</v>
      </c>
      <c r="AD2049" t="s">
        <v>4833</v>
      </c>
    </row>
    <row r="2050" spans="1:32" x14ac:dyDescent="0.25">
      <c r="A2050" t="s">
        <v>33</v>
      </c>
      <c r="D2050" t="s">
        <v>2847</v>
      </c>
      <c r="E2050" t="s">
        <v>2893</v>
      </c>
      <c r="F2050" t="s">
        <v>87</v>
      </c>
      <c r="G2050" t="s">
        <v>4827</v>
      </c>
      <c r="H2050" t="s">
        <v>143</v>
      </c>
      <c r="I2050" t="s">
        <v>100</v>
      </c>
      <c r="J2050" t="s">
        <v>145</v>
      </c>
      <c r="K2050" t="s">
        <v>146</v>
      </c>
      <c r="L2050" t="s">
        <v>4828</v>
      </c>
      <c r="M2050" t="s">
        <v>252</v>
      </c>
      <c r="N2050" t="s">
        <v>4829</v>
      </c>
      <c r="O2050" t="s">
        <v>442</v>
      </c>
      <c r="R2050" t="s">
        <v>4834</v>
      </c>
      <c r="S2050" t="s">
        <v>2864</v>
      </c>
      <c r="V2050" t="s">
        <v>2855</v>
      </c>
      <c r="W2050" t="s">
        <v>2898</v>
      </c>
      <c r="AD2050" t="s">
        <v>4835</v>
      </c>
    </row>
    <row r="2051" spans="1:32" x14ac:dyDescent="0.25">
      <c r="A2051" t="s">
        <v>33</v>
      </c>
      <c r="D2051" t="s">
        <v>2847</v>
      </c>
      <c r="E2051" t="s">
        <v>2893</v>
      </c>
      <c r="F2051" t="s">
        <v>87</v>
      </c>
      <c r="G2051" t="s">
        <v>4827</v>
      </c>
      <c r="H2051" t="s">
        <v>89</v>
      </c>
      <c r="I2051" t="s">
        <v>100</v>
      </c>
      <c r="J2051" t="s">
        <v>91</v>
      </c>
      <c r="K2051" t="s">
        <v>92</v>
      </c>
      <c r="L2051" t="s">
        <v>4828</v>
      </c>
      <c r="M2051" t="s">
        <v>94</v>
      </c>
      <c r="N2051" t="s">
        <v>4829</v>
      </c>
      <c r="O2051" t="s">
        <v>445</v>
      </c>
      <c r="P2051">
        <v>1E-3</v>
      </c>
      <c r="R2051" t="s">
        <v>4836</v>
      </c>
      <c r="S2051" t="s">
        <v>2864</v>
      </c>
      <c r="V2051" t="s">
        <v>2855</v>
      </c>
      <c r="W2051" t="s">
        <v>2898</v>
      </c>
      <c r="AD2051" t="s">
        <v>4837</v>
      </c>
    </row>
    <row r="2052" spans="1:32" x14ac:dyDescent="0.25">
      <c r="A2052" t="s">
        <v>33</v>
      </c>
      <c r="D2052" t="s">
        <v>2847</v>
      </c>
      <c r="E2052" t="s">
        <v>2893</v>
      </c>
      <c r="F2052" t="s">
        <v>87</v>
      </c>
      <c r="G2052" t="s">
        <v>4827</v>
      </c>
      <c r="H2052" t="s">
        <v>143</v>
      </c>
      <c r="I2052" t="s">
        <v>180</v>
      </c>
      <c r="J2052" t="s">
        <v>145</v>
      </c>
      <c r="K2052" t="s">
        <v>146</v>
      </c>
      <c r="L2052" t="s">
        <v>4828</v>
      </c>
      <c r="M2052" t="s">
        <v>252</v>
      </c>
      <c r="N2052" t="s">
        <v>4829</v>
      </c>
      <c r="O2052" t="s">
        <v>181</v>
      </c>
      <c r="R2052" t="s">
        <v>4838</v>
      </c>
      <c r="S2052" t="s">
        <v>2864</v>
      </c>
      <c r="V2052" t="s">
        <v>2855</v>
      </c>
      <c r="W2052" t="s">
        <v>2898</v>
      </c>
      <c r="AD2052" t="s">
        <v>4839</v>
      </c>
    </row>
    <row r="2053" spans="1:32" x14ac:dyDescent="0.25">
      <c r="A2053" t="s">
        <v>33</v>
      </c>
      <c r="D2053" t="s">
        <v>2847</v>
      </c>
      <c r="E2053" t="s">
        <v>2893</v>
      </c>
      <c r="F2053" t="s">
        <v>87</v>
      </c>
      <c r="G2053" t="s">
        <v>4827</v>
      </c>
      <c r="H2053" t="s">
        <v>89</v>
      </c>
      <c r="I2053" t="s">
        <v>180</v>
      </c>
      <c r="J2053" t="s">
        <v>91</v>
      </c>
      <c r="K2053" t="s">
        <v>92</v>
      </c>
      <c r="L2053" t="s">
        <v>4828</v>
      </c>
      <c r="M2053" t="s">
        <v>94</v>
      </c>
      <c r="N2053" t="s">
        <v>4829</v>
      </c>
      <c r="O2053" t="s">
        <v>184</v>
      </c>
      <c r="P2053">
        <v>1E-3</v>
      </c>
      <c r="R2053" t="s">
        <v>4840</v>
      </c>
      <c r="S2053" t="s">
        <v>2864</v>
      </c>
      <c r="V2053" t="s">
        <v>2855</v>
      </c>
      <c r="W2053" t="s">
        <v>2898</v>
      </c>
      <c r="AD2053" t="s">
        <v>4841</v>
      </c>
    </row>
    <row r="2054" spans="1:32" x14ac:dyDescent="0.25">
      <c r="A2054" t="s">
        <v>33</v>
      </c>
      <c r="D2054" t="s">
        <v>2847</v>
      </c>
      <c r="E2054" t="s">
        <v>2893</v>
      </c>
      <c r="F2054" t="s">
        <v>87</v>
      </c>
      <c r="G2054" t="s">
        <v>4827</v>
      </c>
      <c r="H2054" t="s">
        <v>38</v>
      </c>
      <c r="I2054" t="s">
        <v>106</v>
      </c>
      <c r="J2054" t="s">
        <v>40</v>
      </c>
      <c r="K2054" t="s">
        <v>41</v>
      </c>
      <c r="L2054" t="s">
        <v>4828</v>
      </c>
      <c r="M2054" t="s">
        <v>252</v>
      </c>
      <c r="N2054" t="s">
        <v>4829</v>
      </c>
      <c r="O2054" t="s">
        <v>109</v>
      </c>
      <c r="R2054" t="s">
        <v>4842</v>
      </c>
      <c r="S2054" t="s">
        <v>2864</v>
      </c>
      <c r="V2054" t="s">
        <v>2855</v>
      </c>
      <c r="W2054" t="s">
        <v>2898</v>
      </c>
      <c r="AD2054" t="s">
        <v>4843</v>
      </c>
    </row>
    <row r="2055" spans="1:32" x14ac:dyDescent="0.25">
      <c r="A2055" t="s">
        <v>33</v>
      </c>
      <c r="D2055" t="s">
        <v>2847</v>
      </c>
      <c r="E2055" t="s">
        <v>2893</v>
      </c>
      <c r="F2055" t="s">
        <v>87</v>
      </c>
      <c r="G2055" t="s">
        <v>4844</v>
      </c>
      <c r="H2055" t="s">
        <v>153</v>
      </c>
      <c r="I2055" t="s">
        <v>144</v>
      </c>
      <c r="J2055" t="s">
        <v>154</v>
      </c>
      <c r="K2055" t="s">
        <v>155</v>
      </c>
      <c r="L2055" t="s">
        <v>4845</v>
      </c>
      <c r="N2055" t="s">
        <v>4846</v>
      </c>
      <c r="O2055" t="s">
        <v>156</v>
      </c>
      <c r="R2055" t="s">
        <v>4847</v>
      </c>
      <c r="S2055" t="s">
        <v>2864</v>
      </c>
      <c r="V2055" t="s">
        <v>2855</v>
      </c>
      <c r="W2055" t="s">
        <v>2898</v>
      </c>
      <c r="AD2055" t="s">
        <v>4848</v>
      </c>
    </row>
    <row r="2056" spans="1:32" x14ac:dyDescent="0.25">
      <c r="A2056" t="s">
        <v>33</v>
      </c>
      <c r="D2056" t="s">
        <v>2847</v>
      </c>
      <c r="E2056" t="s">
        <v>2893</v>
      </c>
      <c r="F2056" t="s">
        <v>87</v>
      </c>
      <c r="G2056" t="s">
        <v>4844</v>
      </c>
      <c r="H2056" t="s">
        <v>153</v>
      </c>
      <c r="I2056" t="s">
        <v>90</v>
      </c>
      <c r="J2056" t="s">
        <v>154</v>
      </c>
      <c r="K2056" t="s">
        <v>155</v>
      </c>
      <c r="L2056" t="s">
        <v>4845</v>
      </c>
      <c r="N2056" t="s">
        <v>4846</v>
      </c>
      <c r="O2056" t="s">
        <v>386</v>
      </c>
      <c r="R2056" t="s">
        <v>4849</v>
      </c>
      <c r="S2056" t="s">
        <v>2864</v>
      </c>
      <c r="V2056" t="s">
        <v>2855</v>
      </c>
      <c r="W2056" t="s">
        <v>2898</v>
      </c>
      <c r="AD2056" t="s">
        <v>4850</v>
      </c>
    </row>
    <row r="2057" spans="1:32" x14ac:dyDescent="0.25">
      <c r="A2057" t="s">
        <v>33</v>
      </c>
      <c r="D2057" t="s">
        <v>2847</v>
      </c>
      <c r="E2057" t="s">
        <v>2893</v>
      </c>
      <c r="F2057" t="s">
        <v>87</v>
      </c>
      <c r="G2057" t="s">
        <v>4844</v>
      </c>
      <c r="H2057" t="s">
        <v>89</v>
      </c>
      <c r="I2057" t="s">
        <v>90</v>
      </c>
      <c r="J2057" t="s">
        <v>91</v>
      </c>
      <c r="K2057" t="s">
        <v>92</v>
      </c>
      <c r="L2057" t="s">
        <v>4845</v>
      </c>
      <c r="M2057" t="s">
        <v>94</v>
      </c>
      <c r="N2057" t="s">
        <v>4846</v>
      </c>
      <c r="O2057" t="s">
        <v>383</v>
      </c>
      <c r="P2057">
        <v>1E-3</v>
      </c>
      <c r="R2057" t="s">
        <v>4851</v>
      </c>
      <c r="S2057" t="s">
        <v>2864</v>
      </c>
      <c r="V2057" t="s">
        <v>2855</v>
      </c>
      <c r="W2057" t="s">
        <v>2898</v>
      </c>
      <c r="AD2057" t="s">
        <v>4852</v>
      </c>
    </row>
    <row r="2058" spans="1:32" x14ac:dyDescent="0.25">
      <c r="A2058" t="s">
        <v>33</v>
      </c>
      <c r="D2058" t="s">
        <v>2847</v>
      </c>
      <c r="E2058" t="s">
        <v>2893</v>
      </c>
      <c r="F2058" t="s">
        <v>87</v>
      </c>
      <c r="G2058" t="s">
        <v>4844</v>
      </c>
      <c r="H2058" t="s">
        <v>89</v>
      </c>
      <c r="I2058" t="s">
        <v>144</v>
      </c>
      <c r="J2058" t="s">
        <v>91</v>
      </c>
      <c r="K2058" t="s">
        <v>92</v>
      </c>
      <c r="L2058" t="s">
        <v>4845</v>
      </c>
      <c r="M2058" t="s">
        <v>94</v>
      </c>
      <c r="N2058" t="s">
        <v>4846</v>
      </c>
      <c r="O2058" t="s">
        <v>150</v>
      </c>
      <c r="P2058">
        <v>1E-3</v>
      </c>
      <c r="R2058" t="s">
        <v>4853</v>
      </c>
      <c r="S2058" t="s">
        <v>2864</v>
      </c>
      <c r="V2058" t="s">
        <v>2855</v>
      </c>
      <c r="W2058" t="s">
        <v>2898</v>
      </c>
      <c r="AD2058" t="s">
        <v>4854</v>
      </c>
    </row>
    <row r="2059" spans="1:32" x14ac:dyDescent="0.25">
      <c r="A2059" t="s">
        <v>33</v>
      </c>
      <c r="D2059" t="s">
        <v>2847</v>
      </c>
      <c r="E2059" t="s">
        <v>2893</v>
      </c>
      <c r="F2059" t="s">
        <v>87</v>
      </c>
      <c r="G2059" t="s">
        <v>4844</v>
      </c>
      <c r="H2059" t="s">
        <v>38</v>
      </c>
      <c r="I2059" t="s">
        <v>106</v>
      </c>
      <c r="J2059" t="s">
        <v>40</v>
      </c>
      <c r="K2059" t="s">
        <v>41</v>
      </c>
      <c r="L2059" t="s">
        <v>4845</v>
      </c>
      <c r="M2059" t="s">
        <v>252</v>
      </c>
      <c r="N2059" t="s">
        <v>4846</v>
      </c>
      <c r="O2059" t="s">
        <v>109</v>
      </c>
      <c r="R2059" t="s">
        <v>4855</v>
      </c>
      <c r="S2059" t="s">
        <v>2864</v>
      </c>
      <c r="V2059" t="s">
        <v>2855</v>
      </c>
      <c r="W2059" t="s">
        <v>2898</v>
      </c>
      <c r="AD2059" t="s">
        <v>4856</v>
      </c>
    </row>
    <row r="2060" spans="1:32" x14ac:dyDescent="0.25">
      <c r="A2060" t="s">
        <v>33</v>
      </c>
      <c r="D2060" t="s">
        <v>2847</v>
      </c>
      <c r="E2060" t="s">
        <v>2893</v>
      </c>
      <c r="F2060" t="s">
        <v>87</v>
      </c>
      <c r="G2060" t="s">
        <v>4857</v>
      </c>
      <c r="H2060" t="s">
        <v>153</v>
      </c>
      <c r="I2060" t="s">
        <v>180</v>
      </c>
      <c r="J2060" t="s">
        <v>154</v>
      </c>
      <c r="K2060" t="s">
        <v>155</v>
      </c>
      <c r="L2060" t="s">
        <v>4858</v>
      </c>
      <c r="N2060" t="s">
        <v>4859</v>
      </c>
      <c r="O2060" t="s">
        <v>187</v>
      </c>
      <c r="R2060" t="s">
        <v>4860</v>
      </c>
      <c r="S2060" t="s">
        <v>2864</v>
      </c>
      <c r="V2060" t="s">
        <v>2855</v>
      </c>
      <c r="W2060" t="s">
        <v>2898</v>
      </c>
      <c r="AD2060" t="s">
        <v>4861</v>
      </c>
    </row>
    <row r="2061" spans="1:32" x14ac:dyDescent="0.25">
      <c r="A2061" t="s">
        <v>33</v>
      </c>
      <c r="D2061" t="s">
        <v>2847</v>
      </c>
      <c r="E2061" t="s">
        <v>2893</v>
      </c>
      <c r="F2061" t="s">
        <v>87</v>
      </c>
      <c r="G2061" t="s">
        <v>4857</v>
      </c>
      <c r="H2061" t="s">
        <v>153</v>
      </c>
      <c r="I2061" t="s">
        <v>100</v>
      </c>
      <c r="J2061" t="s">
        <v>154</v>
      </c>
      <c r="K2061" t="s">
        <v>155</v>
      </c>
      <c r="L2061" t="s">
        <v>4858</v>
      </c>
      <c r="N2061" t="s">
        <v>4859</v>
      </c>
      <c r="O2061" t="s">
        <v>448</v>
      </c>
      <c r="R2061" t="s">
        <v>4862</v>
      </c>
      <c r="S2061" t="s">
        <v>2864</v>
      </c>
      <c r="V2061" t="s">
        <v>2855</v>
      </c>
      <c r="W2061" t="s">
        <v>2898</v>
      </c>
      <c r="AC2061" t="s">
        <v>4863</v>
      </c>
      <c r="AD2061" t="s">
        <v>4864</v>
      </c>
      <c r="AE2061" t="s">
        <v>4194</v>
      </c>
      <c r="AF2061">
        <v>2</v>
      </c>
    </row>
    <row r="2062" spans="1:32" x14ac:dyDescent="0.25">
      <c r="A2062" t="s">
        <v>33</v>
      </c>
      <c r="D2062" t="s">
        <v>2847</v>
      </c>
      <c r="E2062" t="s">
        <v>2893</v>
      </c>
      <c r="F2062" t="s">
        <v>87</v>
      </c>
      <c r="G2062" t="s">
        <v>4857</v>
      </c>
      <c r="H2062" t="s">
        <v>89</v>
      </c>
      <c r="I2062" t="s">
        <v>100</v>
      </c>
      <c r="J2062" t="s">
        <v>91</v>
      </c>
      <c r="K2062" t="s">
        <v>92</v>
      </c>
      <c r="L2062" t="s">
        <v>4858</v>
      </c>
      <c r="M2062" t="s">
        <v>94</v>
      </c>
      <c r="N2062" t="s">
        <v>4859</v>
      </c>
      <c r="O2062" t="s">
        <v>445</v>
      </c>
      <c r="P2062">
        <v>1E-3</v>
      </c>
      <c r="R2062" t="s">
        <v>4865</v>
      </c>
      <c r="S2062" t="s">
        <v>2864</v>
      </c>
      <c r="V2062" t="s">
        <v>2855</v>
      </c>
      <c r="W2062" t="s">
        <v>2898</v>
      </c>
      <c r="AD2062" t="s">
        <v>4866</v>
      </c>
    </row>
    <row r="2063" spans="1:32" x14ac:dyDescent="0.25">
      <c r="A2063" t="s">
        <v>33</v>
      </c>
      <c r="D2063" t="s">
        <v>2847</v>
      </c>
      <c r="E2063" t="s">
        <v>2893</v>
      </c>
      <c r="F2063" t="s">
        <v>87</v>
      </c>
      <c r="G2063" t="s">
        <v>4857</v>
      </c>
      <c r="H2063" t="s">
        <v>89</v>
      </c>
      <c r="I2063" t="s">
        <v>180</v>
      </c>
      <c r="J2063" t="s">
        <v>91</v>
      </c>
      <c r="K2063" t="s">
        <v>92</v>
      </c>
      <c r="L2063" t="s">
        <v>4858</v>
      </c>
      <c r="M2063" t="s">
        <v>94</v>
      </c>
      <c r="N2063" t="s">
        <v>4859</v>
      </c>
      <c r="O2063" t="s">
        <v>184</v>
      </c>
      <c r="P2063">
        <v>1E-3</v>
      </c>
      <c r="R2063" t="s">
        <v>4867</v>
      </c>
      <c r="S2063" t="s">
        <v>2864</v>
      </c>
      <c r="V2063" t="s">
        <v>2855</v>
      </c>
      <c r="W2063" t="s">
        <v>2898</v>
      </c>
      <c r="AD2063" t="s">
        <v>4868</v>
      </c>
    </row>
    <row r="2064" spans="1:32" x14ac:dyDescent="0.25">
      <c r="A2064" t="s">
        <v>33</v>
      </c>
      <c r="D2064" t="s">
        <v>2847</v>
      </c>
      <c r="E2064" t="s">
        <v>2893</v>
      </c>
      <c r="F2064" t="s">
        <v>87</v>
      </c>
      <c r="G2064" t="s">
        <v>4857</v>
      </c>
      <c r="H2064" t="s">
        <v>38</v>
      </c>
      <c r="I2064" t="s">
        <v>106</v>
      </c>
      <c r="J2064" t="s">
        <v>40</v>
      </c>
      <c r="K2064" t="s">
        <v>41</v>
      </c>
      <c r="L2064" t="s">
        <v>4858</v>
      </c>
      <c r="M2064" t="s">
        <v>252</v>
      </c>
      <c r="N2064" t="s">
        <v>4859</v>
      </c>
      <c r="O2064" t="s">
        <v>109</v>
      </c>
      <c r="R2064" t="s">
        <v>4869</v>
      </c>
      <c r="S2064" t="s">
        <v>2864</v>
      </c>
      <c r="V2064" t="s">
        <v>2855</v>
      </c>
      <c r="W2064" t="s">
        <v>2898</v>
      </c>
      <c r="AD2064" t="s">
        <v>4870</v>
      </c>
    </row>
    <row r="2065" spans="1:30" x14ac:dyDescent="0.25">
      <c r="A2065" t="s">
        <v>33</v>
      </c>
      <c r="D2065" t="s">
        <v>2847</v>
      </c>
      <c r="E2065" t="s">
        <v>2848</v>
      </c>
      <c r="F2065" t="s">
        <v>87</v>
      </c>
      <c r="G2065" t="s">
        <v>4035</v>
      </c>
      <c r="H2065" t="s">
        <v>153</v>
      </c>
      <c r="I2065" t="s">
        <v>144</v>
      </c>
      <c r="J2065" t="s">
        <v>154</v>
      </c>
      <c r="K2065" t="s">
        <v>155</v>
      </c>
      <c r="L2065" t="s">
        <v>4036</v>
      </c>
      <c r="N2065" t="s">
        <v>4037</v>
      </c>
      <c r="O2065" t="s">
        <v>156</v>
      </c>
      <c r="R2065" t="s">
        <v>4871</v>
      </c>
      <c r="S2065" t="s">
        <v>2882</v>
      </c>
      <c r="V2065" t="s">
        <v>2855</v>
      </c>
      <c r="W2065" t="s">
        <v>2856</v>
      </c>
      <c r="AD2065" t="s">
        <v>4872</v>
      </c>
    </row>
    <row r="2066" spans="1:30" x14ac:dyDescent="0.25">
      <c r="A2066" t="s">
        <v>33</v>
      </c>
      <c r="D2066" t="s">
        <v>2847</v>
      </c>
      <c r="E2066" t="s">
        <v>2869</v>
      </c>
      <c r="F2066" t="s">
        <v>87</v>
      </c>
      <c r="G2066" t="s">
        <v>4085</v>
      </c>
      <c r="H2066" t="s">
        <v>153</v>
      </c>
      <c r="I2066" t="s">
        <v>144</v>
      </c>
      <c r="J2066" t="s">
        <v>154</v>
      </c>
      <c r="K2066" t="s">
        <v>155</v>
      </c>
      <c r="L2066" t="s">
        <v>4086</v>
      </c>
      <c r="N2066" t="s">
        <v>4087</v>
      </c>
      <c r="O2066" t="s">
        <v>156</v>
      </c>
      <c r="R2066" t="s">
        <v>4871</v>
      </c>
      <c r="S2066" t="s">
        <v>2864</v>
      </c>
      <c r="V2066" t="s">
        <v>2855</v>
      </c>
      <c r="W2066" t="s">
        <v>2865</v>
      </c>
      <c r="AD2066" t="s">
        <v>4873</v>
      </c>
    </row>
    <row r="2067" spans="1:30" x14ac:dyDescent="0.25">
      <c r="A2067" t="s">
        <v>33</v>
      </c>
      <c r="D2067" t="s">
        <v>2847</v>
      </c>
      <c r="E2067" t="s">
        <v>2848</v>
      </c>
      <c r="F2067" t="s">
        <v>87</v>
      </c>
      <c r="G2067" t="s">
        <v>4035</v>
      </c>
      <c r="H2067" t="s">
        <v>153</v>
      </c>
      <c r="I2067" t="s">
        <v>90</v>
      </c>
      <c r="J2067" t="s">
        <v>154</v>
      </c>
      <c r="K2067" t="s">
        <v>155</v>
      </c>
      <c r="L2067" t="s">
        <v>4036</v>
      </c>
      <c r="N2067" t="s">
        <v>4037</v>
      </c>
      <c r="O2067" t="s">
        <v>386</v>
      </c>
      <c r="R2067" t="s">
        <v>4874</v>
      </c>
      <c r="S2067" t="s">
        <v>2882</v>
      </c>
      <c r="V2067" t="s">
        <v>2855</v>
      </c>
      <c r="W2067" t="s">
        <v>2856</v>
      </c>
      <c r="AD2067" t="s">
        <v>4875</v>
      </c>
    </row>
    <row r="2068" spans="1:30" x14ac:dyDescent="0.25">
      <c r="A2068" t="s">
        <v>33</v>
      </c>
      <c r="D2068" t="s">
        <v>2847</v>
      </c>
      <c r="E2068" t="s">
        <v>2848</v>
      </c>
      <c r="F2068" t="s">
        <v>87</v>
      </c>
      <c r="G2068" t="s">
        <v>4035</v>
      </c>
      <c r="H2068" t="s">
        <v>143</v>
      </c>
      <c r="I2068" t="s">
        <v>90</v>
      </c>
      <c r="J2068" t="s">
        <v>145</v>
      </c>
      <c r="K2068" t="s">
        <v>262</v>
      </c>
      <c r="L2068" t="s">
        <v>4036</v>
      </c>
      <c r="M2068" t="s">
        <v>252</v>
      </c>
      <c r="N2068" t="s">
        <v>4037</v>
      </c>
      <c r="O2068" t="s">
        <v>380</v>
      </c>
      <c r="R2068" t="s">
        <v>4876</v>
      </c>
      <c r="S2068" t="s">
        <v>2882</v>
      </c>
      <c r="V2068" t="s">
        <v>2855</v>
      </c>
      <c r="W2068" t="s">
        <v>2856</v>
      </c>
      <c r="AD2068" t="s">
        <v>4877</v>
      </c>
    </row>
    <row r="2069" spans="1:30" x14ac:dyDescent="0.25">
      <c r="A2069" t="s">
        <v>33</v>
      </c>
      <c r="D2069" t="s">
        <v>2847</v>
      </c>
      <c r="E2069" t="s">
        <v>2848</v>
      </c>
      <c r="F2069" t="s">
        <v>87</v>
      </c>
      <c r="G2069" t="s">
        <v>4035</v>
      </c>
      <c r="H2069" t="s">
        <v>89</v>
      </c>
      <c r="I2069" t="s">
        <v>90</v>
      </c>
      <c r="J2069" t="s">
        <v>91</v>
      </c>
      <c r="K2069" t="s">
        <v>92</v>
      </c>
      <c r="L2069" t="s">
        <v>4036</v>
      </c>
      <c r="M2069" t="s">
        <v>94</v>
      </c>
      <c r="N2069" t="s">
        <v>4037</v>
      </c>
      <c r="O2069" t="s">
        <v>383</v>
      </c>
      <c r="P2069">
        <v>1E-3</v>
      </c>
      <c r="R2069" t="s">
        <v>4878</v>
      </c>
      <c r="S2069" t="s">
        <v>2882</v>
      </c>
      <c r="V2069" t="s">
        <v>2855</v>
      </c>
      <c r="W2069" t="s">
        <v>2856</v>
      </c>
      <c r="AD2069" t="s">
        <v>4879</v>
      </c>
    </row>
    <row r="2070" spans="1:30" x14ac:dyDescent="0.25">
      <c r="A2070" t="s">
        <v>33</v>
      </c>
      <c r="D2070" t="s">
        <v>2847</v>
      </c>
      <c r="E2070" t="s">
        <v>2848</v>
      </c>
      <c r="F2070" t="s">
        <v>87</v>
      </c>
      <c r="G2070" t="s">
        <v>4035</v>
      </c>
      <c r="H2070" t="s">
        <v>143</v>
      </c>
      <c r="I2070" t="s">
        <v>144</v>
      </c>
      <c r="J2070" t="s">
        <v>145</v>
      </c>
      <c r="K2070" t="s">
        <v>262</v>
      </c>
      <c r="L2070" t="s">
        <v>4036</v>
      </c>
      <c r="M2070" t="s">
        <v>252</v>
      </c>
      <c r="N2070" t="s">
        <v>4037</v>
      </c>
      <c r="O2070" t="s">
        <v>147</v>
      </c>
      <c r="R2070" t="s">
        <v>4880</v>
      </c>
      <c r="S2070" t="s">
        <v>2882</v>
      </c>
      <c r="V2070" t="s">
        <v>2855</v>
      </c>
      <c r="W2070" t="s">
        <v>2856</v>
      </c>
      <c r="AD2070" t="s">
        <v>4881</v>
      </c>
    </row>
    <row r="2071" spans="1:30" x14ac:dyDescent="0.25">
      <c r="A2071" t="s">
        <v>33</v>
      </c>
      <c r="D2071" t="s">
        <v>2847</v>
      </c>
      <c r="E2071" t="s">
        <v>2869</v>
      </c>
      <c r="F2071" t="s">
        <v>87</v>
      </c>
      <c r="G2071" t="s">
        <v>4085</v>
      </c>
      <c r="H2071" t="s">
        <v>143</v>
      </c>
      <c r="I2071" t="s">
        <v>144</v>
      </c>
      <c r="J2071" t="s">
        <v>145</v>
      </c>
      <c r="K2071" t="s">
        <v>146</v>
      </c>
      <c r="L2071" t="s">
        <v>4086</v>
      </c>
      <c r="M2071" t="s">
        <v>252</v>
      </c>
      <c r="N2071" t="s">
        <v>4087</v>
      </c>
      <c r="O2071" t="s">
        <v>147</v>
      </c>
      <c r="R2071" t="s">
        <v>4880</v>
      </c>
      <c r="S2071" t="s">
        <v>2864</v>
      </c>
      <c r="V2071" t="s">
        <v>2855</v>
      </c>
      <c r="W2071" t="s">
        <v>2865</v>
      </c>
      <c r="AD2071" t="s">
        <v>4882</v>
      </c>
    </row>
    <row r="2072" spans="1:30" x14ac:dyDescent="0.25">
      <c r="A2072" t="s">
        <v>33</v>
      </c>
      <c r="D2072" t="s">
        <v>2847</v>
      </c>
      <c r="E2072" t="s">
        <v>2848</v>
      </c>
      <c r="F2072" t="s">
        <v>87</v>
      </c>
      <c r="G2072" t="s">
        <v>4035</v>
      </c>
      <c r="H2072" t="s">
        <v>89</v>
      </c>
      <c r="I2072" t="s">
        <v>144</v>
      </c>
      <c r="J2072" t="s">
        <v>91</v>
      </c>
      <c r="K2072" t="s">
        <v>92</v>
      </c>
      <c r="L2072" t="s">
        <v>4036</v>
      </c>
      <c r="M2072" t="s">
        <v>94</v>
      </c>
      <c r="N2072" t="s">
        <v>4037</v>
      </c>
      <c r="O2072" t="s">
        <v>150</v>
      </c>
      <c r="P2072">
        <v>1E-3</v>
      </c>
      <c r="R2072" t="s">
        <v>4883</v>
      </c>
      <c r="S2072" t="s">
        <v>2882</v>
      </c>
      <c r="V2072" t="s">
        <v>2855</v>
      </c>
      <c r="W2072" t="s">
        <v>2856</v>
      </c>
      <c r="AD2072" t="s">
        <v>4884</v>
      </c>
    </row>
    <row r="2073" spans="1:30" x14ac:dyDescent="0.25">
      <c r="A2073" t="s">
        <v>33</v>
      </c>
      <c r="D2073" t="s">
        <v>2847</v>
      </c>
      <c r="E2073" t="s">
        <v>2869</v>
      </c>
      <c r="F2073" t="s">
        <v>87</v>
      </c>
      <c r="G2073" t="s">
        <v>4085</v>
      </c>
      <c r="H2073" t="s">
        <v>89</v>
      </c>
      <c r="I2073" t="s">
        <v>144</v>
      </c>
      <c r="J2073" t="s">
        <v>91</v>
      </c>
      <c r="K2073" t="s">
        <v>92</v>
      </c>
      <c r="L2073" t="s">
        <v>4086</v>
      </c>
      <c r="M2073" t="s">
        <v>94</v>
      </c>
      <c r="N2073" t="s">
        <v>4087</v>
      </c>
      <c r="O2073" t="s">
        <v>150</v>
      </c>
      <c r="P2073">
        <v>1E-3</v>
      </c>
      <c r="R2073" t="s">
        <v>4883</v>
      </c>
      <c r="S2073" t="s">
        <v>2864</v>
      </c>
      <c r="V2073" t="s">
        <v>2855</v>
      </c>
      <c r="W2073" t="s">
        <v>2865</v>
      </c>
      <c r="AD2073" t="s">
        <v>4885</v>
      </c>
    </row>
    <row r="2074" spans="1:30" x14ac:dyDescent="0.25">
      <c r="A2074" t="s">
        <v>33</v>
      </c>
      <c r="D2074" t="s">
        <v>2847</v>
      </c>
      <c r="E2074" t="s">
        <v>2848</v>
      </c>
      <c r="F2074" t="s">
        <v>87</v>
      </c>
      <c r="G2074" t="s">
        <v>4035</v>
      </c>
      <c r="H2074" t="s">
        <v>153</v>
      </c>
      <c r="I2074" t="s">
        <v>180</v>
      </c>
      <c r="J2074" t="s">
        <v>154</v>
      </c>
      <c r="K2074" t="s">
        <v>155</v>
      </c>
      <c r="L2074" t="s">
        <v>4036</v>
      </c>
      <c r="N2074" t="s">
        <v>4037</v>
      </c>
      <c r="O2074" t="s">
        <v>187</v>
      </c>
      <c r="R2074" t="s">
        <v>4886</v>
      </c>
      <c r="S2074" t="s">
        <v>2882</v>
      </c>
      <c r="V2074" t="s">
        <v>2855</v>
      </c>
      <c r="W2074" t="s">
        <v>2856</v>
      </c>
      <c r="AD2074" t="s">
        <v>4887</v>
      </c>
    </row>
    <row r="2075" spans="1:30" x14ac:dyDescent="0.25">
      <c r="A2075" t="s">
        <v>33</v>
      </c>
      <c r="D2075" t="s">
        <v>2847</v>
      </c>
      <c r="E2075" t="s">
        <v>2869</v>
      </c>
      <c r="F2075" t="s">
        <v>87</v>
      </c>
      <c r="G2075" t="s">
        <v>4085</v>
      </c>
      <c r="H2075" t="s">
        <v>153</v>
      </c>
      <c r="I2075" t="s">
        <v>180</v>
      </c>
      <c r="J2075" t="s">
        <v>154</v>
      </c>
      <c r="K2075" t="s">
        <v>155</v>
      </c>
      <c r="L2075" t="s">
        <v>4086</v>
      </c>
      <c r="N2075" t="s">
        <v>4087</v>
      </c>
      <c r="O2075" t="s">
        <v>187</v>
      </c>
      <c r="R2075" t="s">
        <v>4886</v>
      </c>
      <c r="S2075" t="s">
        <v>2864</v>
      </c>
      <c r="V2075" t="s">
        <v>2855</v>
      </c>
      <c r="W2075" t="s">
        <v>2865</v>
      </c>
      <c r="AD2075" t="s">
        <v>4888</v>
      </c>
    </row>
    <row r="2076" spans="1:30" x14ac:dyDescent="0.25">
      <c r="A2076" t="s">
        <v>33</v>
      </c>
      <c r="D2076" t="s">
        <v>2847</v>
      </c>
      <c r="E2076" t="s">
        <v>2848</v>
      </c>
      <c r="F2076" t="s">
        <v>87</v>
      </c>
      <c r="G2076" t="s">
        <v>4035</v>
      </c>
      <c r="H2076" t="s">
        <v>153</v>
      </c>
      <c r="I2076" t="s">
        <v>100</v>
      </c>
      <c r="J2076" t="s">
        <v>154</v>
      </c>
      <c r="K2076" t="s">
        <v>155</v>
      </c>
      <c r="L2076" t="s">
        <v>4036</v>
      </c>
      <c r="N2076" t="s">
        <v>4037</v>
      </c>
      <c r="O2076" t="s">
        <v>448</v>
      </c>
      <c r="R2076" t="s">
        <v>4889</v>
      </c>
      <c r="S2076" t="s">
        <v>2882</v>
      </c>
      <c r="V2076" t="s">
        <v>2855</v>
      </c>
      <c r="W2076" t="s">
        <v>2856</v>
      </c>
      <c r="AD2076" t="s">
        <v>4890</v>
      </c>
    </row>
    <row r="2077" spans="1:30" x14ac:dyDescent="0.25">
      <c r="A2077" t="s">
        <v>33</v>
      </c>
      <c r="D2077" t="s">
        <v>2847</v>
      </c>
      <c r="E2077" t="s">
        <v>2848</v>
      </c>
      <c r="F2077" t="s">
        <v>87</v>
      </c>
      <c r="G2077" t="s">
        <v>4035</v>
      </c>
      <c r="H2077" t="s">
        <v>143</v>
      </c>
      <c r="I2077" t="s">
        <v>100</v>
      </c>
      <c r="J2077" t="s">
        <v>145</v>
      </c>
      <c r="K2077" t="s">
        <v>262</v>
      </c>
      <c r="L2077" t="s">
        <v>4036</v>
      </c>
      <c r="M2077" t="s">
        <v>252</v>
      </c>
      <c r="N2077" t="s">
        <v>4037</v>
      </c>
      <c r="O2077" t="s">
        <v>442</v>
      </c>
      <c r="R2077" t="s">
        <v>4891</v>
      </c>
      <c r="S2077" t="s">
        <v>2882</v>
      </c>
      <c r="V2077" t="s">
        <v>2855</v>
      </c>
      <c r="W2077" t="s">
        <v>2856</v>
      </c>
      <c r="AD2077" t="s">
        <v>4892</v>
      </c>
    </row>
    <row r="2078" spans="1:30" x14ac:dyDescent="0.25">
      <c r="A2078" t="s">
        <v>33</v>
      </c>
      <c r="D2078" t="s">
        <v>2847</v>
      </c>
      <c r="E2078" t="s">
        <v>2848</v>
      </c>
      <c r="F2078" t="s">
        <v>87</v>
      </c>
      <c r="G2078" t="s">
        <v>4035</v>
      </c>
      <c r="H2078" t="s">
        <v>89</v>
      </c>
      <c r="I2078" t="s">
        <v>100</v>
      </c>
      <c r="J2078" t="s">
        <v>91</v>
      </c>
      <c r="K2078" t="s">
        <v>92</v>
      </c>
      <c r="L2078" t="s">
        <v>4036</v>
      </c>
      <c r="M2078" t="s">
        <v>94</v>
      </c>
      <c r="N2078" t="s">
        <v>4037</v>
      </c>
      <c r="O2078" t="s">
        <v>445</v>
      </c>
      <c r="P2078">
        <v>1E-3</v>
      </c>
      <c r="R2078" t="s">
        <v>4893</v>
      </c>
      <c r="S2078" t="s">
        <v>2882</v>
      </c>
      <c r="V2078" t="s">
        <v>2855</v>
      </c>
      <c r="W2078" t="s">
        <v>2856</v>
      </c>
      <c r="AD2078" t="s">
        <v>4894</v>
      </c>
    </row>
    <row r="2079" spans="1:30" x14ac:dyDescent="0.25">
      <c r="A2079" t="s">
        <v>33</v>
      </c>
      <c r="D2079" t="s">
        <v>2847</v>
      </c>
      <c r="E2079" t="s">
        <v>2869</v>
      </c>
      <c r="F2079" t="s">
        <v>87</v>
      </c>
      <c r="G2079" t="s">
        <v>4085</v>
      </c>
      <c r="H2079" t="s">
        <v>143</v>
      </c>
      <c r="I2079" t="s">
        <v>180</v>
      </c>
      <c r="J2079" t="s">
        <v>145</v>
      </c>
      <c r="K2079" t="s">
        <v>146</v>
      </c>
      <c r="L2079" t="s">
        <v>4086</v>
      </c>
      <c r="M2079" t="s">
        <v>252</v>
      </c>
      <c r="N2079" t="s">
        <v>4087</v>
      </c>
      <c r="O2079" t="s">
        <v>181</v>
      </c>
      <c r="R2079" t="s">
        <v>4895</v>
      </c>
      <c r="S2079" t="s">
        <v>2864</v>
      </c>
      <c r="V2079" t="s">
        <v>2855</v>
      </c>
      <c r="W2079" t="s">
        <v>2865</v>
      </c>
      <c r="AD2079" t="s">
        <v>4896</v>
      </c>
    </row>
    <row r="2080" spans="1:30" x14ac:dyDescent="0.25">
      <c r="A2080" t="s">
        <v>33</v>
      </c>
      <c r="D2080" t="s">
        <v>2847</v>
      </c>
      <c r="E2080" t="s">
        <v>2848</v>
      </c>
      <c r="F2080" t="s">
        <v>87</v>
      </c>
      <c r="G2080" t="s">
        <v>4035</v>
      </c>
      <c r="H2080" t="s">
        <v>89</v>
      </c>
      <c r="I2080" t="s">
        <v>180</v>
      </c>
      <c r="J2080" t="s">
        <v>91</v>
      </c>
      <c r="K2080" t="s">
        <v>92</v>
      </c>
      <c r="L2080" t="s">
        <v>4036</v>
      </c>
      <c r="M2080" t="s">
        <v>94</v>
      </c>
      <c r="N2080" t="s">
        <v>4037</v>
      </c>
      <c r="O2080" t="s">
        <v>184</v>
      </c>
      <c r="P2080">
        <v>1E-3</v>
      </c>
      <c r="R2080" t="s">
        <v>4897</v>
      </c>
      <c r="S2080" t="s">
        <v>2882</v>
      </c>
      <c r="V2080" t="s">
        <v>2855</v>
      </c>
      <c r="W2080" t="s">
        <v>2856</v>
      </c>
      <c r="AD2080" t="s">
        <v>4898</v>
      </c>
    </row>
    <row r="2081" spans="1:32" x14ac:dyDescent="0.25">
      <c r="A2081" t="s">
        <v>33</v>
      </c>
      <c r="D2081" t="s">
        <v>2847</v>
      </c>
      <c r="E2081" t="s">
        <v>2869</v>
      </c>
      <c r="F2081" t="s">
        <v>87</v>
      </c>
      <c r="G2081" t="s">
        <v>4085</v>
      </c>
      <c r="H2081" t="s">
        <v>89</v>
      </c>
      <c r="I2081" t="s">
        <v>180</v>
      </c>
      <c r="J2081" t="s">
        <v>91</v>
      </c>
      <c r="K2081" t="s">
        <v>92</v>
      </c>
      <c r="L2081" t="s">
        <v>4086</v>
      </c>
      <c r="M2081" t="s">
        <v>94</v>
      </c>
      <c r="N2081" t="s">
        <v>4087</v>
      </c>
      <c r="O2081" t="s">
        <v>184</v>
      </c>
      <c r="P2081">
        <v>1E-3</v>
      </c>
      <c r="R2081" t="s">
        <v>4897</v>
      </c>
      <c r="S2081" t="s">
        <v>2864</v>
      </c>
      <c r="V2081" t="s">
        <v>2855</v>
      </c>
      <c r="W2081" t="s">
        <v>2865</v>
      </c>
      <c r="AD2081" t="s">
        <v>4899</v>
      </c>
    </row>
    <row r="2082" spans="1:32" x14ac:dyDescent="0.25">
      <c r="A2082" t="s">
        <v>33</v>
      </c>
      <c r="D2082" t="s">
        <v>2847</v>
      </c>
      <c r="E2082" t="s">
        <v>2848</v>
      </c>
      <c r="F2082" t="s">
        <v>87</v>
      </c>
      <c r="G2082" t="s">
        <v>4035</v>
      </c>
      <c r="H2082" t="s">
        <v>38</v>
      </c>
      <c r="I2082" t="s">
        <v>106</v>
      </c>
      <c r="J2082" t="s">
        <v>40</v>
      </c>
      <c r="K2082" t="s">
        <v>41</v>
      </c>
      <c r="L2082" t="s">
        <v>4036</v>
      </c>
      <c r="M2082" t="s">
        <v>252</v>
      </c>
      <c r="N2082" t="s">
        <v>4037</v>
      </c>
      <c r="O2082" t="s">
        <v>109</v>
      </c>
      <c r="R2082" t="s">
        <v>4900</v>
      </c>
      <c r="S2082" t="s">
        <v>2882</v>
      </c>
      <c r="V2082" t="s">
        <v>2855</v>
      </c>
      <c r="W2082" t="s">
        <v>2856</v>
      </c>
      <c r="AD2082" t="s">
        <v>4901</v>
      </c>
    </row>
    <row r="2083" spans="1:32" x14ac:dyDescent="0.25">
      <c r="A2083" t="s">
        <v>33</v>
      </c>
      <c r="D2083" t="s">
        <v>2847</v>
      </c>
      <c r="E2083" t="s">
        <v>2869</v>
      </c>
      <c r="F2083" t="s">
        <v>87</v>
      </c>
      <c r="G2083" t="s">
        <v>4085</v>
      </c>
      <c r="H2083" t="s">
        <v>38</v>
      </c>
      <c r="I2083" t="s">
        <v>106</v>
      </c>
      <c r="J2083" t="s">
        <v>40</v>
      </c>
      <c r="K2083" t="s">
        <v>41</v>
      </c>
      <c r="L2083" t="s">
        <v>4086</v>
      </c>
      <c r="M2083" t="s">
        <v>252</v>
      </c>
      <c r="N2083" t="s">
        <v>4087</v>
      </c>
      <c r="O2083" t="s">
        <v>109</v>
      </c>
      <c r="R2083" t="s">
        <v>4900</v>
      </c>
      <c r="S2083" t="s">
        <v>2864</v>
      </c>
      <c r="V2083" t="s">
        <v>2855</v>
      </c>
      <c r="W2083" t="s">
        <v>2865</v>
      </c>
      <c r="AD2083" t="s">
        <v>4902</v>
      </c>
    </row>
    <row r="2084" spans="1:32" x14ac:dyDescent="0.25">
      <c r="A2084" t="s">
        <v>33</v>
      </c>
      <c r="D2084" t="s">
        <v>2847</v>
      </c>
      <c r="E2084" t="s">
        <v>2893</v>
      </c>
      <c r="F2084" t="s">
        <v>87</v>
      </c>
      <c r="G2084" t="s">
        <v>4903</v>
      </c>
      <c r="H2084" t="s">
        <v>153</v>
      </c>
      <c r="I2084" t="s">
        <v>144</v>
      </c>
      <c r="J2084" t="s">
        <v>154</v>
      </c>
      <c r="K2084" t="s">
        <v>155</v>
      </c>
      <c r="L2084" t="s">
        <v>4904</v>
      </c>
      <c r="N2084" t="s">
        <v>4905</v>
      </c>
      <c r="O2084" t="s">
        <v>156</v>
      </c>
      <c r="R2084" t="s">
        <v>4906</v>
      </c>
      <c r="S2084" t="s">
        <v>2864</v>
      </c>
      <c r="V2084" t="s">
        <v>2855</v>
      </c>
      <c r="W2084" t="s">
        <v>2898</v>
      </c>
      <c r="AD2084" t="s">
        <v>4907</v>
      </c>
    </row>
    <row r="2085" spans="1:32" x14ac:dyDescent="0.25">
      <c r="A2085" t="s">
        <v>33</v>
      </c>
      <c r="D2085" t="s">
        <v>2847</v>
      </c>
      <c r="E2085" t="s">
        <v>2893</v>
      </c>
      <c r="F2085" t="s">
        <v>87</v>
      </c>
      <c r="G2085" t="s">
        <v>4903</v>
      </c>
      <c r="H2085" t="s">
        <v>153</v>
      </c>
      <c r="I2085" t="s">
        <v>90</v>
      </c>
      <c r="J2085" t="s">
        <v>154</v>
      </c>
      <c r="K2085" t="s">
        <v>155</v>
      </c>
      <c r="L2085" t="s">
        <v>4904</v>
      </c>
      <c r="N2085" t="s">
        <v>4905</v>
      </c>
      <c r="O2085" t="s">
        <v>386</v>
      </c>
      <c r="R2085" t="s">
        <v>4908</v>
      </c>
      <c r="S2085" t="s">
        <v>2864</v>
      </c>
      <c r="V2085" t="s">
        <v>2855</v>
      </c>
      <c r="W2085" t="s">
        <v>2898</v>
      </c>
      <c r="AC2085" t="s">
        <v>4909</v>
      </c>
      <c r="AD2085" t="s">
        <v>4910</v>
      </c>
      <c r="AE2085" t="s">
        <v>4194</v>
      </c>
      <c r="AF2085">
        <v>3</v>
      </c>
    </row>
    <row r="2086" spans="1:32" x14ac:dyDescent="0.25">
      <c r="A2086" t="s">
        <v>33</v>
      </c>
      <c r="D2086" t="s">
        <v>2847</v>
      </c>
      <c r="E2086" t="s">
        <v>2893</v>
      </c>
      <c r="F2086" t="s">
        <v>87</v>
      </c>
      <c r="G2086" t="s">
        <v>4903</v>
      </c>
      <c r="H2086" t="s">
        <v>89</v>
      </c>
      <c r="I2086" t="s">
        <v>90</v>
      </c>
      <c r="J2086" t="s">
        <v>91</v>
      </c>
      <c r="K2086" t="s">
        <v>92</v>
      </c>
      <c r="L2086" t="s">
        <v>4904</v>
      </c>
      <c r="M2086" t="s">
        <v>94</v>
      </c>
      <c r="N2086" t="s">
        <v>4905</v>
      </c>
      <c r="O2086" t="s">
        <v>383</v>
      </c>
      <c r="P2086">
        <v>1E-3</v>
      </c>
      <c r="R2086" t="s">
        <v>4911</v>
      </c>
      <c r="S2086" t="s">
        <v>2864</v>
      </c>
      <c r="V2086" t="s">
        <v>2855</v>
      </c>
      <c r="W2086" t="s">
        <v>2898</v>
      </c>
      <c r="AD2086" t="s">
        <v>4912</v>
      </c>
    </row>
    <row r="2087" spans="1:32" x14ac:dyDescent="0.25">
      <c r="A2087" t="s">
        <v>33</v>
      </c>
      <c r="D2087" t="s">
        <v>2847</v>
      </c>
      <c r="E2087" t="s">
        <v>2893</v>
      </c>
      <c r="F2087" t="s">
        <v>87</v>
      </c>
      <c r="G2087" t="s">
        <v>4903</v>
      </c>
      <c r="H2087" t="s">
        <v>89</v>
      </c>
      <c r="I2087" t="s">
        <v>144</v>
      </c>
      <c r="J2087" t="s">
        <v>91</v>
      </c>
      <c r="K2087" t="s">
        <v>92</v>
      </c>
      <c r="L2087" t="s">
        <v>4904</v>
      </c>
      <c r="M2087" t="s">
        <v>94</v>
      </c>
      <c r="N2087" t="s">
        <v>4905</v>
      </c>
      <c r="O2087" t="s">
        <v>150</v>
      </c>
      <c r="P2087">
        <v>1E-3</v>
      </c>
      <c r="R2087" t="s">
        <v>4913</v>
      </c>
      <c r="S2087" t="s">
        <v>2864</v>
      </c>
      <c r="V2087" t="s">
        <v>2855</v>
      </c>
      <c r="W2087" t="s">
        <v>2898</v>
      </c>
      <c r="AD2087" t="s">
        <v>4914</v>
      </c>
    </row>
    <row r="2088" spans="1:32" x14ac:dyDescent="0.25">
      <c r="A2088" t="s">
        <v>33</v>
      </c>
      <c r="D2088" t="s">
        <v>2847</v>
      </c>
      <c r="E2088" t="s">
        <v>2893</v>
      </c>
      <c r="F2088" t="s">
        <v>87</v>
      </c>
      <c r="G2088" t="s">
        <v>4903</v>
      </c>
      <c r="H2088" t="s">
        <v>38</v>
      </c>
      <c r="I2088" t="s">
        <v>106</v>
      </c>
      <c r="J2088" t="s">
        <v>40</v>
      </c>
      <c r="K2088" t="s">
        <v>41</v>
      </c>
      <c r="L2088" t="s">
        <v>4904</v>
      </c>
      <c r="M2088" t="s">
        <v>252</v>
      </c>
      <c r="N2088" t="s">
        <v>4905</v>
      </c>
      <c r="O2088" t="s">
        <v>109</v>
      </c>
      <c r="R2088" t="s">
        <v>4915</v>
      </c>
      <c r="S2088" t="s">
        <v>2864</v>
      </c>
      <c r="V2088" t="s">
        <v>2855</v>
      </c>
      <c r="W2088" t="s">
        <v>2898</v>
      </c>
      <c r="AD2088" t="s">
        <v>4916</v>
      </c>
    </row>
    <row r="2089" spans="1:32" x14ac:dyDescent="0.25">
      <c r="A2089" t="s">
        <v>33</v>
      </c>
      <c r="D2089" t="s">
        <v>2847</v>
      </c>
      <c r="E2089" t="s">
        <v>2893</v>
      </c>
      <c r="F2089" t="s">
        <v>87</v>
      </c>
      <c r="G2089" t="s">
        <v>4917</v>
      </c>
      <c r="H2089" t="s">
        <v>153</v>
      </c>
      <c r="I2089" t="s">
        <v>180</v>
      </c>
      <c r="J2089" t="s">
        <v>154</v>
      </c>
      <c r="K2089" t="s">
        <v>155</v>
      </c>
      <c r="L2089" t="s">
        <v>4918</v>
      </c>
      <c r="N2089" t="s">
        <v>4919</v>
      </c>
      <c r="O2089" t="s">
        <v>187</v>
      </c>
      <c r="R2089" t="s">
        <v>4920</v>
      </c>
      <c r="S2089" t="s">
        <v>2864</v>
      </c>
      <c r="V2089" t="s">
        <v>2855</v>
      </c>
      <c r="W2089" t="s">
        <v>2898</v>
      </c>
      <c r="AD2089" t="s">
        <v>4921</v>
      </c>
    </row>
    <row r="2090" spans="1:32" x14ac:dyDescent="0.25">
      <c r="A2090" t="s">
        <v>33</v>
      </c>
      <c r="D2090" t="s">
        <v>2847</v>
      </c>
      <c r="E2090" t="s">
        <v>2893</v>
      </c>
      <c r="F2090" t="s">
        <v>87</v>
      </c>
      <c r="G2090" t="s">
        <v>4917</v>
      </c>
      <c r="H2090" t="s">
        <v>153</v>
      </c>
      <c r="I2090" t="s">
        <v>100</v>
      </c>
      <c r="J2090" t="s">
        <v>154</v>
      </c>
      <c r="K2090" t="s">
        <v>155</v>
      </c>
      <c r="L2090" t="s">
        <v>4918</v>
      </c>
      <c r="N2090" t="s">
        <v>4919</v>
      </c>
      <c r="O2090" t="s">
        <v>448</v>
      </c>
      <c r="R2090" t="s">
        <v>4922</v>
      </c>
      <c r="S2090" t="s">
        <v>2864</v>
      </c>
      <c r="V2090" t="s">
        <v>2855</v>
      </c>
      <c r="W2090" t="s">
        <v>2898</v>
      </c>
      <c r="AC2090" t="s">
        <v>4923</v>
      </c>
      <c r="AD2090" t="s">
        <v>4924</v>
      </c>
      <c r="AE2090" t="s">
        <v>4925</v>
      </c>
      <c r="AF2090">
        <v>1</v>
      </c>
    </row>
    <row r="2091" spans="1:32" x14ac:dyDescent="0.25">
      <c r="A2091" t="s">
        <v>33</v>
      </c>
      <c r="D2091" t="s">
        <v>2847</v>
      </c>
      <c r="E2091" t="s">
        <v>2893</v>
      </c>
      <c r="F2091" t="s">
        <v>87</v>
      </c>
      <c r="G2091" t="s">
        <v>4917</v>
      </c>
      <c r="H2091" t="s">
        <v>89</v>
      </c>
      <c r="I2091" t="s">
        <v>100</v>
      </c>
      <c r="J2091" t="s">
        <v>91</v>
      </c>
      <c r="K2091" t="s">
        <v>92</v>
      </c>
      <c r="L2091" t="s">
        <v>4918</v>
      </c>
      <c r="M2091" t="s">
        <v>94</v>
      </c>
      <c r="N2091" t="s">
        <v>4919</v>
      </c>
      <c r="O2091" t="s">
        <v>445</v>
      </c>
      <c r="P2091">
        <v>1E-3</v>
      </c>
      <c r="R2091" t="s">
        <v>4926</v>
      </c>
      <c r="S2091" t="s">
        <v>2864</v>
      </c>
      <c r="V2091" t="s">
        <v>2855</v>
      </c>
      <c r="W2091" t="s">
        <v>2898</v>
      </c>
      <c r="AD2091" t="s">
        <v>4927</v>
      </c>
    </row>
    <row r="2092" spans="1:32" x14ac:dyDescent="0.25">
      <c r="A2092" t="s">
        <v>33</v>
      </c>
      <c r="D2092" t="s">
        <v>2847</v>
      </c>
      <c r="E2092" t="s">
        <v>2893</v>
      </c>
      <c r="F2092" t="s">
        <v>87</v>
      </c>
      <c r="G2092" t="s">
        <v>4917</v>
      </c>
      <c r="H2092" t="s">
        <v>89</v>
      </c>
      <c r="I2092" t="s">
        <v>180</v>
      </c>
      <c r="J2092" t="s">
        <v>91</v>
      </c>
      <c r="K2092" t="s">
        <v>92</v>
      </c>
      <c r="L2092" t="s">
        <v>4918</v>
      </c>
      <c r="M2092" t="s">
        <v>94</v>
      </c>
      <c r="N2092" t="s">
        <v>4919</v>
      </c>
      <c r="O2092" t="s">
        <v>184</v>
      </c>
      <c r="P2092">
        <v>1E-3</v>
      </c>
      <c r="R2092" t="s">
        <v>4928</v>
      </c>
      <c r="S2092" t="s">
        <v>2864</v>
      </c>
      <c r="V2092" t="s">
        <v>2855</v>
      </c>
      <c r="W2092" t="s">
        <v>2898</v>
      </c>
      <c r="AD2092" t="s">
        <v>4929</v>
      </c>
    </row>
    <row r="2093" spans="1:32" x14ac:dyDescent="0.25">
      <c r="A2093" t="s">
        <v>33</v>
      </c>
      <c r="D2093" t="s">
        <v>2847</v>
      </c>
      <c r="E2093" t="s">
        <v>2893</v>
      </c>
      <c r="F2093" t="s">
        <v>87</v>
      </c>
      <c r="G2093" t="s">
        <v>4917</v>
      </c>
      <c r="H2093" t="s">
        <v>38</v>
      </c>
      <c r="I2093" t="s">
        <v>106</v>
      </c>
      <c r="J2093" t="s">
        <v>40</v>
      </c>
      <c r="K2093" t="s">
        <v>41</v>
      </c>
      <c r="L2093" t="s">
        <v>4918</v>
      </c>
      <c r="M2093" t="s">
        <v>252</v>
      </c>
      <c r="N2093" t="s">
        <v>4919</v>
      </c>
      <c r="O2093" t="s">
        <v>109</v>
      </c>
      <c r="R2093" t="s">
        <v>4930</v>
      </c>
      <c r="S2093" t="s">
        <v>2864</v>
      </c>
      <c r="V2093" t="s">
        <v>2855</v>
      </c>
      <c r="W2093" t="s">
        <v>2898</v>
      </c>
      <c r="AD2093" t="s">
        <v>4931</v>
      </c>
    </row>
    <row r="2094" spans="1:32" x14ac:dyDescent="0.25">
      <c r="A2094" t="s">
        <v>33</v>
      </c>
      <c r="D2094" t="s">
        <v>2847</v>
      </c>
      <c r="E2094" t="s">
        <v>2893</v>
      </c>
      <c r="F2094" t="s">
        <v>87</v>
      </c>
      <c r="G2094" t="s">
        <v>4932</v>
      </c>
      <c r="H2094" t="s">
        <v>153</v>
      </c>
      <c r="I2094" t="s">
        <v>144</v>
      </c>
      <c r="J2094" t="s">
        <v>154</v>
      </c>
      <c r="K2094" t="s">
        <v>155</v>
      </c>
      <c r="L2094" t="s">
        <v>4933</v>
      </c>
      <c r="N2094" t="s">
        <v>4934</v>
      </c>
      <c r="O2094" t="s">
        <v>156</v>
      </c>
      <c r="R2094" t="s">
        <v>4935</v>
      </c>
      <c r="S2094" t="s">
        <v>2864</v>
      </c>
      <c r="V2094" t="s">
        <v>2855</v>
      </c>
      <c r="W2094" t="s">
        <v>2898</v>
      </c>
      <c r="AD2094" t="s">
        <v>4936</v>
      </c>
    </row>
    <row r="2095" spans="1:32" x14ac:dyDescent="0.25">
      <c r="A2095" t="s">
        <v>33</v>
      </c>
      <c r="D2095" t="s">
        <v>2847</v>
      </c>
      <c r="E2095" t="s">
        <v>2893</v>
      </c>
      <c r="F2095" t="s">
        <v>87</v>
      </c>
      <c r="G2095" t="s">
        <v>4932</v>
      </c>
      <c r="H2095" t="s">
        <v>153</v>
      </c>
      <c r="I2095" t="s">
        <v>90</v>
      </c>
      <c r="J2095" t="s">
        <v>154</v>
      </c>
      <c r="K2095" t="s">
        <v>155</v>
      </c>
      <c r="L2095" t="s">
        <v>4933</v>
      </c>
      <c r="N2095" t="s">
        <v>4934</v>
      </c>
      <c r="O2095" t="s">
        <v>386</v>
      </c>
      <c r="R2095" t="s">
        <v>4937</v>
      </c>
      <c r="S2095" t="s">
        <v>2864</v>
      </c>
      <c r="V2095" t="s">
        <v>2855</v>
      </c>
      <c r="W2095" t="s">
        <v>2898</v>
      </c>
      <c r="AC2095" t="s">
        <v>4938</v>
      </c>
      <c r="AD2095" t="s">
        <v>4939</v>
      </c>
      <c r="AE2095" t="s">
        <v>4925</v>
      </c>
      <c r="AF2095">
        <v>2</v>
      </c>
    </row>
    <row r="2096" spans="1:32" x14ac:dyDescent="0.25">
      <c r="A2096" t="s">
        <v>33</v>
      </c>
      <c r="D2096" t="s">
        <v>2847</v>
      </c>
      <c r="E2096" t="s">
        <v>2893</v>
      </c>
      <c r="F2096" t="s">
        <v>87</v>
      </c>
      <c r="G2096" t="s">
        <v>4932</v>
      </c>
      <c r="H2096" t="s">
        <v>89</v>
      </c>
      <c r="I2096" t="s">
        <v>90</v>
      </c>
      <c r="J2096" t="s">
        <v>91</v>
      </c>
      <c r="K2096" t="s">
        <v>92</v>
      </c>
      <c r="L2096" t="s">
        <v>4933</v>
      </c>
      <c r="M2096" t="s">
        <v>94</v>
      </c>
      <c r="N2096" t="s">
        <v>4934</v>
      </c>
      <c r="O2096" t="s">
        <v>383</v>
      </c>
      <c r="P2096">
        <v>1E-3</v>
      </c>
      <c r="R2096" t="s">
        <v>4940</v>
      </c>
      <c r="S2096" t="s">
        <v>2864</v>
      </c>
      <c r="V2096" t="s">
        <v>2855</v>
      </c>
      <c r="W2096" t="s">
        <v>2898</v>
      </c>
      <c r="AD2096" t="s">
        <v>4941</v>
      </c>
    </row>
    <row r="2097" spans="1:32" x14ac:dyDescent="0.25">
      <c r="A2097" t="s">
        <v>33</v>
      </c>
      <c r="D2097" t="s">
        <v>2847</v>
      </c>
      <c r="E2097" t="s">
        <v>2893</v>
      </c>
      <c r="F2097" t="s">
        <v>87</v>
      </c>
      <c r="G2097" t="s">
        <v>4932</v>
      </c>
      <c r="H2097" t="s">
        <v>89</v>
      </c>
      <c r="I2097" t="s">
        <v>144</v>
      </c>
      <c r="J2097" t="s">
        <v>91</v>
      </c>
      <c r="K2097" t="s">
        <v>92</v>
      </c>
      <c r="L2097" t="s">
        <v>4933</v>
      </c>
      <c r="M2097" t="s">
        <v>94</v>
      </c>
      <c r="N2097" t="s">
        <v>4934</v>
      </c>
      <c r="O2097" t="s">
        <v>150</v>
      </c>
      <c r="P2097">
        <v>1E-3</v>
      </c>
      <c r="R2097" t="s">
        <v>4942</v>
      </c>
      <c r="S2097" t="s">
        <v>2864</v>
      </c>
      <c r="V2097" t="s">
        <v>2855</v>
      </c>
      <c r="W2097" t="s">
        <v>2898</v>
      </c>
      <c r="AD2097" t="s">
        <v>4943</v>
      </c>
    </row>
    <row r="2098" spans="1:32" x14ac:dyDescent="0.25">
      <c r="A2098" t="s">
        <v>33</v>
      </c>
      <c r="D2098" t="s">
        <v>2847</v>
      </c>
      <c r="E2098" t="s">
        <v>2893</v>
      </c>
      <c r="F2098" t="s">
        <v>87</v>
      </c>
      <c r="G2098" t="s">
        <v>4932</v>
      </c>
      <c r="H2098" t="s">
        <v>38</v>
      </c>
      <c r="I2098" t="s">
        <v>106</v>
      </c>
      <c r="J2098" t="s">
        <v>40</v>
      </c>
      <c r="K2098" t="s">
        <v>41</v>
      </c>
      <c r="L2098" t="s">
        <v>4933</v>
      </c>
      <c r="M2098" t="s">
        <v>252</v>
      </c>
      <c r="N2098" t="s">
        <v>4934</v>
      </c>
      <c r="O2098" t="s">
        <v>109</v>
      </c>
      <c r="R2098" t="s">
        <v>4944</v>
      </c>
      <c r="S2098" t="s">
        <v>2864</v>
      </c>
      <c r="V2098" t="s">
        <v>2855</v>
      </c>
      <c r="W2098" t="s">
        <v>2898</v>
      </c>
      <c r="AD2098" t="s">
        <v>4945</v>
      </c>
    </row>
    <row r="2099" spans="1:32" x14ac:dyDescent="0.25">
      <c r="A2099" t="s">
        <v>33</v>
      </c>
      <c r="D2099" t="s">
        <v>2847</v>
      </c>
      <c r="E2099" t="s">
        <v>2893</v>
      </c>
      <c r="F2099" t="s">
        <v>87</v>
      </c>
      <c r="G2099" t="s">
        <v>4946</v>
      </c>
      <c r="H2099" t="s">
        <v>153</v>
      </c>
      <c r="I2099" t="s">
        <v>180</v>
      </c>
      <c r="J2099" t="s">
        <v>154</v>
      </c>
      <c r="K2099" t="s">
        <v>155</v>
      </c>
      <c r="L2099" t="s">
        <v>4947</v>
      </c>
      <c r="N2099" t="s">
        <v>4948</v>
      </c>
      <c r="O2099" t="s">
        <v>187</v>
      </c>
      <c r="R2099" t="s">
        <v>4949</v>
      </c>
      <c r="S2099" t="s">
        <v>2864</v>
      </c>
      <c r="V2099" t="s">
        <v>2855</v>
      </c>
      <c r="W2099" t="s">
        <v>2898</v>
      </c>
      <c r="AD2099" t="s">
        <v>4950</v>
      </c>
    </row>
    <row r="2100" spans="1:32" x14ac:dyDescent="0.25">
      <c r="A2100" t="s">
        <v>33</v>
      </c>
      <c r="D2100" t="s">
        <v>2847</v>
      </c>
      <c r="E2100" t="s">
        <v>2893</v>
      </c>
      <c r="F2100" t="s">
        <v>87</v>
      </c>
      <c r="G2100" t="s">
        <v>4946</v>
      </c>
      <c r="H2100" t="s">
        <v>153</v>
      </c>
      <c r="I2100" t="s">
        <v>100</v>
      </c>
      <c r="J2100" t="s">
        <v>154</v>
      </c>
      <c r="K2100" t="s">
        <v>155</v>
      </c>
      <c r="L2100" t="s">
        <v>4947</v>
      </c>
      <c r="N2100" t="s">
        <v>4948</v>
      </c>
      <c r="O2100" t="s">
        <v>448</v>
      </c>
      <c r="R2100" t="s">
        <v>4951</v>
      </c>
      <c r="S2100" t="s">
        <v>2864</v>
      </c>
      <c r="V2100" t="s">
        <v>2855</v>
      </c>
      <c r="W2100" t="s">
        <v>2898</v>
      </c>
      <c r="AC2100" t="s">
        <v>4952</v>
      </c>
      <c r="AD2100" t="s">
        <v>4953</v>
      </c>
      <c r="AE2100" t="s">
        <v>3508</v>
      </c>
      <c r="AF2100">
        <v>5</v>
      </c>
    </row>
    <row r="2101" spans="1:32" x14ac:dyDescent="0.25">
      <c r="A2101" t="s">
        <v>33</v>
      </c>
      <c r="D2101" t="s">
        <v>2847</v>
      </c>
      <c r="E2101" t="s">
        <v>2893</v>
      </c>
      <c r="F2101" t="s">
        <v>87</v>
      </c>
      <c r="G2101" t="s">
        <v>4946</v>
      </c>
      <c r="H2101" t="s">
        <v>89</v>
      </c>
      <c r="I2101" t="s">
        <v>100</v>
      </c>
      <c r="J2101" t="s">
        <v>91</v>
      </c>
      <c r="K2101" t="s">
        <v>92</v>
      </c>
      <c r="L2101" t="s">
        <v>4947</v>
      </c>
      <c r="M2101" t="s">
        <v>94</v>
      </c>
      <c r="N2101" t="s">
        <v>4948</v>
      </c>
      <c r="O2101" t="s">
        <v>445</v>
      </c>
      <c r="P2101">
        <v>1E-3</v>
      </c>
      <c r="R2101" t="s">
        <v>4954</v>
      </c>
      <c r="S2101" t="s">
        <v>2864</v>
      </c>
      <c r="V2101" t="s">
        <v>2855</v>
      </c>
      <c r="W2101" t="s">
        <v>2898</v>
      </c>
      <c r="AD2101" t="s">
        <v>4955</v>
      </c>
    </row>
    <row r="2102" spans="1:32" x14ac:dyDescent="0.25">
      <c r="A2102" t="s">
        <v>33</v>
      </c>
      <c r="D2102" t="s">
        <v>2847</v>
      </c>
      <c r="E2102" t="s">
        <v>2893</v>
      </c>
      <c r="F2102" t="s">
        <v>87</v>
      </c>
      <c r="G2102" t="s">
        <v>4946</v>
      </c>
      <c r="H2102" t="s">
        <v>89</v>
      </c>
      <c r="I2102" t="s">
        <v>180</v>
      </c>
      <c r="J2102" t="s">
        <v>91</v>
      </c>
      <c r="K2102" t="s">
        <v>92</v>
      </c>
      <c r="L2102" t="s">
        <v>4947</v>
      </c>
      <c r="M2102" t="s">
        <v>94</v>
      </c>
      <c r="N2102" t="s">
        <v>4948</v>
      </c>
      <c r="O2102" t="s">
        <v>184</v>
      </c>
      <c r="P2102">
        <v>1E-3</v>
      </c>
      <c r="R2102" t="s">
        <v>4956</v>
      </c>
      <c r="S2102" t="s">
        <v>2864</v>
      </c>
      <c r="V2102" t="s">
        <v>2855</v>
      </c>
      <c r="W2102" t="s">
        <v>2898</v>
      </c>
      <c r="AD2102" t="s">
        <v>4957</v>
      </c>
    </row>
    <row r="2103" spans="1:32" x14ac:dyDescent="0.25">
      <c r="A2103" t="s">
        <v>33</v>
      </c>
      <c r="D2103" t="s">
        <v>2847</v>
      </c>
      <c r="E2103" t="s">
        <v>2893</v>
      </c>
      <c r="F2103" t="s">
        <v>87</v>
      </c>
      <c r="G2103" t="s">
        <v>4946</v>
      </c>
      <c r="H2103" t="s">
        <v>38</v>
      </c>
      <c r="I2103" t="s">
        <v>106</v>
      </c>
      <c r="J2103" t="s">
        <v>40</v>
      </c>
      <c r="K2103" t="s">
        <v>41</v>
      </c>
      <c r="L2103" t="s">
        <v>4947</v>
      </c>
      <c r="M2103" t="s">
        <v>252</v>
      </c>
      <c r="N2103" t="s">
        <v>4948</v>
      </c>
      <c r="O2103" t="s">
        <v>109</v>
      </c>
      <c r="R2103" t="s">
        <v>4958</v>
      </c>
      <c r="S2103" t="s">
        <v>2864</v>
      </c>
      <c r="V2103" t="s">
        <v>2855</v>
      </c>
      <c r="W2103" t="s">
        <v>2898</v>
      </c>
      <c r="AD2103" t="s">
        <v>4959</v>
      </c>
    </row>
    <row r="2104" spans="1:32" x14ac:dyDescent="0.25">
      <c r="A2104" t="s">
        <v>33</v>
      </c>
      <c r="D2104" t="s">
        <v>2847</v>
      </c>
      <c r="E2104" t="s">
        <v>2893</v>
      </c>
      <c r="F2104" t="s">
        <v>87</v>
      </c>
      <c r="G2104" t="s">
        <v>4960</v>
      </c>
      <c r="H2104" t="s">
        <v>153</v>
      </c>
      <c r="I2104" t="s">
        <v>144</v>
      </c>
      <c r="J2104" t="s">
        <v>154</v>
      </c>
      <c r="K2104" t="s">
        <v>155</v>
      </c>
      <c r="L2104" t="s">
        <v>4961</v>
      </c>
      <c r="N2104" t="s">
        <v>4962</v>
      </c>
      <c r="O2104" t="s">
        <v>156</v>
      </c>
      <c r="R2104" t="s">
        <v>4963</v>
      </c>
      <c r="S2104" t="s">
        <v>2864</v>
      </c>
      <c r="V2104" t="s">
        <v>2855</v>
      </c>
      <c r="W2104" t="s">
        <v>2898</v>
      </c>
      <c r="AD2104" t="s">
        <v>4964</v>
      </c>
    </row>
    <row r="2105" spans="1:32" x14ac:dyDescent="0.25">
      <c r="A2105" t="s">
        <v>33</v>
      </c>
      <c r="D2105" t="s">
        <v>2847</v>
      </c>
      <c r="E2105" t="s">
        <v>2893</v>
      </c>
      <c r="F2105" t="s">
        <v>87</v>
      </c>
      <c r="G2105" t="s">
        <v>4960</v>
      </c>
      <c r="H2105" t="s">
        <v>153</v>
      </c>
      <c r="I2105" t="s">
        <v>90</v>
      </c>
      <c r="J2105" t="s">
        <v>154</v>
      </c>
      <c r="K2105" t="s">
        <v>155</v>
      </c>
      <c r="L2105" t="s">
        <v>4961</v>
      </c>
      <c r="N2105" t="s">
        <v>4962</v>
      </c>
      <c r="O2105" t="s">
        <v>386</v>
      </c>
      <c r="R2105" t="s">
        <v>4965</v>
      </c>
      <c r="S2105" t="s">
        <v>2864</v>
      </c>
      <c r="V2105" t="s">
        <v>2855</v>
      </c>
      <c r="W2105" t="s">
        <v>2898</v>
      </c>
      <c r="AC2105" t="s">
        <v>4966</v>
      </c>
      <c r="AD2105" t="s">
        <v>4967</v>
      </c>
      <c r="AE2105" t="s">
        <v>3508</v>
      </c>
      <c r="AF2105">
        <v>6</v>
      </c>
    </row>
    <row r="2106" spans="1:32" x14ac:dyDescent="0.25">
      <c r="A2106" t="s">
        <v>33</v>
      </c>
      <c r="D2106" t="s">
        <v>2847</v>
      </c>
      <c r="E2106" t="s">
        <v>2893</v>
      </c>
      <c r="F2106" t="s">
        <v>87</v>
      </c>
      <c r="G2106" t="s">
        <v>4960</v>
      </c>
      <c r="H2106" t="s">
        <v>89</v>
      </c>
      <c r="I2106" t="s">
        <v>90</v>
      </c>
      <c r="J2106" t="s">
        <v>91</v>
      </c>
      <c r="K2106" t="s">
        <v>92</v>
      </c>
      <c r="L2106" t="s">
        <v>4961</v>
      </c>
      <c r="M2106" t="s">
        <v>94</v>
      </c>
      <c r="N2106" t="s">
        <v>4962</v>
      </c>
      <c r="O2106" t="s">
        <v>383</v>
      </c>
      <c r="P2106">
        <v>1E-3</v>
      </c>
      <c r="R2106" t="s">
        <v>4968</v>
      </c>
      <c r="S2106" t="s">
        <v>2864</v>
      </c>
      <c r="V2106" t="s">
        <v>2855</v>
      </c>
      <c r="W2106" t="s">
        <v>2898</v>
      </c>
      <c r="AD2106" t="s">
        <v>4969</v>
      </c>
    </row>
    <row r="2107" spans="1:32" x14ac:dyDescent="0.25">
      <c r="A2107" t="s">
        <v>33</v>
      </c>
      <c r="D2107" t="s">
        <v>2847</v>
      </c>
      <c r="E2107" t="s">
        <v>2893</v>
      </c>
      <c r="F2107" t="s">
        <v>87</v>
      </c>
      <c r="G2107" t="s">
        <v>4960</v>
      </c>
      <c r="H2107" t="s">
        <v>89</v>
      </c>
      <c r="I2107" t="s">
        <v>144</v>
      </c>
      <c r="J2107" t="s">
        <v>91</v>
      </c>
      <c r="K2107" t="s">
        <v>92</v>
      </c>
      <c r="L2107" t="s">
        <v>4961</v>
      </c>
      <c r="M2107" t="s">
        <v>94</v>
      </c>
      <c r="N2107" t="s">
        <v>4962</v>
      </c>
      <c r="O2107" t="s">
        <v>150</v>
      </c>
      <c r="P2107">
        <v>1E-3</v>
      </c>
      <c r="R2107" t="s">
        <v>4970</v>
      </c>
      <c r="S2107" t="s">
        <v>2864</v>
      </c>
      <c r="V2107" t="s">
        <v>2855</v>
      </c>
      <c r="W2107" t="s">
        <v>2898</v>
      </c>
      <c r="AD2107" t="s">
        <v>4971</v>
      </c>
    </row>
    <row r="2108" spans="1:32" x14ac:dyDescent="0.25">
      <c r="A2108" t="s">
        <v>33</v>
      </c>
      <c r="D2108" t="s">
        <v>2847</v>
      </c>
      <c r="E2108" t="s">
        <v>2893</v>
      </c>
      <c r="F2108" t="s">
        <v>87</v>
      </c>
      <c r="G2108" t="s">
        <v>4960</v>
      </c>
      <c r="H2108" t="s">
        <v>153</v>
      </c>
      <c r="I2108" t="s">
        <v>180</v>
      </c>
      <c r="J2108" t="s">
        <v>154</v>
      </c>
      <c r="K2108" t="s">
        <v>155</v>
      </c>
      <c r="L2108" t="s">
        <v>4961</v>
      </c>
      <c r="N2108" t="s">
        <v>4962</v>
      </c>
      <c r="O2108" t="s">
        <v>187</v>
      </c>
      <c r="R2108" t="s">
        <v>4972</v>
      </c>
      <c r="S2108" t="s">
        <v>2864</v>
      </c>
      <c r="V2108" t="s">
        <v>2855</v>
      </c>
      <c r="W2108" t="s">
        <v>2898</v>
      </c>
      <c r="AD2108" t="s">
        <v>4973</v>
      </c>
    </row>
    <row r="2109" spans="1:32" x14ac:dyDescent="0.25">
      <c r="A2109" t="s">
        <v>33</v>
      </c>
      <c r="D2109" t="s">
        <v>2847</v>
      </c>
      <c r="E2109" t="s">
        <v>2893</v>
      </c>
      <c r="F2109" t="s">
        <v>87</v>
      </c>
      <c r="G2109" t="s">
        <v>4960</v>
      </c>
      <c r="H2109" t="s">
        <v>89</v>
      </c>
      <c r="I2109" t="s">
        <v>180</v>
      </c>
      <c r="J2109" t="s">
        <v>91</v>
      </c>
      <c r="K2109" t="s">
        <v>92</v>
      </c>
      <c r="L2109" t="s">
        <v>4961</v>
      </c>
      <c r="M2109" t="s">
        <v>94</v>
      </c>
      <c r="N2109" t="s">
        <v>4962</v>
      </c>
      <c r="O2109" t="s">
        <v>184</v>
      </c>
      <c r="P2109">
        <v>1E-3</v>
      </c>
      <c r="R2109" t="s">
        <v>4974</v>
      </c>
      <c r="S2109" t="s">
        <v>2864</v>
      </c>
      <c r="V2109" t="s">
        <v>2855</v>
      </c>
      <c r="W2109" t="s">
        <v>2898</v>
      </c>
      <c r="AD2109" t="s">
        <v>4975</v>
      </c>
    </row>
    <row r="2110" spans="1:32" x14ac:dyDescent="0.25">
      <c r="A2110" t="s">
        <v>33</v>
      </c>
      <c r="D2110" t="s">
        <v>2847</v>
      </c>
      <c r="E2110" t="s">
        <v>2893</v>
      </c>
      <c r="F2110" t="s">
        <v>87</v>
      </c>
      <c r="G2110" t="s">
        <v>4960</v>
      </c>
      <c r="H2110" t="s">
        <v>38</v>
      </c>
      <c r="I2110" t="s">
        <v>106</v>
      </c>
      <c r="J2110" t="s">
        <v>40</v>
      </c>
      <c r="K2110" t="s">
        <v>41</v>
      </c>
      <c r="L2110" t="s">
        <v>4961</v>
      </c>
      <c r="M2110" t="s">
        <v>252</v>
      </c>
      <c r="N2110" t="s">
        <v>4962</v>
      </c>
      <c r="O2110" t="s">
        <v>109</v>
      </c>
      <c r="R2110" t="s">
        <v>4976</v>
      </c>
      <c r="S2110" t="s">
        <v>2864</v>
      </c>
      <c r="V2110" t="s">
        <v>2855</v>
      </c>
      <c r="W2110" t="s">
        <v>2898</v>
      </c>
      <c r="AD2110" t="s">
        <v>4977</v>
      </c>
    </row>
    <row r="2111" spans="1:32" x14ac:dyDescent="0.25">
      <c r="A2111" t="s">
        <v>33</v>
      </c>
      <c r="D2111" t="s">
        <v>2847</v>
      </c>
      <c r="E2111" t="s">
        <v>2893</v>
      </c>
      <c r="F2111" t="s">
        <v>87</v>
      </c>
      <c r="G2111" t="s">
        <v>4978</v>
      </c>
      <c r="H2111" t="s">
        <v>153</v>
      </c>
      <c r="I2111" t="s">
        <v>144</v>
      </c>
      <c r="J2111" t="s">
        <v>154</v>
      </c>
      <c r="K2111" t="s">
        <v>155</v>
      </c>
      <c r="L2111" t="s">
        <v>4979</v>
      </c>
      <c r="N2111" t="s">
        <v>4962</v>
      </c>
      <c r="O2111" t="s">
        <v>156</v>
      </c>
      <c r="R2111" t="s">
        <v>4980</v>
      </c>
      <c r="S2111" t="s">
        <v>2864</v>
      </c>
      <c r="V2111" t="s">
        <v>2855</v>
      </c>
      <c r="W2111" t="s">
        <v>2898</v>
      </c>
      <c r="AD2111" t="s">
        <v>4964</v>
      </c>
    </row>
    <row r="2112" spans="1:32" x14ac:dyDescent="0.25">
      <c r="A2112" t="s">
        <v>33</v>
      </c>
      <c r="D2112" t="s">
        <v>2847</v>
      </c>
      <c r="E2112" t="s">
        <v>2893</v>
      </c>
      <c r="F2112" t="s">
        <v>87</v>
      </c>
      <c r="G2112" t="s">
        <v>4978</v>
      </c>
      <c r="H2112" t="s">
        <v>89</v>
      </c>
      <c r="I2112" t="s">
        <v>144</v>
      </c>
      <c r="J2112" t="s">
        <v>91</v>
      </c>
      <c r="K2112" t="s">
        <v>92</v>
      </c>
      <c r="L2112" t="s">
        <v>4979</v>
      </c>
      <c r="M2112" t="s">
        <v>94</v>
      </c>
      <c r="N2112" t="s">
        <v>4962</v>
      </c>
      <c r="O2112" t="s">
        <v>150</v>
      </c>
      <c r="P2112">
        <v>1E-3</v>
      </c>
      <c r="R2112" t="s">
        <v>4981</v>
      </c>
      <c r="S2112" t="s">
        <v>2864</v>
      </c>
      <c r="V2112" t="s">
        <v>2855</v>
      </c>
      <c r="W2112" t="s">
        <v>2898</v>
      </c>
      <c r="AD2112" t="s">
        <v>4971</v>
      </c>
    </row>
    <row r="2113" spans="1:30" x14ac:dyDescent="0.25">
      <c r="A2113" t="s">
        <v>33</v>
      </c>
      <c r="D2113" t="s">
        <v>2847</v>
      </c>
      <c r="E2113" t="s">
        <v>2893</v>
      </c>
      <c r="F2113" t="s">
        <v>87</v>
      </c>
      <c r="G2113" t="s">
        <v>4978</v>
      </c>
      <c r="H2113" t="s">
        <v>153</v>
      </c>
      <c r="I2113" t="s">
        <v>180</v>
      </c>
      <c r="J2113" t="s">
        <v>154</v>
      </c>
      <c r="K2113" t="s">
        <v>155</v>
      </c>
      <c r="L2113" t="s">
        <v>4979</v>
      </c>
      <c r="N2113" t="s">
        <v>4962</v>
      </c>
      <c r="O2113" t="s">
        <v>187</v>
      </c>
      <c r="R2113" t="s">
        <v>4982</v>
      </c>
      <c r="S2113" t="s">
        <v>2864</v>
      </c>
      <c r="V2113" t="s">
        <v>2855</v>
      </c>
      <c r="W2113" t="s">
        <v>2898</v>
      </c>
      <c r="AD2113" t="s">
        <v>4973</v>
      </c>
    </row>
    <row r="2114" spans="1:30" x14ac:dyDescent="0.25">
      <c r="A2114" t="s">
        <v>33</v>
      </c>
      <c r="D2114" t="s">
        <v>2847</v>
      </c>
      <c r="E2114" t="s">
        <v>2893</v>
      </c>
      <c r="F2114" t="s">
        <v>87</v>
      </c>
      <c r="G2114" t="s">
        <v>4978</v>
      </c>
      <c r="H2114" t="s">
        <v>89</v>
      </c>
      <c r="I2114" t="s">
        <v>180</v>
      </c>
      <c r="J2114" t="s">
        <v>91</v>
      </c>
      <c r="K2114" t="s">
        <v>92</v>
      </c>
      <c r="L2114" t="s">
        <v>4979</v>
      </c>
      <c r="M2114" t="s">
        <v>94</v>
      </c>
      <c r="N2114" t="s">
        <v>4962</v>
      </c>
      <c r="O2114" t="s">
        <v>184</v>
      </c>
      <c r="P2114">
        <v>1E-3</v>
      </c>
      <c r="R2114" t="s">
        <v>4983</v>
      </c>
      <c r="S2114" t="s">
        <v>2864</v>
      </c>
      <c r="V2114" t="s">
        <v>2855</v>
      </c>
      <c r="W2114" t="s">
        <v>2898</v>
      </c>
      <c r="AD2114" t="s">
        <v>4975</v>
      </c>
    </row>
    <row r="2115" spans="1:30" x14ac:dyDescent="0.25">
      <c r="A2115" t="s">
        <v>33</v>
      </c>
      <c r="D2115" t="s">
        <v>2847</v>
      </c>
      <c r="E2115" t="s">
        <v>2893</v>
      </c>
      <c r="F2115" t="s">
        <v>87</v>
      </c>
      <c r="G2115" t="s">
        <v>4978</v>
      </c>
      <c r="H2115" t="s">
        <v>38</v>
      </c>
      <c r="I2115" t="s">
        <v>106</v>
      </c>
      <c r="J2115" t="s">
        <v>40</v>
      </c>
      <c r="K2115" t="s">
        <v>41</v>
      </c>
      <c r="L2115" t="s">
        <v>4979</v>
      </c>
      <c r="M2115" t="s">
        <v>252</v>
      </c>
      <c r="N2115" t="s">
        <v>4962</v>
      </c>
      <c r="O2115" t="s">
        <v>109</v>
      </c>
      <c r="R2115" t="s">
        <v>4984</v>
      </c>
      <c r="S2115" t="s">
        <v>2864</v>
      </c>
      <c r="V2115" t="s">
        <v>2855</v>
      </c>
      <c r="W2115" t="s">
        <v>2898</v>
      </c>
      <c r="AD2115" t="s">
        <v>4977</v>
      </c>
    </row>
    <row r="2116" spans="1:30" x14ac:dyDescent="0.25">
      <c r="A2116" t="s">
        <v>33</v>
      </c>
      <c r="D2116" t="s">
        <v>2847</v>
      </c>
      <c r="E2116" t="s">
        <v>2893</v>
      </c>
      <c r="F2116" t="s">
        <v>87</v>
      </c>
      <c r="G2116" t="s">
        <v>4985</v>
      </c>
      <c r="H2116" t="s">
        <v>153</v>
      </c>
      <c r="I2116" t="s">
        <v>144</v>
      </c>
      <c r="J2116" t="s">
        <v>154</v>
      </c>
      <c r="K2116" t="s">
        <v>155</v>
      </c>
      <c r="L2116" t="s">
        <v>4986</v>
      </c>
      <c r="N2116" t="s">
        <v>4987</v>
      </c>
      <c r="O2116" t="s">
        <v>156</v>
      </c>
      <c r="R2116" t="s">
        <v>4988</v>
      </c>
      <c r="S2116" t="s">
        <v>2864</v>
      </c>
      <c r="V2116" t="s">
        <v>2855</v>
      </c>
      <c r="W2116" t="s">
        <v>2898</v>
      </c>
      <c r="AD2116" t="s">
        <v>4989</v>
      </c>
    </row>
    <row r="2117" spans="1:30" x14ac:dyDescent="0.25">
      <c r="A2117" t="s">
        <v>33</v>
      </c>
      <c r="D2117" t="s">
        <v>2847</v>
      </c>
      <c r="E2117" t="s">
        <v>2893</v>
      </c>
      <c r="F2117" t="s">
        <v>87</v>
      </c>
      <c r="G2117" t="s">
        <v>4985</v>
      </c>
      <c r="H2117" t="s">
        <v>89</v>
      </c>
      <c r="I2117" t="s">
        <v>144</v>
      </c>
      <c r="J2117" t="s">
        <v>91</v>
      </c>
      <c r="K2117" t="s">
        <v>92</v>
      </c>
      <c r="L2117" t="s">
        <v>4986</v>
      </c>
      <c r="M2117" t="s">
        <v>94</v>
      </c>
      <c r="N2117" t="s">
        <v>4987</v>
      </c>
      <c r="O2117" t="s">
        <v>150</v>
      </c>
      <c r="P2117">
        <v>1E-3</v>
      </c>
      <c r="R2117" t="s">
        <v>4990</v>
      </c>
      <c r="S2117" t="s">
        <v>2864</v>
      </c>
      <c r="V2117" t="s">
        <v>2855</v>
      </c>
      <c r="W2117" t="s">
        <v>2898</v>
      </c>
      <c r="AD2117" t="s">
        <v>4991</v>
      </c>
    </row>
    <row r="2118" spans="1:30" x14ac:dyDescent="0.25">
      <c r="A2118" t="s">
        <v>33</v>
      </c>
      <c r="D2118" t="s">
        <v>2847</v>
      </c>
      <c r="E2118" t="s">
        <v>2893</v>
      </c>
      <c r="F2118" t="s">
        <v>87</v>
      </c>
      <c r="G2118" t="s">
        <v>4985</v>
      </c>
      <c r="H2118" t="s">
        <v>153</v>
      </c>
      <c r="I2118" t="s">
        <v>180</v>
      </c>
      <c r="J2118" t="s">
        <v>154</v>
      </c>
      <c r="K2118" t="s">
        <v>155</v>
      </c>
      <c r="L2118" t="s">
        <v>4986</v>
      </c>
      <c r="N2118" t="s">
        <v>4987</v>
      </c>
      <c r="O2118" t="s">
        <v>187</v>
      </c>
      <c r="R2118" t="s">
        <v>4992</v>
      </c>
      <c r="S2118" t="s">
        <v>2864</v>
      </c>
      <c r="V2118" t="s">
        <v>2855</v>
      </c>
      <c r="W2118" t="s">
        <v>2898</v>
      </c>
      <c r="AD2118" t="s">
        <v>4993</v>
      </c>
    </row>
    <row r="2119" spans="1:30" x14ac:dyDescent="0.25">
      <c r="A2119" t="s">
        <v>33</v>
      </c>
      <c r="D2119" t="s">
        <v>2847</v>
      </c>
      <c r="E2119" t="s">
        <v>2893</v>
      </c>
      <c r="F2119" t="s">
        <v>87</v>
      </c>
      <c r="G2119" t="s">
        <v>4985</v>
      </c>
      <c r="H2119" t="s">
        <v>89</v>
      </c>
      <c r="I2119" t="s">
        <v>180</v>
      </c>
      <c r="J2119" t="s">
        <v>91</v>
      </c>
      <c r="K2119" t="s">
        <v>92</v>
      </c>
      <c r="L2119" t="s">
        <v>4986</v>
      </c>
      <c r="M2119" t="s">
        <v>94</v>
      </c>
      <c r="N2119" t="s">
        <v>4987</v>
      </c>
      <c r="O2119" t="s">
        <v>184</v>
      </c>
      <c r="P2119">
        <v>1E-3</v>
      </c>
      <c r="R2119" t="s">
        <v>4994</v>
      </c>
      <c r="S2119" t="s">
        <v>2864</v>
      </c>
      <c r="V2119" t="s">
        <v>2855</v>
      </c>
      <c r="W2119" t="s">
        <v>2898</v>
      </c>
      <c r="AD2119" t="s">
        <v>4995</v>
      </c>
    </row>
    <row r="2120" spans="1:30" x14ac:dyDescent="0.25">
      <c r="A2120" t="s">
        <v>33</v>
      </c>
      <c r="D2120" t="s">
        <v>2847</v>
      </c>
      <c r="E2120" t="s">
        <v>2893</v>
      </c>
      <c r="F2120" t="s">
        <v>87</v>
      </c>
      <c r="G2120" t="s">
        <v>4985</v>
      </c>
      <c r="H2120" t="s">
        <v>38</v>
      </c>
      <c r="I2120" t="s">
        <v>106</v>
      </c>
      <c r="J2120" t="s">
        <v>40</v>
      </c>
      <c r="K2120" t="s">
        <v>41</v>
      </c>
      <c r="L2120" t="s">
        <v>4986</v>
      </c>
      <c r="M2120" t="s">
        <v>252</v>
      </c>
      <c r="N2120" t="s">
        <v>4987</v>
      </c>
      <c r="O2120" t="s">
        <v>109</v>
      </c>
      <c r="R2120" t="s">
        <v>4996</v>
      </c>
      <c r="S2120" t="s">
        <v>2864</v>
      </c>
      <c r="V2120" t="s">
        <v>2855</v>
      </c>
      <c r="W2120" t="s">
        <v>2898</v>
      </c>
      <c r="AD2120" t="s">
        <v>4997</v>
      </c>
    </row>
    <row r="2121" spans="1:30" x14ac:dyDescent="0.25">
      <c r="A2121" t="s">
        <v>33</v>
      </c>
      <c r="D2121" t="s">
        <v>2847</v>
      </c>
      <c r="E2121" t="s">
        <v>2893</v>
      </c>
      <c r="F2121" t="s">
        <v>87</v>
      </c>
      <c r="G2121" t="s">
        <v>4998</v>
      </c>
      <c r="H2121" t="s">
        <v>153</v>
      </c>
      <c r="I2121" t="s">
        <v>144</v>
      </c>
      <c r="J2121" t="s">
        <v>154</v>
      </c>
      <c r="K2121" t="s">
        <v>155</v>
      </c>
      <c r="L2121" t="s">
        <v>4999</v>
      </c>
      <c r="N2121" t="s">
        <v>5000</v>
      </c>
      <c r="O2121" t="s">
        <v>156</v>
      </c>
      <c r="R2121" t="s">
        <v>5001</v>
      </c>
      <c r="S2121" t="s">
        <v>2864</v>
      </c>
      <c r="V2121" t="s">
        <v>2855</v>
      </c>
      <c r="W2121" t="s">
        <v>2898</v>
      </c>
      <c r="AD2121" t="s">
        <v>5002</v>
      </c>
    </row>
    <row r="2122" spans="1:30" x14ac:dyDescent="0.25">
      <c r="A2122" t="s">
        <v>33</v>
      </c>
      <c r="D2122" t="s">
        <v>2847</v>
      </c>
      <c r="E2122" t="s">
        <v>2893</v>
      </c>
      <c r="F2122" t="s">
        <v>87</v>
      </c>
      <c r="G2122" t="s">
        <v>4998</v>
      </c>
      <c r="H2122" t="s">
        <v>89</v>
      </c>
      <c r="I2122" t="s">
        <v>144</v>
      </c>
      <c r="J2122" t="s">
        <v>91</v>
      </c>
      <c r="K2122" t="s">
        <v>92</v>
      </c>
      <c r="L2122" t="s">
        <v>4999</v>
      </c>
      <c r="M2122" t="s">
        <v>94</v>
      </c>
      <c r="N2122" t="s">
        <v>5000</v>
      </c>
      <c r="O2122" t="s">
        <v>150</v>
      </c>
      <c r="P2122">
        <v>1E-3</v>
      </c>
      <c r="R2122" t="s">
        <v>5003</v>
      </c>
      <c r="S2122" t="s">
        <v>2864</v>
      </c>
      <c r="V2122" t="s">
        <v>2855</v>
      </c>
      <c r="W2122" t="s">
        <v>2898</v>
      </c>
      <c r="AD2122" t="s">
        <v>5004</v>
      </c>
    </row>
    <row r="2123" spans="1:30" x14ac:dyDescent="0.25">
      <c r="A2123" t="s">
        <v>33</v>
      </c>
      <c r="D2123" t="s">
        <v>2847</v>
      </c>
      <c r="E2123" t="s">
        <v>2893</v>
      </c>
      <c r="F2123" t="s">
        <v>87</v>
      </c>
      <c r="G2123" t="s">
        <v>4998</v>
      </c>
      <c r="H2123" t="s">
        <v>38</v>
      </c>
      <c r="I2123" t="s">
        <v>106</v>
      </c>
      <c r="J2123" t="s">
        <v>40</v>
      </c>
      <c r="K2123" t="s">
        <v>41</v>
      </c>
      <c r="L2123" t="s">
        <v>4999</v>
      </c>
      <c r="M2123" t="s">
        <v>252</v>
      </c>
      <c r="N2123" t="s">
        <v>5000</v>
      </c>
      <c r="O2123" t="s">
        <v>109</v>
      </c>
      <c r="R2123" t="s">
        <v>5005</v>
      </c>
      <c r="S2123" t="s">
        <v>2864</v>
      </c>
      <c r="V2123" t="s">
        <v>2855</v>
      </c>
      <c r="W2123" t="s">
        <v>2898</v>
      </c>
      <c r="AD2123" t="s">
        <v>5006</v>
      </c>
    </row>
    <row r="2124" spans="1:30" x14ac:dyDescent="0.25">
      <c r="A2124" t="s">
        <v>33</v>
      </c>
      <c r="D2124" t="s">
        <v>2847</v>
      </c>
      <c r="E2124" t="s">
        <v>2893</v>
      </c>
      <c r="F2124" t="s">
        <v>87</v>
      </c>
      <c r="G2124" t="s">
        <v>5007</v>
      </c>
      <c r="H2124" t="s">
        <v>153</v>
      </c>
      <c r="I2124" t="s">
        <v>144</v>
      </c>
      <c r="J2124" t="s">
        <v>154</v>
      </c>
      <c r="K2124" t="s">
        <v>155</v>
      </c>
      <c r="L2124" t="s">
        <v>5008</v>
      </c>
      <c r="N2124" t="s">
        <v>5009</v>
      </c>
      <c r="O2124" t="s">
        <v>156</v>
      </c>
      <c r="R2124" t="s">
        <v>5010</v>
      </c>
      <c r="S2124" t="s">
        <v>2864</v>
      </c>
      <c r="V2124" t="s">
        <v>2855</v>
      </c>
      <c r="W2124" t="s">
        <v>2898</v>
      </c>
      <c r="AD2124" t="s">
        <v>5011</v>
      </c>
    </row>
    <row r="2125" spans="1:30" x14ac:dyDescent="0.25">
      <c r="A2125" t="s">
        <v>33</v>
      </c>
      <c r="D2125" t="s">
        <v>2847</v>
      </c>
      <c r="E2125" t="s">
        <v>2893</v>
      </c>
      <c r="F2125" t="s">
        <v>87</v>
      </c>
      <c r="G2125" t="s">
        <v>5007</v>
      </c>
      <c r="H2125" t="s">
        <v>143</v>
      </c>
      <c r="I2125" t="s">
        <v>144</v>
      </c>
      <c r="J2125" t="s">
        <v>145</v>
      </c>
      <c r="K2125" t="s">
        <v>146</v>
      </c>
      <c r="L2125" t="s">
        <v>5008</v>
      </c>
      <c r="M2125" t="s">
        <v>252</v>
      </c>
      <c r="N2125" t="s">
        <v>5009</v>
      </c>
      <c r="O2125" t="s">
        <v>147</v>
      </c>
      <c r="R2125" t="s">
        <v>5012</v>
      </c>
      <c r="S2125" t="s">
        <v>2864</v>
      </c>
      <c r="V2125" t="s">
        <v>2855</v>
      </c>
      <c r="W2125" t="s">
        <v>2898</v>
      </c>
      <c r="AD2125" t="s">
        <v>5013</v>
      </c>
    </row>
    <row r="2126" spans="1:30" x14ac:dyDescent="0.25">
      <c r="A2126" t="s">
        <v>33</v>
      </c>
      <c r="D2126" t="s">
        <v>2847</v>
      </c>
      <c r="E2126" t="s">
        <v>2893</v>
      </c>
      <c r="F2126" t="s">
        <v>87</v>
      </c>
      <c r="G2126" t="s">
        <v>5007</v>
      </c>
      <c r="H2126" t="s">
        <v>89</v>
      </c>
      <c r="I2126" t="s">
        <v>144</v>
      </c>
      <c r="J2126" t="s">
        <v>91</v>
      </c>
      <c r="K2126" t="s">
        <v>92</v>
      </c>
      <c r="L2126" t="s">
        <v>5008</v>
      </c>
      <c r="M2126" t="s">
        <v>94</v>
      </c>
      <c r="N2126" t="s">
        <v>5009</v>
      </c>
      <c r="O2126" t="s">
        <v>150</v>
      </c>
      <c r="P2126">
        <v>1E-3</v>
      </c>
      <c r="R2126" t="s">
        <v>5014</v>
      </c>
      <c r="S2126" t="s">
        <v>2864</v>
      </c>
      <c r="V2126" t="s">
        <v>2855</v>
      </c>
      <c r="W2126" t="s">
        <v>2898</v>
      </c>
      <c r="AD2126" t="s">
        <v>5015</v>
      </c>
    </row>
    <row r="2127" spans="1:30" x14ac:dyDescent="0.25">
      <c r="A2127" t="s">
        <v>33</v>
      </c>
      <c r="D2127" t="s">
        <v>2847</v>
      </c>
      <c r="E2127" t="s">
        <v>2893</v>
      </c>
      <c r="F2127" t="s">
        <v>87</v>
      </c>
      <c r="G2127" t="s">
        <v>5007</v>
      </c>
      <c r="H2127" t="s">
        <v>153</v>
      </c>
      <c r="I2127" t="s">
        <v>180</v>
      </c>
      <c r="J2127" t="s">
        <v>154</v>
      </c>
      <c r="K2127" t="s">
        <v>155</v>
      </c>
      <c r="L2127" t="s">
        <v>5008</v>
      </c>
      <c r="N2127" t="s">
        <v>5009</v>
      </c>
      <c r="O2127" t="s">
        <v>187</v>
      </c>
      <c r="R2127" t="s">
        <v>5016</v>
      </c>
      <c r="S2127" t="s">
        <v>2864</v>
      </c>
      <c r="V2127" t="s">
        <v>2855</v>
      </c>
      <c r="W2127" t="s">
        <v>2898</v>
      </c>
      <c r="AD2127" t="s">
        <v>5017</v>
      </c>
    </row>
    <row r="2128" spans="1:30" x14ac:dyDescent="0.25">
      <c r="A2128" t="s">
        <v>33</v>
      </c>
      <c r="D2128" t="s">
        <v>2847</v>
      </c>
      <c r="E2128" t="s">
        <v>2893</v>
      </c>
      <c r="F2128" t="s">
        <v>87</v>
      </c>
      <c r="G2128" t="s">
        <v>5007</v>
      </c>
      <c r="H2128" t="s">
        <v>143</v>
      </c>
      <c r="I2128" t="s">
        <v>180</v>
      </c>
      <c r="J2128" t="s">
        <v>145</v>
      </c>
      <c r="K2128" t="s">
        <v>146</v>
      </c>
      <c r="L2128" t="s">
        <v>5008</v>
      </c>
      <c r="M2128" t="s">
        <v>252</v>
      </c>
      <c r="N2128" t="s">
        <v>5009</v>
      </c>
      <c r="O2128" t="s">
        <v>181</v>
      </c>
      <c r="R2128" t="s">
        <v>5018</v>
      </c>
      <c r="S2128" t="s">
        <v>2864</v>
      </c>
      <c r="V2128" t="s">
        <v>2855</v>
      </c>
      <c r="W2128" t="s">
        <v>2898</v>
      </c>
      <c r="AD2128" t="s">
        <v>5019</v>
      </c>
    </row>
    <row r="2129" spans="1:30" x14ac:dyDescent="0.25">
      <c r="A2129" t="s">
        <v>33</v>
      </c>
      <c r="D2129" t="s">
        <v>2847</v>
      </c>
      <c r="E2129" t="s">
        <v>2893</v>
      </c>
      <c r="F2129" t="s">
        <v>87</v>
      </c>
      <c r="G2129" t="s">
        <v>5007</v>
      </c>
      <c r="H2129" t="s">
        <v>89</v>
      </c>
      <c r="I2129" t="s">
        <v>180</v>
      </c>
      <c r="J2129" t="s">
        <v>91</v>
      </c>
      <c r="K2129" t="s">
        <v>92</v>
      </c>
      <c r="L2129" t="s">
        <v>5008</v>
      </c>
      <c r="M2129" t="s">
        <v>94</v>
      </c>
      <c r="N2129" t="s">
        <v>5009</v>
      </c>
      <c r="O2129" t="s">
        <v>184</v>
      </c>
      <c r="P2129">
        <v>1E-3</v>
      </c>
      <c r="R2129" t="s">
        <v>5020</v>
      </c>
      <c r="S2129" t="s">
        <v>2864</v>
      </c>
      <c r="V2129" t="s">
        <v>2855</v>
      </c>
      <c r="W2129" t="s">
        <v>2898</v>
      </c>
      <c r="AD2129" t="s">
        <v>5021</v>
      </c>
    </row>
    <row r="2130" spans="1:30" x14ac:dyDescent="0.25">
      <c r="A2130" t="s">
        <v>33</v>
      </c>
      <c r="D2130" t="s">
        <v>2847</v>
      </c>
      <c r="E2130" t="s">
        <v>2893</v>
      </c>
      <c r="F2130" t="s">
        <v>87</v>
      </c>
      <c r="G2130" t="s">
        <v>5007</v>
      </c>
      <c r="H2130" t="s">
        <v>38</v>
      </c>
      <c r="I2130" t="s">
        <v>106</v>
      </c>
      <c r="J2130" t="s">
        <v>40</v>
      </c>
      <c r="K2130" t="s">
        <v>41</v>
      </c>
      <c r="L2130" t="s">
        <v>5008</v>
      </c>
      <c r="M2130" t="s">
        <v>252</v>
      </c>
      <c r="N2130" t="s">
        <v>5009</v>
      </c>
      <c r="O2130" t="s">
        <v>109</v>
      </c>
      <c r="R2130" t="s">
        <v>5022</v>
      </c>
      <c r="S2130" t="s">
        <v>2864</v>
      </c>
      <c r="V2130" t="s">
        <v>2855</v>
      </c>
      <c r="W2130" t="s">
        <v>2898</v>
      </c>
      <c r="AD2130" t="s">
        <v>5023</v>
      </c>
    </row>
    <row r="2131" spans="1:30" x14ac:dyDescent="0.25">
      <c r="A2131" t="s">
        <v>33</v>
      </c>
      <c r="D2131" t="s">
        <v>2847</v>
      </c>
      <c r="E2131" t="s">
        <v>2848</v>
      </c>
      <c r="F2131" t="s">
        <v>87</v>
      </c>
      <c r="G2131" t="s">
        <v>389</v>
      </c>
      <c r="H2131" t="s">
        <v>153</v>
      </c>
      <c r="I2131" t="s">
        <v>144</v>
      </c>
      <c r="J2131" t="s">
        <v>154</v>
      </c>
      <c r="K2131" t="s">
        <v>155</v>
      </c>
      <c r="L2131" t="s">
        <v>390</v>
      </c>
      <c r="N2131" t="s">
        <v>4067</v>
      </c>
      <c r="O2131" t="s">
        <v>156</v>
      </c>
      <c r="R2131" t="s">
        <v>5024</v>
      </c>
      <c r="S2131" t="s">
        <v>2882</v>
      </c>
      <c r="V2131" t="s">
        <v>2855</v>
      </c>
      <c r="W2131" t="s">
        <v>2856</v>
      </c>
      <c r="AD2131" t="s">
        <v>5025</v>
      </c>
    </row>
    <row r="2132" spans="1:30" x14ac:dyDescent="0.25">
      <c r="A2132" t="s">
        <v>33</v>
      </c>
      <c r="D2132" t="s">
        <v>2847</v>
      </c>
      <c r="E2132" t="s">
        <v>2859</v>
      </c>
      <c r="F2132" t="s">
        <v>87</v>
      </c>
      <c r="G2132" t="s">
        <v>4222</v>
      </c>
      <c r="H2132" t="s">
        <v>153</v>
      </c>
      <c r="I2132" t="s">
        <v>144</v>
      </c>
      <c r="J2132" t="s">
        <v>154</v>
      </c>
      <c r="K2132" t="s">
        <v>155</v>
      </c>
      <c r="L2132" t="s">
        <v>4223</v>
      </c>
      <c r="N2132" t="s">
        <v>4224</v>
      </c>
      <c r="O2132" t="s">
        <v>156</v>
      </c>
      <c r="R2132" t="s">
        <v>5024</v>
      </c>
      <c r="S2132" t="s">
        <v>2864</v>
      </c>
      <c r="V2132" t="s">
        <v>2855</v>
      </c>
      <c r="W2132" t="s">
        <v>2865</v>
      </c>
      <c r="AD2132" t="s">
        <v>5026</v>
      </c>
    </row>
    <row r="2133" spans="1:30" x14ac:dyDescent="0.25">
      <c r="A2133" t="s">
        <v>33</v>
      </c>
      <c r="D2133" t="s">
        <v>2847</v>
      </c>
      <c r="E2133" t="s">
        <v>2859</v>
      </c>
      <c r="F2133" t="s">
        <v>87</v>
      </c>
      <c r="G2133" t="s">
        <v>4222</v>
      </c>
      <c r="H2133" t="s">
        <v>153</v>
      </c>
      <c r="I2133" t="s">
        <v>90</v>
      </c>
      <c r="J2133" t="s">
        <v>154</v>
      </c>
      <c r="K2133" t="s">
        <v>155</v>
      </c>
      <c r="L2133" t="s">
        <v>4223</v>
      </c>
      <c r="N2133" t="s">
        <v>4224</v>
      </c>
      <c r="O2133" t="s">
        <v>386</v>
      </c>
      <c r="R2133" t="s">
        <v>5027</v>
      </c>
      <c r="S2133" t="s">
        <v>2864</v>
      </c>
      <c r="V2133" t="s">
        <v>2855</v>
      </c>
      <c r="W2133" t="s">
        <v>2865</v>
      </c>
      <c r="AD2133" t="s">
        <v>5028</v>
      </c>
    </row>
    <row r="2134" spans="1:30" x14ac:dyDescent="0.25">
      <c r="A2134" t="s">
        <v>33</v>
      </c>
      <c r="D2134" t="s">
        <v>2847</v>
      </c>
      <c r="E2134" t="s">
        <v>2859</v>
      </c>
      <c r="F2134" t="s">
        <v>87</v>
      </c>
      <c r="G2134" t="s">
        <v>4222</v>
      </c>
      <c r="H2134" t="s">
        <v>89</v>
      </c>
      <c r="I2134" t="s">
        <v>90</v>
      </c>
      <c r="J2134" t="s">
        <v>91</v>
      </c>
      <c r="K2134" t="s">
        <v>92</v>
      </c>
      <c r="L2134" t="s">
        <v>4223</v>
      </c>
      <c r="M2134" t="s">
        <v>94</v>
      </c>
      <c r="N2134" t="s">
        <v>4224</v>
      </c>
      <c r="O2134" t="s">
        <v>383</v>
      </c>
      <c r="P2134">
        <v>1E-3</v>
      </c>
      <c r="R2134" t="s">
        <v>5029</v>
      </c>
      <c r="S2134" t="s">
        <v>2864</v>
      </c>
      <c r="V2134" t="s">
        <v>2855</v>
      </c>
      <c r="W2134" t="s">
        <v>2865</v>
      </c>
      <c r="AD2134" t="s">
        <v>5030</v>
      </c>
    </row>
    <row r="2135" spans="1:30" x14ac:dyDescent="0.25">
      <c r="A2135" t="s">
        <v>33</v>
      </c>
      <c r="D2135" t="s">
        <v>2847</v>
      </c>
      <c r="E2135" t="s">
        <v>2848</v>
      </c>
      <c r="F2135" t="s">
        <v>87</v>
      </c>
      <c r="G2135" t="s">
        <v>389</v>
      </c>
      <c r="H2135" t="s">
        <v>143</v>
      </c>
      <c r="I2135" t="s">
        <v>144</v>
      </c>
      <c r="J2135" t="s">
        <v>145</v>
      </c>
      <c r="K2135" t="s">
        <v>262</v>
      </c>
      <c r="L2135" t="s">
        <v>390</v>
      </c>
      <c r="M2135" t="s">
        <v>53</v>
      </c>
      <c r="N2135" t="s">
        <v>4067</v>
      </c>
      <c r="O2135" t="s">
        <v>147</v>
      </c>
      <c r="R2135" t="s">
        <v>5031</v>
      </c>
      <c r="S2135" t="s">
        <v>2882</v>
      </c>
      <c r="V2135" t="s">
        <v>2855</v>
      </c>
      <c r="W2135" t="s">
        <v>2856</v>
      </c>
      <c r="X2135" t="s">
        <v>56</v>
      </c>
      <c r="AD2135" t="s">
        <v>5032</v>
      </c>
    </row>
    <row r="2136" spans="1:30" x14ac:dyDescent="0.25">
      <c r="A2136" t="s">
        <v>33</v>
      </c>
      <c r="D2136" t="s">
        <v>2847</v>
      </c>
      <c r="E2136" t="s">
        <v>2848</v>
      </c>
      <c r="F2136" t="s">
        <v>87</v>
      </c>
      <c r="G2136" t="s">
        <v>389</v>
      </c>
      <c r="H2136" t="s">
        <v>89</v>
      </c>
      <c r="I2136" t="s">
        <v>144</v>
      </c>
      <c r="J2136" t="s">
        <v>91</v>
      </c>
      <c r="K2136" t="s">
        <v>92</v>
      </c>
      <c r="L2136" t="s">
        <v>390</v>
      </c>
      <c r="M2136" t="s">
        <v>94</v>
      </c>
      <c r="N2136" t="s">
        <v>4067</v>
      </c>
      <c r="O2136" t="s">
        <v>150</v>
      </c>
      <c r="P2136">
        <v>1E-3</v>
      </c>
      <c r="R2136" t="s">
        <v>5033</v>
      </c>
      <c r="S2136" t="s">
        <v>2882</v>
      </c>
      <c r="V2136" t="s">
        <v>2855</v>
      </c>
      <c r="W2136" t="s">
        <v>2856</v>
      </c>
      <c r="AD2136" t="s">
        <v>5034</v>
      </c>
    </row>
    <row r="2137" spans="1:30" x14ac:dyDescent="0.25">
      <c r="A2137" t="s">
        <v>33</v>
      </c>
      <c r="D2137" t="s">
        <v>2847</v>
      </c>
      <c r="E2137" t="s">
        <v>2859</v>
      </c>
      <c r="F2137" t="s">
        <v>87</v>
      </c>
      <c r="G2137" t="s">
        <v>4222</v>
      </c>
      <c r="H2137" t="s">
        <v>89</v>
      </c>
      <c r="I2137" t="s">
        <v>144</v>
      </c>
      <c r="J2137" t="s">
        <v>91</v>
      </c>
      <c r="K2137" t="s">
        <v>92</v>
      </c>
      <c r="L2137" t="s">
        <v>4223</v>
      </c>
      <c r="M2137" t="s">
        <v>94</v>
      </c>
      <c r="N2137" t="s">
        <v>4224</v>
      </c>
      <c r="O2137" t="s">
        <v>150</v>
      </c>
      <c r="P2137">
        <v>1E-3</v>
      </c>
      <c r="R2137" t="s">
        <v>5033</v>
      </c>
      <c r="S2137" t="s">
        <v>2864</v>
      </c>
      <c r="V2137" t="s">
        <v>2855</v>
      </c>
      <c r="W2137" t="s">
        <v>2865</v>
      </c>
      <c r="AD2137" t="s">
        <v>5035</v>
      </c>
    </row>
    <row r="2138" spans="1:30" x14ac:dyDescent="0.25">
      <c r="A2138" t="s">
        <v>33</v>
      </c>
      <c r="D2138" t="s">
        <v>2847</v>
      </c>
      <c r="E2138" t="s">
        <v>2848</v>
      </c>
      <c r="F2138" t="s">
        <v>87</v>
      </c>
      <c r="G2138" t="s">
        <v>389</v>
      </c>
      <c r="H2138" t="s">
        <v>153</v>
      </c>
      <c r="I2138" t="s">
        <v>180</v>
      </c>
      <c r="J2138" t="s">
        <v>154</v>
      </c>
      <c r="K2138" t="s">
        <v>155</v>
      </c>
      <c r="L2138" t="s">
        <v>390</v>
      </c>
      <c r="N2138" t="s">
        <v>4067</v>
      </c>
      <c r="O2138" t="s">
        <v>187</v>
      </c>
      <c r="R2138" t="s">
        <v>5036</v>
      </c>
      <c r="S2138" t="s">
        <v>2882</v>
      </c>
      <c r="V2138" t="s">
        <v>2855</v>
      </c>
      <c r="W2138" t="s">
        <v>2856</v>
      </c>
      <c r="AD2138" t="s">
        <v>5037</v>
      </c>
    </row>
    <row r="2139" spans="1:30" x14ac:dyDescent="0.25">
      <c r="A2139" t="s">
        <v>33</v>
      </c>
      <c r="D2139" t="s">
        <v>2847</v>
      </c>
      <c r="E2139" t="s">
        <v>2859</v>
      </c>
      <c r="F2139" t="s">
        <v>87</v>
      </c>
      <c r="G2139" t="s">
        <v>4222</v>
      </c>
      <c r="H2139" t="s">
        <v>153</v>
      </c>
      <c r="I2139" t="s">
        <v>180</v>
      </c>
      <c r="J2139" t="s">
        <v>154</v>
      </c>
      <c r="K2139" t="s">
        <v>155</v>
      </c>
      <c r="L2139" t="s">
        <v>4223</v>
      </c>
      <c r="N2139" t="s">
        <v>4224</v>
      </c>
      <c r="O2139" t="s">
        <v>187</v>
      </c>
      <c r="R2139" t="s">
        <v>5036</v>
      </c>
      <c r="S2139" t="s">
        <v>2864</v>
      </c>
      <c r="V2139" t="s">
        <v>2855</v>
      </c>
      <c r="W2139" t="s">
        <v>2865</v>
      </c>
      <c r="AD2139" t="s">
        <v>5038</v>
      </c>
    </row>
    <row r="2140" spans="1:30" x14ac:dyDescent="0.25">
      <c r="A2140" t="s">
        <v>33</v>
      </c>
      <c r="D2140" t="s">
        <v>2847</v>
      </c>
      <c r="E2140" t="s">
        <v>2848</v>
      </c>
      <c r="F2140" t="s">
        <v>87</v>
      </c>
      <c r="G2140" t="s">
        <v>389</v>
      </c>
      <c r="H2140" t="s">
        <v>153</v>
      </c>
      <c r="I2140" t="s">
        <v>100</v>
      </c>
      <c r="J2140" t="s">
        <v>154</v>
      </c>
      <c r="K2140" t="s">
        <v>155</v>
      </c>
      <c r="L2140" t="s">
        <v>390</v>
      </c>
      <c r="N2140" t="s">
        <v>4067</v>
      </c>
      <c r="O2140" t="s">
        <v>448</v>
      </c>
      <c r="R2140" t="s">
        <v>5039</v>
      </c>
      <c r="S2140" t="s">
        <v>2882</v>
      </c>
      <c r="V2140" t="s">
        <v>2855</v>
      </c>
      <c r="W2140" t="s">
        <v>2856</v>
      </c>
      <c r="AD2140" t="s">
        <v>5040</v>
      </c>
    </row>
    <row r="2141" spans="1:30" x14ac:dyDescent="0.25">
      <c r="A2141" t="s">
        <v>33</v>
      </c>
      <c r="D2141" t="s">
        <v>2847</v>
      </c>
      <c r="E2141" t="s">
        <v>2848</v>
      </c>
      <c r="F2141" t="s">
        <v>87</v>
      </c>
      <c r="G2141" t="s">
        <v>389</v>
      </c>
      <c r="H2141" t="s">
        <v>143</v>
      </c>
      <c r="I2141" t="s">
        <v>100</v>
      </c>
      <c r="J2141" t="s">
        <v>145</v>
      </c>
      <c r="K2141" t="s">
        <v>262</v>
      </c>
      <c r="L2141" t="s">
        <v>390</v>
      </c>
      <c r="M2141" t="s">
        <v>53</v>
      </c>
      <c r="N2141" t="s">
        <v>4067</v>
      </c>
      <c r="O2141" t="s">
        <v>442</v>
      </c>
      <c r="R2141" t="s">
        <v>5041</v>
      </c>
      <c r="S2141" t="s">
        <v>2882</v>
      </c>
      <c r="V2141" t="s">
        <v>2855</v>
      </c>
      <c r="W2141" t="s">
        <v>2856</v>
      </c>
      <c r="X2141" t="s">
        <v>56</v>
      </c>
      <c r="AD2141" t="s">
        <v>5042</v>
      </c>
    </row>
    <row r="2142" spans="1:30" x14ac:dyDescent="0.25">
      <c r="A2142" t="s">
        <v>33</v>
      </c>
      <c r="D2142" t="s">
        <v>2847</v>
      </c>
      <c r="E2142" t="s">
        <v>2848</v>
      </c>
      <c r="F2142" t="s">
        <v>87</v>
      </c>
      <c r="G2142" t="s">
        <v>389</v>
      </c>
      <c r="H2142" t="s">
        <v>89</v>
      </c>
      <c r="I2142" t="s">
        <v>100</v>
      </c>
      <c r="J2142" t="s">
        <v>91</v>
      </c>
      <c r="K2142" t="s">
        <v>92</v>
      </c>
      <c r="L2142" t="s">
        <v>390</v>
      </c>
      <c r="M2142" t="s">
        <v>94</v>
      </c>
      <c r="N2142" t="s">
        <v>4067</v>
      </c>
      <c r="O2142" t="s">
        <v>445</v>
      </c>
      <c r="P2142">
        <v>1E-3</v>
      </c>
      <c r="R2142" t="s">
        <v>5043</v>
      </c>
      <c r="S2142" t="s">
        <v>2882</v>
      </c>
      <c r="V2142" t="s">
        <v>2855</v>
      </c>
      <c r="W2142" t="s">
        <v>2856</v>
      </c>
      <c r="AD2142" t="s">
        <v>5044</v>
      </c>
    </row>
    <row r="2143" spans="1:30" x14ac:dyDescent="0.25">
      <c r="A2143" t="s">
        <v>33</v>
      </c>
      <c r="D2143" t="s">
        <v>2847</v>
      </c>
      <c r="E2143" t="s">
        <v>2848</v>
      </c>
      <c r="F2143" t="s">
        <v>87</v>
      </c>
      <c r="G2143" t="s">
        <v>389</v>
      </c>
      <c r="H2143" t="s">
        <v>143</v>
      </c>
      <c r="I2143" t="s">
        <v>180</v>
      </c>
      <c r="J2143" t="s">
        <v>145</v>
      </c>
      <c r="K2143" t="s">
        <v>262</v>
      </c>
      <c r="L2143" t="s">
        <v>390</v>
      </c>
      <c r="M2143" t="s">
        <v>53</v>
      </c>
      <c r="N2143" t="s">
        <v>4067</v>
      </c>
      <c r="O2143" t="s">
        <v>181</v>
      </c>
      <c r="R2143" t="s">
        <v>5045</v>
      </c>
      <c r="S2143" t="s">
        <v>2882</v>
      </c>
      <c r="V2143" t="s">
        <v>2855</v>
      </c>
      <c r="W2143" t="s">
        <v>2856</v>
      </c>
      <c r="X2143" t="s">
        <v>56</v>
      </c>
      <c r="AD2143" t="s">
        <v>5046</v>
      </c>
    </row>
    <row r="2144" spans="1:30" x14ac:dyDescent="0.25">
      <c r="A2144" t="s">
        <v>33</v>
      </c>
      <c r="D2144" t="s">
        <v>2847</v>
      </c>
      <c r="E2144" t="s">
        <v>2848</v>
      </c>
      <c r="F2144" t="s">
        <v>87</v>
      </c>
      <c r="G2144" t="s">
        <v>389</v>
      </c>
      <c r="H2144" t="s">
        <v>89</v>
      </c>
      <c r="I2144" t="s">
        <v>180</v>
      </c>
      <c r="J2144" t="s">
        <v>91</v>
      </c>
      <c r="K2144" t="s">
        <v>92</v>
      </c>
      <c r="L2144" t="s">
        <v>390</v>
      </c>
      <c r="M2144" t="s">
        <v>94</v>
      </c>
      <c r="N2144" t="s">
        <v>4067</v>
      </c>
      <c r="O2144" t="s">
        <v>184</v>
      </c>
      <c r="P2144">
        <v>1E-3</v>
      </c>
      <c r="R2144" t="s">
        <v>5047</v>
      </c>
      <c r="S2144" t="s">
        <v>2882</v>
      </c>
      <c r="V2144" t="s">
        <v>2855</v>
      </c>
      <c r="W2144" t="s">
        <v>2856</v>
      </c>
      <c r="AD2144" t="s">
        <v>5048</v>
      </c>
    </row>
    <row r="2145" spans="1:30" x14ac:dyDescent="0.25">
      <c r="A2145" t="s">
        <v>33</v>
      </c>
      <c r="D2145" t="s">
        <v>2847</v>
      </c>
      <c r="E2145" t="s">
        <v>2859</v>
      </c>
      <c r="F2145" t="s">
        <v>87</v>
      </c>
      <c r="G2145" t="s">
        <v>4222</v>
      </c>
      <c r="H2145" t="s">
        <v>89</v>
      </c>
      <c r="I2145" t="s">
        <v>180</v>
      </c>
      <c r="J2145" t="s">
        <v>91</v>
      </c>
      <c r="K2145" t="s">
        <v>92</v>
      </c>
      <c r="L2145" t="s">
        <v>4223</v>
      </c>
      <c r="M2145" t="s">
        <v>94</v>
      </c>
      <c r="N2145" t="s">
        <v>4224</v>
      </c>
      <c r="O2145" t="s">
        <v>184</v>
      </c>
      <c r="P2145">
        <v>1E-3</v>
      </c>
      <c r="R2145" t="s">
        <v>5047</v>
      </c>
      <c r="S2145" t="s">
        <v>2864</v>
      </c>
      <c r="V2145" t="s">
        <v>2855</v>
      </c>
      <c r="W2145" t="s">
        <v>2865</v>
      </c>
      <c r="AD2145" t="s">
        <v>5049</v>
      </c>
    </row>
    <row r="2146" spans="1:30" x14ac:dyDescent="0.25">
      <c r="A2146" t="s">
        <v>33</v>
      </c>
      <c r="D2146" t="s">
        <v>2847</v>
      </c>
      <c r="E2146" t="s">
        <v>2859</v>
      </c>
      <c r="F2146" t="s">
        <v>87</v>
      </c>
      <c r="G2146" t="s">
        <v>4222</v>
      </c>
      <c r="H2146" t="s">
        <v>38</v>
      </c>
      <c r="I2146" t="s">
        <v>106</v>
      </c>
      <c r="J2146" t="s">
        <v>40</v>
      </c>
      <c r="K2146" t="s">
        <v>41</v>
      </c>
      <c r="L2146" t="s">
        <v>4223</v>
      </c>
      <c r="M2146" t="s">
        <v>252</v>
      </c>
      <c r="N2146" t="s">
        <v>4224</v>
      </c>
      <c r="O2146" t="s">
        <v>109</v>
      </c>
      <c r="R2146" t="s">
        <v>5050</v>
      </c>
      <c r="S2146" t="s">
        <v>2864</v>
      </c>
      <c r="V2146" t="s">
        <v>2855</v>
      </c>
      <c r="W2146" t="s">
        <v>2865</v>
      </c>
      <c r="AD2146" t="s">
        <v>5051</v>
      </c>
    </row>
    <row r="2147" spans="1:30" x14ac:dyDescent="0.25">
      <c r="A2147" t="s">
        <v>33</v>
      </c>
      <c r="D2147" t="s">
        <v>2847</v>
      </c>
      <c r="E2147" t="s">
        <v>2848</v>
      </c>
      <c r="F2147" t="s">
        <v>87</v>
      </c>
      <c r="G2147" t="s">
        <v>389</v>
      </c>
      <c r="H2147" t="s">
        <v>38</v>
      </c>
      <c r="I2147" t="s">
        <v>106</v>
      </c>
      <c r="J2147" t="s">
        <v>40</v>
      </c>
      <c r="K2147" t="s">
        <v>41</v>
      </c>
      <c r="L2147" t="s">
        <v>390</v>
      </c>
      <c r="M2147" t="s">
        <v>53</v>
      </c>
      <c r="N2147" t="s">
        <v>4067</v>
      </c>
      <c r="O2147" t="s">
        <v>109</v>
      </c>
      <c r="R2147" t="s">
        <v>5052</v>
      </c>
      <c r="S2147" t="s">
        <v>2882</v>
      </c>
      <c r="V2147" t="s">
        <v>2855</v>
      </c>
      <c r="W2147" t="s">
        <v>2856</v>
      </c>
      <c r="X2147" t="s">
        <v>56</v>
      </c>
      <c r="AD2147" t="s">
        <v>5053</v>
      </c>
    </row>
    <row r="2148" spans="1:30" x14ac:dyDescent="0.25">
      <c r="A2148" t="s">
        <v>33</v>
      </c>
      <c r="D2148" t="s">
        <v>2847</v>
      </c>
      <c r="E2148" t="s">
        <v>2893</v>
      </c>
      <c r="F2148" t="s">
        <v>87</v>
      </c>
      <c r="G2148" t="s">
        <v>5054</v>
      </c>
      <c r="H2148" t="s">
        <v>153</v>
      </c>
      <c r="I2148" t="s">
        <v>144</v>
      </c>
      <c r="J2148" t="s">
        <v>154</v>
      </c>
      <c r="K2148" t="s">
        <v>155</v>
      </c>
      <c r="L2148" t="s">
        <v>5055</v>
      </c>
      <c r="N2148" t="s">
        <v>5056</v>
      </c>
      <c r="O2148" t="s">
        <v>156</v>
      </c>
      <c r="R2148" t="s">
        <v>5057</v>
      </c>
      <c r="S2148" t="s">
        <v>2864</v>
      </c>
      <c r="V2148" t="s">
        <v>2855</v>
      </c>
      <c r="W2148" t="s">
        <v>2898</v>
      </c>
      <c r="AD2148" t="s">
        <v>5058</v>
      </c>
    </row>
    <row r="2149" spans="1:30" x14ac:dyDescent="0.25">
      <c r="A2149" t="s">
        <v>33</v>
      </c>
      <c r="D2149" t="s">
        <v>2847</v>
      </c>
      <c r="E2149" t="s">
        <v>2893</v>
      </c>
      <c r="F2149" t="s">
        <v>87</v>
      </c>
      <c r="G2149" t="s">
        <v>5054</v>
      </c>
      <c r="H2149" t="s">
        <v>89</v>
      </c>
      <c r="I2149" t="s">
        <v>144</v>
      </c>
      <c r="J2149" t="s">
        <v>91</v>
      </c>
      <c r="K2149" t="s">
        <v>92</v>
      </c>
      <c r="L2149" t="s">
        <v>5055</v>
      </c>
      <c r="M2149" t="s">
        <v>94</v>
      </c>
      <c r="N2149" t="s">
        <v>5056</v>
      </c>
      <c r="O2149" t="s">
        <v>150</v>
      </c>
      <c r="P2149">
        <v>1E-3</v>
      </c>
      <c r="R2149" t="s">
        <v>5059</v>
      </c>
      <c r="S2149" t="s">
        <v>2864</v>
      </c>
      <c r="V2149" t="s">
        <v>2855</v>
      </c>
      <c r="W2149" t="s">
        <v>2898</v>
      </c>
      <c r="AD2149" t="s">
        <v>5060</v>
      </c>
    </row>
    <row r="2150" spans="1:30" x14ac:dyDescent="0.25">
      <c r="A2150" t="s">
        <v>33</v>
      </c>
      <c r="D2150" t="s">
        <v>2847</v>
      </c>
      <c r="E2150" t="s">
        <v>2893</v>
      </c>
      <c r="F2150" t="s">
        <v>87</v>
      </c>
      <c r="G2150" t="s">
        <v>5054</v>
      </c>
      <c r="H2150" t="s">
        <v>153</v>
      </c>
      <c r="I2150" t="s">
        <v>180</v>
      </c>
      <c r="J2150" t="s">
        <v>154</v>
      </c>
      <c r="K2150" t="s">
        <v>155</v>
      </c>
      <c r="L2150" t="s">
        <v>5055</v>
      </c>
      <c r="N2150" t="s">
        <v>5056</v>
      </c>
      <c r="O2150" t="s">
        <v>187</v>
      </c>
      <c r="R2150" t="s">
        <v>5061</v>
      </c>
      <c r="S2150" t="s">
        <v>2864</v>
      </c>
      <c r="V2150" t="s">
        <v>2855</v>
      </c>
      <c r="W2150" t="s">
        <v>2898</v>
      </c>
      <c r="AD2150" t="s">
        <v>5062</v>
      </c>
    </row>
    <row r="2151" spans="1:30" x14ac:dyDescent="0.25">
      <c r="A2151" t="s">
        <v>33</v>
      </c>
      <c r="D2151" t="s">
        <v>2847</v>
      </c>
      <c r="E2151" t="s">
        <v>2893</v>
      </c>
      <c r="F2151" t="s">
        <v>87</v>
      </c>
      <c r="G2151" t="s">
        <v>5054</v>
      </c>
      <c r="H2151" t="s">
        <v>89</v>
      </c>
      <c r="I2151" t="s">
        <v>180</v>
      </c>
      <c r="J2151" t="s">
        <v>91</v>
      </c>
      <c r="K2151" t="s">
        <v>92</v>
      </c>
      <c r="L2151" t="s">
        <v>5055</v>
      </c>
      <c r="M2151" t="s">
        <v>94</v>
      </c>
      <c r="N2151" t="s">
        <v>5056</v>
      </c>
      <c r="O2151" t="s">
        <v>184</v>
      </c>
      <c r="P2151">
        <v>1E-3</v>
      </c>
      <c r="R2151" t="s">
        <v>5063</v>
      </c>
      <c r="S2151" t="s">
        <v>2864</v>
      </c>
      <c r="V2151" t="s">
        <v>2855</v>
      </c>
      <c r="W2151" t="s">
        <v>2898</v>
      </c>
      <c r="AD2151" t="s">
        <v>5064</v>
      </c>
    </row>
    <row r="2152" spans="1:30" x14ac:dyDescent="0.25">
      <c r="A2152" t="s">
        <v>33</v>
      </c>
      <c r="D2152" t="s">
        <v>2847</v>
      </c>
      <c r="E2152" t="s">
        <v>2893</v>
      </c>
      <c r="F2152" t="s">
        <v>87</v>
      </c>
      <c r="G2152" t="s">
        <v>5054</v>
      </c>
      <c r="H2152" t="s">
        <v>38</v>
      </c>
      <c r="I2152" t="s">
        <v>106</v>
      </c>
      <c r="J2152" t="s">
        <v>40</v>
      </c>
      <c r="K2152" t="s">
        <v>41</v>
      </c>
      <c r="L2152" t="s">
        <v>5055</v>
      </c>
      <c r="M2152" t="s">
        <v>53</v>
      </c>
      <c r="N2152" t="s">
        <v>5056</v>
      </c>
      <c r="O2152" t="s">
        <v>109</v>
      </c>
      <c r="R2152" t="s">
        <v>5065</v>
      </c>
      <c r="S2152" t="s">
        <v>2864</v>
      </c>
      <c r="V2152" t="s">
        <v>2855</v>
      </c>
      <c r="W2152" t="s">
        <v>2898</v>
      </c>
      <c r="X2152" t="s">
        <v>56</v>
      </c>
      <c r="AD2152" t="s">
        <v>5066</v>
      </c>
    </row>
    <row r="2153" spans="1:30" x14ac:dyDescent="0.25">
      <c r="A2153" t="s">
        <v>33</v>
      </c>
      <c r="D2153" t="s">
        <v>2847</v>
      </c>
      <c r="E2153" t="s">
        <v>2893</v>
      </c>
      <c r="F2153" t="s">
        <v>87</v>
      </c>
      <c r="G2153" t="s">
        <v>5067</v>
      </c>
      <c r="H2153" t="s">
        <v>153</v>
      </c>
      <c r="I2153" t="s">
        <v>144</v>
      </c>
      <c r="J2153" t="s">
        <v>154</v>
      </c>
      <c r="K2153" t="s">
        <v>155</v>
      </c>
      <c r="L2153" t="s">
        <v>5068</v>
      </c>
      <c r="N2153" t="s">
        <v>5056</v>
      </c>
      <c r="O2153" t="s">
        <v>156</v>
      </c>
      <c r="R2153" t="s">
        <v>5069</v>
      </c>
      <c r="S2153" t="s">
        <v>2864</v>
      </c>
      <c r="V2153" t="s">
        <v>2855</v>
      </c>
      <c r="W2153" t="s">
        <v>2898</v>
      </c>
      <c r="AD2153" t="s">
        <v>5058</v>
      </c>
    </row>
    <row r="2154" spans="1:30" x14ac:dyDescent="0.25">
      <c r="A2154" t="s">
        <v>33</v>
      </c>
      <c r="D2154" t="s">
        <v>2847</v>
      </c>
      <c r="E2154" t="s">
        <v>2893</v>
      </c>
      <c r="F2154" t="s">
        <v>87</v>
      </c>
      <c r="G2154" t="s">
        <v>5067</v>
      </c>
      <c r="H2154" t="s">
        <v>89</v>
      </c>
      <c r="I2154" t="s">
        <v>144</v>
      </c>
      <c r="J2154" t="s">
        <v>91</v>
      </c>
      <c r="K2154" t="s">
        <v>92</v>
      </c>
      <c r="L2154" t="s">
        <v>5068</v>
      </c>
      <c r="M2154" t="s">
        <v>94</v>
      </c>
      <c r="N2154" t="s">
        <v>5056</v>
      </c>
      <c r="O2154" t="s">
        <v>150</v>
      </c>
      <c r="P2154">
        <v>1E-3</v>
      </c>
      <c r="R2154" t="s">
        <v>5070</v>
      </c>
      <c r="S2154" t="s">
        <v>2864</v>
      </c>
      <c r="V2154" t="s">
        <v>2855</v>
      </c>
      <c r="W2154" t="s">
        <v>2898</v>
      </c>
      <c r="AD2154" t="s">
        <v>5060</v>
      </c>
    </row>
    <row r="2155" spans="1:30" x14ac:dyDescent="0.25">
      <c r="A2155" t="s">
        <v>33</v>
      </c>
      <c r="D2155" t="s">
        <v>2847</v>
      </c>
      <c r="E2155" t="s">
        <v>2893</v>
      </c>
      <c r="F2155" t="s">
        <v>87</v>
      </c>
      <c r="G2155" t="s">
        <v>5067</v>
      </c>
      <c r="H2155" t="s">
        <v>153</v>
      </c>
      <c r="I2155" t="s">
        <v>180</v>
      </c>
      <c r="J2155" t="s">
        <v>154</v>
      </c>
      <c r="K2155" t="s">
        <v>155</v>
      </c>
      <c r="L2155" t="s">
        <v>5068</v>
      </c>
      <c r="N2155" t="s">
        <v>5056</v>
      </c>
      <c r="O2155" t="s">
        <v>187</v>
      </c>
      <c r="R2155" t="s">
        <v>5071</v>
      </c>
      <c r="S2155" t="s">
        <v>2864</v>
      </c>
      <c r="V2155" t="s">
        <v>2855</v>
      </c>
      <c r="W2155" t="s">
        <v>2898</v>
      </c>
      <c r="AD2155" t="s">
        <v>5062</v>
      </c>
    </row>
    <row r="2156" spans="1:30" x14ac:dyDescent="0.25">
      <c r="A2156" t="s">
        <v>33</v>
      </c>
      <c r="D2156" t="s">
        <v>2847</v>
      </c>
      <c r="E2156" t="s">
        <v>2893</v>
      </c>
      <c r="F2156" t="s">
        <v>87</v>
      </c>
      <c r="G2156" t="s">
        <v>5067</v>
      </c>
      <c r="H2156" t="s">
        <v>89</v>
      </c>
      <c r="I2156" t="s">
        <v>180</v>
      </c>
      <c r="J2156" t="s">
        <v>91</v>
      </c>
      <c r="K2156" t="s">
        <v>92</v>
      </c>
      <c r="L2156" t="s">
        <v>5068</v>
      </c>
      <c r="M2156" t="s">
        <v>94</v>
      </c>
      <c r="N2156" t="s">
        <v>5056</v>
      </c>
      <c r="O2156" t="s">
        <v>184</v>
      </c>
      <c r="P2156">
        <v>1E-3</v>
      </c>
      <c r="R2156" t="s">
        <v>5072</v>
      </c>
      <c r="S2156" t="s">
        <v>2864</v>
      </c>
      <c r="V2156" t="s">
        <v>2855</v>
      </c>
      <c r="W2156" t="s">
        <v>2898</v>
      </c>
      <c r="AD2156" t="s">
        <v>5064</v>
      </c>
    </row>
    <row r="2157" spans="1:30" x14ac:dyDescent="0.25">
      <c r="A2157" t="s">
        <v>33</v>
      </c>
      <c r="D2157" t="s">
        <v>2847</v>
      </c>
      <c r="E2157" t="s">
        <v>2893</v>
      </c>
      <c r="F2157" t="s">
        <v>87</v>
      </c>
      <c r="G2157" t="s">
        <v>5067</v>
      </c>
      <c r="H2157" t="s">
        <v>38</v>
      </c>
      <c r="I2157" t="s">
        <v>106</v>
      </c>
      <c r="J2157" t="s">
        <v>40</v>
      </c>
      <c r="K2157" t="s">
        <v>41</v>
      </c>
      <c r="L2157" t="s">
        <v>5068</v>
      </c>
      <c r="M2157" t="s">
        <v>53</v>
      </c>
      <c r="N2157" t="s">
        <v>5056</v>
      </c>
      <c r="O2157" t="s">
        <v>109</v>
      </c>
      <c r="R2157" t="s">
        <v>5073</v>
      </c>
      <c r="S2157" t="s">
        <v>2864</v>
      </c>
      <c r="V2157" t="s">
        <v>2855</v>
      </c>
      <c r="W2157" t="s">
        <v>2898</v>
      </c>
      <c r="X2157" t="s">
        <v>56</v>
      </c>
      <c r="AD2157" t="s">
        <v>5066</v>
      </c>
    </row>
    <row r="2158" spans="1:30" x14ac:dyDescent="0.25">
      <c r="A2158" t="s">
        <v>33</v>
      </c>
      <c r="D2158" t="s">
        <v>2847</v>
      </c>
      <c r="E2158" t="s">
        <v>2893</v>
      </c>
      <c r="F2158" t="s">
        <v>87</v>
      </c>
      <c r="G2158" t="s">
        <v>5074</v>
      </c>
      <c r="H2158" t="s">
        <v>153</v>
      </c>
      <c r="I2158" t="s">
        <v>144</v>
      </c>
      <c r="J2158" t="s">
        <v>154</v>
      </c>
      <c r="K2158" t="s">
        <v>155</v>
      </c>
      <c r="L2158" t="s">
        <v>5075</v>
      </c>
      <c r="N2158" t="s">
        <v>5076</v>
      </c>
      <c r="O2158" t="s">
        <v>156</v>
      </c>
      <c r="R2158" t="s">
        <v>5077</v>
      </c>
      <c r="S2158" t="s">
        <v>2864</v>
      </c>
      <c r="V2158" t="s">
        <v>2855</v>
      </c>
      <c r="W2158" t="s">
        <v>2898</v>
      </c>
      <c r="AD2158" t="s">
        <v>5078</v>
      </c>
    </row>
    <row r="2159" spans="1:30" x14ac:dyDescent="0.25">
      <c r="A2159" t="s">
        <v>33</v>
      </c>
      <c r="D2159" t="s">
        <v>2847</v>
      </c>
      <c r="E2159" t="s">
        <v>2893</v>
      </c>
      <c r="F2159" t="s">
        <v>87</v>
      </c>
      <c r="G2159" t="s">
        <v>5074</v>
      </c>
      <c r="H2159" t="s">
        <v>89</v>
      </c>
      <c r="I2159" t="s">
        <v>144</v>
      </c>
      <c r="J2159" t="s">
        <v>91</v>
      </c>
      <c r="K2159" t="s">
        <v>92</v>
      </c>
      <c r="L2159" t="s">
        <v>5075</v>
      </c>
      <c r="M2159" t="s">
        <v>94</v>
      </c>
      <c r="N2159" t="s">
        <v>5076</v>
      </c>
      <c r="O2159" t="s">
        <v>150</v>
      </c>
      <c r="P2159">
        <v>1E-3</v>
      </c>
      <c r="R2159" t="s">
        <v>5079</v>
      </c>
      <c r="S2159" t="s">
        <v>2864</v>
      </c>
      <c r="V2159" t="s">
        <v>2855</v>
      </c>
      <c r="W2159" t="s">
        <v>2898</v>
      </c>
      <c r="AD2159" t="s">
        <v>5080</v>
      </c>
    </row>
    <row r="2160" spans="1:30" x14ac:dyDescent="0.25">
      <c r="A2160" t="s">
        <v>33</v>
      </c>
      <c r="D2160" t="s">
        <v>2847</v>
      </c>
      <c r="E2160" t="s">
        <v>2893</v>
      </c>
      <c r="F2160" t="s">
        <v>87</v>
      </c>
      <c r="G2160" t="s">
        <v>5074</v>
      </c>
      <c r="H2160" t="s">
        <v>153</v>
      </c>
      <c r="I2160" t="s">
        <v>180</v>
      </c>
      <c r="J2160" t="s">
        <v>154</v>
      </c>
      <c r="K2160" t="s">
        <v>155</v>
      </c>
      <c r="L2160" t="s">
        <v>5075</v>
      </c>
      <c r="N2160" t="s">
        <v>5076</v>
      </c>
      <c r="O2160" t="s">
        <v>187</v>
      </c>
      <c r="R2160" t="s">
        <v>5081</v>
      </c>
      <c r="S2160" t="s">
        <v>2864</v>
      </c>
      <c r="V2160" t="s">
        <v>2855</v>
      </c>
      <c r="W2160" t="s">
        <v>2898</v>
      </c>
      <c r="AD2160" t="s">
        <v>5082</v>
      </c>
    </row>
    <row r="2161" spans="1:32" x14ac:dyDescent="0.25">
      <c r="A2161" t="s">
        <v>33</v>
      </c>
      <c r="D2161" t="s">
        <v>2847</v>
      </c>
      <c r="E2161" t="s">
        <v>2893</v>
      </c>
      <c r="F2161" t="s">
        <v>87</v>
      </c>
      <c r="G2161" t="s">
        <v>5074</v>
      </c>
      <c r="H2161" t="s">
        <v>89</v>
      </c>
      <c r="I2161" t="s">
        <v>180</v>
      </c>
      <c r="J2161" t="s">
        <v>91</v>
      </c>
      <c r="K2161" t="s">
        <v>92</v>
      </c>
      <c r="L2161" t="s">
        <v>5075</v>
      </c>
      <c r="M2161" t="s">
        <v>94</v>
      </c>
      <c r="N2161" t="s">
        <v>5076</v>
      </c>
      <c r="O2161" t="s">
        <v>184</v>
      </c>
      <c r="P2161">
        <v>1E-3</v>
      </c>
      <c r="R2161" t="s">
        <v>5083</v>
      </c>
      <c r="S2161" t="s">
        <v>2864</v>
      </c>
      <c r="V2161" t="s">
        <v>2855</v>
      </c>
      <c r="W2161" t="s">
        <v>2898</v>
      </c>
      <c r="AD2161" t="s">
        <v>5084</v>
      </c>
    </row>
    <row r="2162" spans="1:32" x14ac:dyDescent="0.25">
      <c r="A2162" t="s">
        <v>33</v>
      </c>
      <c r="D2162" t="s">
        <v>2847</v>
      </c>
      <c r="E2162" t="s">
        <v>2893</v>
      </c>
      <c r="F2162" t="s">
        <v>87</v>
      </c>
      <c r="G2162" t="s">
        <v>5074</v>
      </c>
      <c r="H2162" t="s">
        <v>38</v>
      </c>
      <c r="I2162" t="s">
        <v>106</v>
      </c>
      <c r="J2162" t="s">
        <v>40</v>
      </c>
      <c r="K2162" t="s">
        <v>41</v>
      </c>
      <c r="L2162" t="s">
        <v>5075</v>
      </c>
      <c r="M2162" t="s">
        <v>53</v>
      </c>
      <c r="N2162" t="s">
        <v>5076</v>
      </c>
      <c r="O2162" t="s">
        <v>109</v>
      </c>
      <c r="R2162" t="s">
        <v>5085</v>
      </c>
      <c r="S2162" t="s">
        <v>2864</v>
      </c>
      <c r="V2162" t="s">
        <v>2855</v>
      </c>
      <c r="W2162" t="s">
        <v>2898</v>
      </c>
      <c r="X2162" t="s">
        <v>56</v>
      </c>
      <c r="AD2162" t="s">
        <v>5086</v>
      </c>
    </row>
    <row r="2163" spans="1:32" x14ac:dyDescent="0.25">
      <c r="A2163" t="s">
        <v>33</v>
      </c>
      <c r="D2163" t="s">
        <v>2847</v>
      </c>
      <c r="E2163" t="s">
        <v>2893</v>
      </c>
      <c r="F2163" t="s">
        <v>87</v>
      </c>
      <c r="G2163" t="s">
        <v>5087</v>
      </c>
      <c r="H2163" t="s">
        <v>153</v>
      </c>
      <c r="I2163" t="s">
        <v>144</v>
      </c>
      <c r="J2163" t="s">
        <v>154</v>
      </c>
      <c r="K2163" t="s">
        <v>155</v>
      </c>
      <c r="L2163" t="s">
        <v>5088</v>
      </c>
      <c r="N2163" t="s">
        <v>5076</v>
      </c>
      <c r="O2163" t="s">
        <v>156</v>
      </c>
      <c r="R2163" t="s">
        <v>5089</v>
      </c>
      <c r="S2163" t="s">
        <v>2864</v>
      </c>
      <c r="V2163" t="s">
        <v>2855</v>
      </c>
      <c r="W2163" t="s">
        <v>2898</v>
      </c>
      <c r="AD2163" t="s">
        <v>5078</v>
      </c>
    </row>
    <row r="2164" spans="1:32" x14ac:dyDescent="0.25">
      <c r="A2164" t="s">
        <v>33</v>
      </c>
      <c r="D2164" t="s">
        <v>2847</v>
      </c>
      <c r="E2164" t="s">
        <v>2893</v>
      </c>
      <c r="F2164" t="s">
        <v>87</v>
      </c>
      <c r="G2164" t="s">
        <v>5087</v>
      </c>
      <c r="H2164" t="s">
        <v>89</v>
      </c>
      <c r="I2164" t="s">
        <v>144</v>
      </c>
      <c r="J2164" t="s">
        <v>91</v>
      </c>
      <c r="K2164" t="s">
        <v>92</v>
      </c>
      <c r="L2164" t="s">
        <v>5088</v>
      </c>
      <c r="M2164" t="s">
        <v>94</v>
      </c>
      <c r="N2164" t="s">
        <v>5076</v>
      </c>
      <c r="O2164" t="s">
        <v>150</v>
      </c>
      <c r="P2164">
        <v>1E-3</v>
      </c>
      <c r="R2164" t="s">
        <v>5090</v>
      </c>
      <c r="S2164" t="s">
        <v>2864</v>
      </c>
      <c r="V2164" t="s">
        <v>2855</v>
      </c>
      <c r="W2164" t="s">
        <v>2898</v>
      </c>
      <c r="AD2164" t="s">
        <v>5080</v>
      </c>
    </row>
    <row r="2165" spans="1:32" x14ac:dyDescent="0.25">
      <c r="A2165" t="s">
        <v>33</v>
      </c>
      <c r="D2165" t="s">
        <v>2847</v>
      </c>
      <c r="E2165" t="s">
        <v>2893</v>
      </c>
      <c r="F2165" t="s">
        <v>87</v>
      </c>
      <c r="G2165" t="s">
        <v>5087</v>
      </c>
      <c r="H2165" t="s">
        <v>153</v>
      </c>
      <c r="I2165" t="s">
        <v>180</v>
      </c>
      <c r="J2165" t="s">
        <v>154</v>
      </c>
      <c r="K2165" t="s">
        <v>155</v>
      </c>
      <c r="L2165" t="s">
        <v>5088</v>
      </c>
      <c r="N2165" t="s">
        <v>5076</v>
      </c>
      <c r="O2165" t="s">
        <v>187</v>
      </c>
      <c r="R2165" t="s">
        <v>5091</v>
      </c>
      <c r="S2165" t="s">
        <v>2864</v>
      </c>
      <c r="V2165" t="s">
        <v>2855</v>
      </c>
      <c r="W2165" t="s">
        <v>2898</v>
      </c>
      <c r="AD2165" t="s">
        <v>5082</v>
      </c>
    </row>
    <row r="2166" spans="1:32" x14ac:dyDescent="0.25">
      <c r="A2166" t="s">
        <v>33</v>
      </c>
      <c r="D2166" t="s">
        <v>2847</v>
      </c>
      <c r="E2166" t="s">
        <v>2893</v>
      </c>
      <c r="F2166" t="s">
        <v>87</v>
      </c>
      <c r="G2166" t="s">
        <v>5087</v>
      </c>
      <c r="H2166" t="s">
        <v>89</v>
      </c>
      <c r="I2166" t="s">
        <v>180</v>
      </c>
      <c r="J2166" t="s">
        <v>91</v>
      </c>
      <c r="K2166" t="s">
        <v>92</v>
      </c>
      <c r="L2166" t="s">
        <v>5088</v>
      </c>
      <c r="M2166" t="s">
        <v>94</v>
      </c>
      <c r="N2166" t="s">
        <v>5076</v>
      </c>
      <c r="O2166" t="s">
        <v>184</v>
      </c>
      <c r="P2166">
        <v>1E-3</v>
      </c>
      <c r="R2166" t="s">
        <v>5092</v>
      </c>
      <c r="S2166" t="s">
        <v>2864</v>
      </c>
      <c r="V2166" t="s">
        <v>2855</v>
      </c>
      <c r="W2166" t="s">
        <v>2898</v>
      </c>
      <c r="AD2166" t="s">
        <v>5084</v>
      </c>
    </row>
    <row r="2167" spans="1:32" x14ac:dyDescent="0.25">
      <c r="A2167" t="s">
        <v>33</v>
      </c>
      <c r="D2167" t="s">
        <v>2847</v>
      </c>
      <c r="E2167" t="s">
        <v>2893</v>
      </c>
      <c r="F2167" t="s">
        <v>87</v>
      </c>
      <c r="G2167" t="s">
        <v>5087</v>
      </c>
      <c r="H2167" t="s">
        <v>38</v>
      </c>
      <c r="I2167" t="s">
        <v>106</v>
      </c>
      <c r="J2167" t="s">
        <v>40</v>
      </c>
      <c r="K2167" t="s">
        <v>41</v>
      </c>
      <c r="L2167" t="s">
        <v>5088</v>
      </c>
      <c r="M2167" t="s">
        <v>53</v>
      </c>
      <c r="N2167" t="s">
        <v>5076</v>
      </c>
      <c r="O2167" t="s">
        <v>109</v>
      </c>
      <c r="R2167" t="s">
        <v>5093</v>
      </c>
      <c r="S2167" t="s">
        <v>2864</v>
      </c>
      <c r="V2167" t="s">
        <v>2855</v>
      </c>
      <c r="W2167" t="s">
        <v>2898</v>
      </c>
      <c r="X2167" t="s">
        <v>56</v>
      </c>
      <c r="AD2167" t="s">
        <v>5086</v>
      </c>
    </row>
    <row r="2168" spans="1:32" x14ac:dyDescent="0.25">
      <c r="A2168" t="s">
        <v>33</v>
      </c>
      <c r="D2168" t="s">
        <v>2847</v>
      </c>
      <c r="E2168" t="s">
        <v>2848</v>
      </c>
      <c r="F2168" t="s">
        <v>87</v>
      </c>
      <c r="G2168" t="s">
        <v>5094</v>
      </c>
      <c r="H2168" t="s">
        <v>153</v>
      </c>
      <c r="I2168" t="s">
        <v>144</v>
      </c>
      <c r="J2168" t="s">
        <v>154</v>
      </c>
      <c r="K2168" t="s">
        <v>155</v>
      </c>
      <c r="L2168" t="s">
        <v>5095</v>
      </c>
      <c r="N2168" t="s">
        <v>5096</v>
      </c>
      <c r="O2168" t="s">
        <v>156</v>
      </c>
      <c r="R2168" t="s">
        <v>5097</v>
      </c>
      <c r="S2168" t="s">
        <v>2864</v>
      </c>
      <c r="V2168" t="s">
        <v>2855</v>
      </c>
      <c r="W2168" t="s">
        <v>2856</v>
      </c>
      <c r="AD2168" t="s">
        <v>5098</v>
      </c>
    </row>
    <row r="2169" spans="1:32" x14ac:dyDescent="0.25">
      <c r="A2169" t="s">
        <v>33</v>
      </c>
      <c r="D2169" t="s">
        <v>2847</v>
      </c>
      <c r="E2169" t="s">
        <v>2848</v>
      </c>
      <c r="F2169" t="s">
        <v>87</v>
      </c>
      <c r="G2169" t="s">
        <v>5094</v>
      </c>
      <c r="H2169" t="s">
        <v>89</v>
      </c>
      <c r="I2169" t="s">
        <v>144</v>
      </c>
      <c r="J2169" t="s">
        <v>91</v>
      </c>
      <c r="K2169" t="s">
        <v>92</v>
      </c>
      <c r="L2169" t="s">
        <v>5095</v>
      </c>
      <c r="M2169" t="s">
        <v>94</v>
      </c>
      <c r="N2169" t="s">
        <v>5096</v>
      </c>
      <c r="O2169" t="s">
        <v>150</v>
      </c>
      <c r="P2169">
        <v>1E-3</v>
      </c>
      <c r="R2169" t="s">
        <v>5099</v>
      </c>
      <c r="S2169" t="s">
        <v>2864</v>
      </c>
      <c r="V2169" t="s">
        <v>2855</v>
      </c>
      <c r="W2169" t="s">
        <v>2856</v>
      </c>
      <c r="AD2169" t="s">
        <v>5100</v>
      </c>
    </row>
    <row r="2170" spans="1:32" x14ac:dyDescent="0.25">
      <c r="A2170" t="s">
        <v>33</v>
      </c>
      <c r="D2170" t="s">
        <v>2847</v>
      </c>
      <c r="E2170" t="s">
        <v>2848</v>
      </c>
      <c r="F2170" t="s">
        <v>87</v>
      </c>
      <c r="G2170" t="s">
        <v>5094</v>
      </c>
      <c r="H2170" t="s">
        <v>153</v>
      </c>
      <c r="I2170" t="s">
        <v>180</v>
      </c>
      <c r="J2170" t="s">
        <v>154</v>
      </c>
      <c r="K2170" t="s">
        <v>155</v>
      </c>
      <c r="L2170" t="s">
        <v>5095</v>
      </c>
      <c r="N2170" t="s">
        <v>5096</v>
      </c>
      <c r="O2170" t="s">
        <v>187</v>
      </c>
      <c r="R2170" t="s">
        <v>5101</v>
      </c>
      <c r="S2170" t="s">
        <v>2864</v>
      </c>
      <c r="V2170" t="s">
        <v>2855</v>
      </c>
      <c r="W2170" t="s">
        <v>2856</v>
      </c>
      <c r="AD2170" t="s">
        <v>5102</v>
      </c>
    </row>
    <row r="2171" spans="1:32" x14ac:dyDescent="0.25">
      <c r="A2171" t="s">
        <v>33</v>
      </c>
      <c r="D2171" t="s">
        <v>2847</v>
      </c>
      <c r="E2171" t="s">
        <v>2848</v>
      </c>
      <c r="F2171" t="s">
        <v>87</v>
      </c>
      <c r="G2171" t="s">
        <v>5094</v>
      </c>
      <c r="H2171" t="s">
        <v>89</v>
      </c>
      <c r="I2171" t="s">
        <v>180</v>
      </c>
      <c r="J2171" t="s">
        <v>91</v>
      </c>
      <c r="K2171" t="s">
        <v>92</v>
      </c>
      <c r="L2171" t="s">
        <v>5095</v>
      </c>
      <c r="M2171" t="s">
        <v>94</v>
      </c>
      <c r="N2171" t="s">
        <v>5096</v>
      </c>
      <c r="O2171" t="s">
        <v>184</v>
      </c>
      <c r="P2171">
        <v>1E-3</v>
      </c>
      <c r="R2171" t="s">
        <v>5103</v>
      </c>
      <c r="S2171" t="s">
        <v>2864</v>
      </c>
      <c r="V2171" t="s">
        <v>2855</v>
      </c>
      <c r="W2171" t="s">
        <v>2856</v>
      </c>
      <c r="AD2171" t="s">
        <v>5104</v>
      </c>
    </row>
    <row r="2172" spans="1:32" x14ac:dyDescent="0.25">
      <c r="A2172" t="s">
        <v>33</v>
      </c>
      <c r="D2172" t="s">
        <v>2847</v>
      </c>
      <c r="E2172" t="s">
        <v>2848</v>
      </c>
      <c r="F2172" t="s">
        <v>87</v>
      </c>
      <c r="G2172" t="s">
        <v>5094</v>
      </c>
      <c r="H2172" t="s">
        <v>38</v>
      </c>
      <c r="I2172" t="s">
        <v>106</v>
      </c>
      <c r="J2172" t="s">
        <v>40</v>
      </c>
      <c r="K2172" t="s">
        <v>41</v>
      </c>
      <c r="L2172" t="s">
        <v>5095</v>
      </c>
      <c r="M2172" t="s">
        <v>53</v>
      </c>
      <c r="N2172" t="s">
        <v>5096</v>
      </c>
      <c r="O2172" t="s">
        <v>109</v>
      </c>
      <c r="R2172" t="s">
        <v>5105</v>
      </c>
      <c r="S2172" t="s">
        <v>2864</v>
      </c>
      <c r="V2172" t="s">
        <v>2855</v>
      </c>
      <c r="W2172" t="s">
        <v>2856</v>
      </c>
      <c r="X2172" t="s">
        <v>56</v>
      </c>
      <c r="AD2172" t="s">
        <v>5106</v>
      </c>
    </row>
    <row r="2173" spans="1:32" x14ac:dyDescent="0.25">
      <c r="A2173" t="s">
        <v>33</v>
      </c>
      <c r="D2173" t="s">
        <v>2847</v>
      </c>
      <c r="E2173" t="s">
        <v>2893</v>
      </c>
      <c r="F2173" t="s">
        <v>87</v>
      </c>
      <c r="G2173" t="s">
        <v>5107</v>
      </c>
      <c r="H2173" t="s">
        <v>153</v>
      </c>
      <c r="I2173" t="s">
        <v>180</v>
      </c>
      <c r="J2173" t="s">
        <v>154</v>
      </c>
      <c r="K2173" t="s">
        <v>155</v>
      </c>
      <c r="L2173" t="s">
        <v>5108</v>
      </c>
      <c r="N2173" t="s">
        <v>5109</v>
      </c>
      <c r="O2173" t="s">
        <v>187</v>
      </c>
      <c r="R2173" t="s">
        <v>5110</v>
      </c>
      <c r="S2173" t="s">
        <v>2864</v>
      </c>
      <c r="V2173" t="s">
        <v>2855</v>
      </c>
      <c r="W2173" t="s">
        <v>2865</v>
      </c>
      <c r="AD2173" t="s">
        <v>5111</v>
      </c>
    </row>
    <row r="2174" spans="1:32" x14ac:dyDescent="0.25">
      <c r="A2174" t="s">
        <v>33</v>
      </c>
      <c r="D2174" t="s">
        <v>2847</v>
      </c>
      <c r="E2174" t="s">
        <v>2893</v>
      </c>
      <c r="F2174" t="s">
        <v>87</v>
      </c>
      <c r="G2174" t="s">
        <v>5107</v>
      </c>
      <c r="H2174" t="s">
        <v>153</v>
      </c>
      <c r="I2174" t="s">
        <v>100</v>
      </c>
      <c r="J2174" t="s">
        <v>154</v>
      </c>
      <c r="K2174" t="s">
        <v>155</v>
      </c>
      <c r="L2174" t="s">
        <v>5108</v>
      </c>
      <c r="N2174" t="s">
        <v>5109</v>
      </c>
      <c r="O2174" t="s">
        <v>448</v>
      </c>
      <c r="R2174" t="s">
        <v>5112</v>
      </c>
      <c r="S2174" t="s">
        <v>2864</v>
      </c>
      <c r="V2174" t="s">
        <v>2855</v>
      </c>
      <c r="W2174" t="s">
        <v>2865</v>
      </c>
      <c r="AC2174" t="s">
        <v>5113</v>
      </c>
      <c r="AD2174" t="s">
        <v>5114</v>
      </c>
      <c r="AE2174" t="s">
        <v>5115</v>
      </c>
      <c r="AF2174">
        <v>2</v>
      </c>
    </row>
    <row r="2175" spans="1:32" x14ac:dyDescent="0.25">
      <c r="A2175" t="s">
        <v>33</v>
      </c>
      <c r="D2175" t="s">
        <v>2847</v>
      </c>
      <c r="E2175" t="s">
        <v>2893</v>
      </c>
      <c r="F2175" t="s">
        <v>87</v>
      </c>
      <c r="G2175" t="s">
        <v>5107</v>
      </c>
      <c r="H2175" t="s">
        <v>89</v>
      </c>
      <c r="I2175" t="s">
        <v>100</v>
      </c>
      <c r="J2175" t="s">
        <v>91</v>
      </c>
      <c r="K2175" t="s">
        <v>92</v>
      </c>
      <c r="L2175" t="s">
        <v>5108</v>
      </c>
      <c r="M2175" t="s">
        <v>94</v>
      </c>
      <c r="N2175" t="s">
        <v>5109</v>
      </c>
      <c r="O2175" t="s">
        <v>445</v>
      </c>
      <c r="P2175">
        <v>1E-3</v>
      </c>
      <c r="R2175" t="s">
        <v>5116</v>
      </c>
      <c r="S2175" t="s">
        <v>2864</v>
      </c>
      <c r="V2175" t="s">
        <v>2855</v>
      </c>
      <c r="W2175" t="s">
        <v>2865</v>
      </c>
      <c r="AD2175" t="s">
        <v>5117</v>
      </c>
    </row>
    <row r="2176" spans="1:32" x14ac:dyDescent="0.25">
      <c r="A2176" t="s">
        <v>33</v>
      </c>
      <c r="D2176" t="s">
        <v>2847</v>
      </c>
      <c r="E2176" t="s">
        <v>2893</v>
      </c>
      <c r="F2176" t="s">
        <v>87</v>
      </c>
      <c r="G2176" t="s">
        <v>5107</v>
      </c>
      <c r="H2176" t="s">
        <v>89</v>
      </c>
      <c r="I2176" t="s">
        <v>180</v>
      </c>
      <c r="J2176" t="s">
        <v>91</v>
      </c>
      <c r="K2176" t="s">
        <v>92</v>
      </c>
      <c r="L2176" t="s">
        <v>5108</v>
      </c>
      <c r="M2176" t="s">
        <v>94</v>
      </c>
      <c r="N2176" t="s">
        <v>5109</v>
      </c>
      <c r="O2176" t="s">
        <v>184</v>
      </c>
      <c r="P2176">
        <v>1E-3</v>
      </c>
      <c r="R2176" t="s">
        <v>5118</v>
      </c>
      <c r="S2176" t="s">
        <v>2864</v>
      </c>
      <c r="V2176" t="s">
        <v>2855</v>
      </c>
      <c r="W2176" t="s">
        <v>2865</v>
      </c>
      <c r="AD2176" t="s">
        <v>5119</v>
      </c>
    </row>
    <row r="2177" spans="1:32" x14ac:dyDescent="0.25">
      <c r="A2177" t="s">
        <v>33</v>
      </c>
      <c r="D2177" t="s">
        <v>2847</v>
      </c>
      <c r="E2177" t="s">
        <v>2893</v>
      </c>
      <c r="F2177" t="s">
        <v>87</v>
      </c>
      <c r="G2177" t="s">
        <v>5107</v>
      </c>
      <c r="H2177" t="s">
        <v>38</v>
      </c>
      <c r="I2177" t="s">
        <v>106</v>
      </c>
      <c r="J2177" t="s">
        <v>40</v>
      </c>
      <c r="K2177" t="s">
        <v>41</v>
      </c>
      <c r="L2177" t="s">
        <v>5108</v>
      </c>
      <c r="M2177" t="s">
        <v>252</v>
      </c>
      <c r="N2177" t="s">
        <v>5109</v>
      </c>
      <c r="O2177" t="s">
        <v>109</v>
      </c>
      <c r="R2177" t="s">
        <v>5120</v>
      </c>
      <c r="S2177" t="s">
        <v>2864</v>
      </c>
      <c r="V2177" t="s">
        <v>2855</v>
      </c>
      <c r="W2177" t="s">
        <v>2865</v>
      </c>
      <c r="AD2177" t="s">
        <v>5121</v>
      </c>
    </row>
    <row r="2178" spans="1:32" x14ac:dyDescent="0.25">
      <c r="A2178" t="s">
        <v>33</v>
      </c>
      <c r="D2178" t="s">
        <v>2847</v>
      </c>
      <c r="E2178" t="s">
        <v>2893</v>
      </c>
      <c r="F2178" t="s">
        <v>87</v>
      </c>
      <c r="G2178" t="s">
        <v>5122</v>
      </c>
      <c r="H2178" t="s">
        <v>153</v>
      </c>
      <c r="I2178" t="s">
        <v>144</v>
      </c>
      <c r="J2178" t="s">
        <v>154</v>
      </c>
      <c r="K2178" t="s">
        <v>155</v>
      </c>
      <c r="L2178" t="s">
        <v>5123</v>
      </c>
      <c r="N2178" t="s">
        <v>5124</v>
      </c>
      <c r="O2178" t="s">
        <v>156</v>
      </c>
      <c r="R2178" t="s">
        <v>5125</v>
      </c>
      <c r="S2178" t="s">
        <v>2864</v>
      </c>
      <c r="V2178" t="s">
        <v>2855</v>
      </c>
      <c r="W2178" t="s">
        <v>2865</v>
      </c>
      <c r="AD2178" t="s">
        <v>5126</v>
      </c>
    </row>
    <row r="2179" spans="1:32" x14ac:dyDescent="0.25">
      <c r="A2179" t="s">
        <v>33</v>
      </c>
      <c r="D2179" t="s">
        <v>2847</v>
      </c>
      <c r="E2179" t="s">
        <v>2893</v>
      </c>
      <c r="F2179" t="s">
        <v>87</v>
      </c>
      <c r="G2179" t="s">
        <v>5122</v>
      </c>
      <c r="H2179" t="s">
        <v>153</v>
      </c>
      <c r="I2179" t="s">
        <v>90</v>
      </c>
      <c r="J2179" t="s">
        <v>154</v>
      </c>
      <c r="K2179" t="s">
        <v>155</v>
      </c>
      <c r="L2179" t="s">
        <v>5123</v>
      </c>
      <c r="N2179" t="s">
        <v>5124</v>
      </c>
      <c r="O2179" t="s">
        <v>386</v>
      </c>
      <c r="R2179" t="s">
        <v>5127</v>
      </c>
      <c r="S2179" t="s">
        <v>2864</v>
      </c>
      <c r="V2179" t="s">
        <v>2855</v>
      </c>
      <c r="W2179" t="s">
        <v>2865</v>
      </c>
      <c r="AC2179" t="s">
        <v>5128</v>
      </c>
      <c r="AD2179" t="s">
        <v>5129</v>
      </c>
      <c r="AE2179" t="s">
        <v>5115</v>
      </c>
      <c r="AF2179">
        <v>3</v>
      </c>
    </row>
    <row r="2180" spans="1:32" x14ac:dyDescent="0.25">
      <c r="A2180" t="s">
        <v>33</v>
      </c>
      <c r="D2180" t="s">
        <v>2847</v>
      </c>
      <c r="E2180" t="s">
        <v>2893</v>
      </c>
      <c r="F2180" t="s">
        <v>87</v>
      </c>
      <c r="G2180" t="s">
        <v>5122</v>
      </c>
      <c r="H2180" t="s">
        <v>89</v>
      </c>
      <c r="I2180" t="s">
        <v>90</v>
      </c>
      <c r="J2180" t="s">
        <v>91</v>
      </c>
      <c r="K2180" t="s">
        <v>92</v>
      </c>
      <c r="L2180" t="s">
        <v>5123</v>
      </c>
      <c r="M2180" t="s">
        <v>94</v>
      </c>
      <c r="N2180" t="s">
        <v>5124</v>
      </c>
      <c r="O2180" t="s">
        <v>383</v>
      </c>
      <c r="P2180">
        <v>1E-3</v>
      </c>
      <c r="R2180" t="s">
        <v>5130</v>
      </c>
      <c r="S2180" t="s">
        <v>2864</v>
      </c>
      <c r="V2180" t="s">
        <v>2855</v>
      </c>
      <c r="W2180" t="s">
        <v>2865</v>
      </c>
      <c r="AD2180" t="s">
        <v>5131</v>
      </c>
    </row>
    <row r="2181" spans="1:32" x14ac:dyDescent="0.25">
      <c r="A2181" t="s">
        <v>33</v>
      </c>
      <c r="D2181" t="s">
        <v>2847</v>
      </c>
      <c r="E2181" t="s">
        <v>2893</v>
      </c>
      <c r="F2181" t="s">
        <v>87</v>
      </c>
      <c r="G2181" t="s">
        <v>5122</v>
      </c>
      <c r="H2181" t="s">
        <v>89</v>
      </c>
      <c r="I2181" t="s">
        <v>144</v>
      </c>
      <c r="J2181" t="s">
        <v>91</v>
      </c>
      <c r="K2181" t="s">
        <v>92</v>
      </c>
      <c r="L2181" t="s">
        <v>5123</v>
      </c>
      <c r="M2181" t="s">
        <v>94</v>
      </c>
      <c r="N2181" t="s">
        <v>5124</v>
      </c>
      <c r="O2181" t="s">
        <v>150</v>
      </c>
      <c r="P2181">
        <v>1E-3</v>
      </c>
      <c r="R2181" t="s">
        <v>5132</v>
      </c>
      <c r="S2181" t="s">
        <v>2864</v>
      </c>
      <c r="V2181" t="s">
        <v>2855</v>
      </c>
      <c r="W2181" t="s">
        <v>2865</v>
      </c>
      <c r="AD2181" t="s">
        <v>5133</v>
      </c>
    </row>
    <row r="2182" spans="1:32" x14ac:dyDescent="0.25">
      <c r="A2182" t="s">
        <v>33</v>
      </c>
      <c r="D2182" t="s">
        <v>2847</v>
      </c>
      <c r="E2182" t="s">
        <v>2893</v>
      </c>
      <c r="F2182" t="s">
        <v>87</v>
      </c>
      <c r="G2182" t="s">
        <v>5122</v>
      </c>
      <c r="H2182" t="s">
        <v>38</v>
      </c>
      <c r="I2182" t="s">
        <v>106</v>
      </c>
      <c r="J2182" t="s">
        <v>40</v>
      </c>
      <c r="K2182" t="s">
        <v>41</v>
      </c>
      <c r="L2182" t="s">
        <v>5123</v>
      </c>
      <c r="M2182" t="s">
        <v>252</v>
      </c>
      <c r="N2182" t="s">
        <v>5124</v>
      </c>
      <c r="O2182" t="s">
        <v>109</v>
      </c>
      <c r="R2182" t="s">
        <v>5134</v>
      </c>
      <c r="S2182" t="s">
        <v>2864</v>
      </c>
      <c r="V2182" t="s">
        <v>2855</v>
      </c>
      <c r="W2182" t="s">
        <v>2865</v>
      </c>
      <c r="AD2182" t="s">
        <v>5135</v>
      </c>
    </row>
    <row r="2183" spans="1:32" x14ac:dyDescent="0.25">
      <c r="A2183" t="s">
        <v>33</v>
      </c>
      <c r="D2183" t="s">
        <v>2847</v>
      </c>
      <c r="E2183" t="s">
        <v>2893</v>
      </c>
      <c r="F2183" t="s">
        <v>87</v>
      </c>
      <c r="G2183" t="s">
        <v>5136</v>
      </c>
      <c r="H2183" t="s">
        <v>153</v>
      </c>
      <c r="I2183" t="s">
        <v>180</v>
      </c>
      <c r="J2183" t="s">
        <v>154</v>
      </c>
      <c r="K2183" t="s">
        <v>155</v>
      </c>
      <c r="L2183" t="s">
        <v>5137</v>
      </c>
      <c r="N2183" t="s">
        <v>5138</v>
      </c>
      <c r="O2183" t="s">
        <v>187</v>
      </c>
      <c r="R2183" t="s">
        <v>5139</v>
      </c>
      <c r="S2183" t="s">
        <v>2864</v>
      </c>
      <c r="V2183" t="s">
        <v>2855</v>
      </c>
      <c r="W2183" t="s">
        <v>2865</v>
      </c>
      <c r="AD2183" t="s">
        <v>5140</v>
      </c>
    </row>
    <row r="2184" spans="1:32" x14ac:dyDescent="0.25">
      <c r="A2184" t="s">
        <v>33</v>
      </c>
      <c r="D2184" t="s">
        <v>2847</v>
      </c>
      <c r="E2184" t="s">
        <v>2893</v>
      </c>
      <c r="F2184" t="s">
        <v>87</v>
      </c>
      <c r="G2184" t="s">
        <v>5136</v>
      </c>
      <c r="H2184" t="s">
        <v>153</v>
      </c>
      <c r="I2184" t="s">
        <v>100</v>
      </c>
      <c r="J2184" t="s">
        <v>154</v>
      </c>
      <c r="K2184" t="s">
        <v>155</v>
      </c>
      <c r="L2184" t="s">
        <v>5137</v>
      </c>
      <c r="N2184" t="s">
        <v>5138</v>
      </c>
      <c r="O2184" t="s">
        <v>448</v>
      </c>
      <c r="R2184" t="s">
        <v>5141</v>
      </c>
      <c r="S2184" t="s">
        <v>2864</v>
      </c>
      <c r="V2184" t="s">
        <v>2855</v>
      </c>
      <c r="W2184" t="s">
        <v>2865</v>
      </c>
      <c r="AC2184" t="s">
        <v>5142</v>
      </c>
      <c r="AD2184" t="s">
        <v>5143</v>
      </c>
      <c r="AE2184" t="s">
        <v>5144</v>
      </c>
      <c r="AF2184">
        <v>2</v>
      </c>
    </row>
    <row r="2185" spans="1:32" x14ac:dyDescent="0.25">
      <c r="A2185" t="s">
        <v>33</v>
      </c>
      <c r="D2185" t="s">
        <v>2847</v>
      </c>
      <c r="E2185" t="s">
        <v>2893</v>
      </c>
      <c r="F2185" t="s">
        <v>87</v>
      </c>
      <c r="G2185" t="s">
        <v>5136</v>
      </c>
      <c r="H2185" t="s">
        <v>89</v>
      </c>
      <c r="I2185" t="s">
        <v>100</v>
      </c>
      <c r="J2185" t="s">
        <v>91</v>
      </c>
      <c r="K2185" t="s">
        <v>92</v>
      </c>
      <c r="L2185" t="s">
        <v>5137</v>
      </c>
      <c r="M2185" t="s">
        <v>94</v>
      </c>
      <c r="N2185" t="s">
        <v>5138</v>
      </c>
      <c r="O2185" t="s">
        <v>445</v>
      </c>
      <c r="P2185">
        <v>1E-3</v>
      </c>
      <c r="R2185" t="s">
        <v>5145</v>
      </c>
      <c r="S2185" t="s">
        <v>2864</v>
      </c>
      <c r="V2185" t="s">
        <v>2855</v>
      </c>
      <c r="W2185" t="s">
        <v>2865</v>
      </c>
      <c r="AD2185" t="s">
        <v>5146</v>
      </c>
    </row>
    <row r="2186" spans="1:32" x14ac:dyDescent="0.25">
      <c r="A2186" t="s">
        <v>33</v>
      </c>
      <c r="D2186" t="s">
        <v>2847</v>
      </c>
      <c r="E2186" t="s">
        <v>2893</v>
      </c>
      <c r="F2186" t="s">
        <v>87</v>
      </c>
      <c r="G2186" t="s">
        <v>5136</v>
      </c>
      <c r="H2186" t="s">
        <v>89</v>
      </c>
      <c r="I2186" t="s">
        <v>180</v>
      </c>
      <c r="J2186" t="s">
        <v>91</v>
      </c>
      <c r="K2186" t="s">
        <v>92</v>
      </c>
      <c r="L2186" t="s">
        <v>5137</v>
      </c>
      <c r="M2186" t="s">
        <v>94</v>
      </c>
      <c r="N2186" t="s">
        <v>5138</v>
      </c>
      <c r="O2186" t="s">
        <v>184</v>
      </c>
      <c r="P2186">
        <v>1E-3</v>
      </c>
      <c r="R2186" t="s">
        <v>5147</v>
      </c>
      <c r="S2186" t="s">
        <v>2864</v>
      </c>
      <c r="V2186" t="s">
        <v>2855</v>
      </c>
      <c r="W2186" t="s">
        <v>2865</v>
      </c>
      <c r="AD2186" t="s">
        <v>5148</v>
      </c>
    </row>
    <row r="2187" spans="1:32" x14ac:dyDescent="0.25">
      <c r="A2187" t="s">
        <v>33</v>
      </c>
      <c r="D2187" t="s">
        <v>2847</v>
      </c>
      <c r="E2187" t="s">
        <v>2893</v>
      </c>
      <c r="F2187" t="s">
        <v>87</v>
      </c>
      <c r="G2187" t="s">
        <v>5136</v>
      </c>
      <c r="H2187" t="s">
        <v>38</v>
      </c>
      <c r="I2187" t="s">
        <v>106</v>
      </c>
      <c r="J2187" t="s">
        <v>40</v>
      </c>
      <c r="K2187" t="s">
        <v>41</v>
      </c>
      <c r="L2187" t="s">
        <v>5137</v>
      </c>
      <c r="M2187" t="s">
        <v>252</v>
      </c>
      <c r="N2187" t="s">
        <v>5138</v>
      </c>
      <c r="O2187" t="s">
        <v>109</v>
      </c>
      <c r="R2187" t="s">
        <v>5149</v>
      </c>
      <c r="S2187" t="s">
        <v>2864</v>
      </c>
      <c r="V2187" t="s">
        <v>2855</v>
      </c>
      <c r="W2187" t="s">
        <v>2865</v>
      </c>
      <c r="AD2187" t="s">
        <v>5150</v>
      </c>
    </row>
    <row r="2188" spans="1:32" x14ac:dyDescent="0.25">
      <c r="A2188" t="s">
        <v>33</v>
      </c>
      <c r="D2188" t="s">
        <v>2847</v>
      </c>
      <c r="E2188" t="s">
        <v>2893</v>
      </c>
      <c r="F2188" t="s">
        <v>87</v>
      </c>
      <c r="G2188" t="s">
        <v>5151</v>
      </c>
      <c r="H2188" t="s">
        <v>153</v>
      </c>
      <c r="I2188" t="s">
        <v>144</v>
      </c>
      <c r="J2188" t="s">
        <v>154</v>
      </c>
      <c r="K2188" t="s">
        <v>155</v>
      </c>
      <c r="L2188" t="s">
        <v>5152</v>
      </c>
      <c r="N2188" t="s">
        <v>5153</v>
      </c>
      <c r="O2188" t="s">
        <v>156</v>
      </c>
      <c r="R2188" t="s">
        <v>5154</v>
      </c>
      <c r="S2188" t="s">
        <v>2864</v>
      </c>
      <c r="V2188" t="s">
        <v>2855</v>
      </c>
      <c r="W2188" t="s">
        <v>2865</v>
      </c>
      <c r="AD2188" t="s">
        <v>5155</v>
      </c>
    </row>
    <row r="2189" spans="1:32" x14ac:dyDescent="0.25">
      <c r="A2189" t="s">
        <v>33</v>
      </c>
      <c r="D2189" t="s">
        <v>2847</v>
      </c>
      <c r="E2189" t="s">
        <v>2893</v>
      </c>
      <c r="F2189" t="s">
        <v>87</v>
      </c>
      <c r="G2189" t="s">
        <v>5151</v>
      </c>
      <c r="H2189" t="s">
        <v>153</v>
      </c>
      <c r="I2189" t="s">
        <v>90</v>
      </c>
      <c r="J2189" t="s">
        <v>154</v>
      </c>
      <c r="K2189" t="s">
        <v>155</v>
      </c>
      <c r="L2189" t="s">
        <v>5152</v>
      </c>
      <c r="N2189" t="s">
        <v>5153</v>
      </c>
      <c r="O2189" t="s">
        <v>386</v>
      </c>
      <c r="R2189" t="s">
        <v>5156</v>
      </c>
      <c r="S2189" t="s">
        <v>2864</v>
      </c>
      <c r="V2189" t="s">
        <v>2855</v>
      </c>
      <c r="W2189" t="s">
        <v>2865</v>
      </c>
      <c r="AC2189" t="s">
        <v>5157</v>
      </c>
      <c r="AD2189" t="s">
        <v>5158</v>
      </c>
      <c r="AE2189" t="s">
        <v>5144</v>
      </c>
      <c r="AF2189">
        <v>3</v>
      </c>
    </row>
    <row r="2190" spans="1:32" x14ac:dyDescent="0.25">
      <c r="A2190" t="s">
        <v>33</v>
      </c>
      <c r="D2190" t="s">
        <v>2847</v>
      </c>
      <c r="E2190" t="s">
        <v>2893</v>
      </c>
      <c r="F2190" t="s">
        <v>87</v>
      </c>
      <c r="G2190" t="s">
        <v>5151</v>
      </c>
      <c r="H2190" t="s">
        <v>89</v>
      </c>
      <c r="I2190" t="s">
        <v>90</v>
      </c>
      <c r="J2190" t="s">
        <v>91</v>
      </c>
      <c r="K2190" t="s">
        <v>92</v>
      </c>
      <c r="L2190" t="s">
        <v>5152</v>
      </c>
      <c r="M2190" t="s">
        <v>94</v>
      </c>
      <c r="N2190" t="s">
        <v>5153</v>
      </c>
      <c r="O2190" t="s">
        <v>383</v>
      </c>
      <c r="P2190">
        <v>1E-3</v>
      </c>
      <c r="R2190" t="s">
        <v>5159</v>
      </c>
      <c r="S2190" t="s">
        <v>2864</v>
      </c>
      <c r="V2190" t="s">
        <v>2855</v>
      </c>
      <c r="W2190" t="s">
        <v>2865</v>
      </c>
      <c r="AD2190" t="s">
        <v>5160</v>
      </c>
    </row>
    <row r="2191" spans="1:32" x14ac:dyDescent="0.25">
      <c r="A2191" t="s">
        <v>33</v>
      </c>
      <c r="D2191" t="s">
        <v>2847</v>
      </c>
      <c r="E2191" t="s">
        <v>2893</v>
      </c>
      <c r="F2191" t="s">
        <v>87</v>
      </c>
      <c r="G2191" t="s">
        <v>5151</v>
      </c>
      <c r="H2191" t="s">
        <v>89</v>
      </c>
      <c r="I2191" t="s">
        <v>144</v>
      </c>
      <c r="J2191" t="s">
        <v>91</v>
      </c>
      <c r="K2191" t="s">
        <v>92</v>
      </c>
      <c r="L2191" t="s">
        <v>5152</v>
      </c>
      <c r="M2191" t="s">
        <v>94</v>
      </c>
      <c r="N2191" t="s">
        <v>5153</v>
      </c>
      <c r="O2191" t="s">
        <v>150</v>
      </c>
      <c r="P2191">
        <v>1E-3</v>
      </c>
      <c r="R2191" t="s">
        <v>5161</v>
      </c>
      <c r="S2191" t="s">
        <v>2864</v>
      </c>
      <c r="V2191" t="s">
        <v>2855</v>
      </c>
      <c r="W2191" t="s">
        <v>2865</v>
      </c>
      <c r="AD2191" t="s">
        <v>5162</v>
      </c>
    </row>
    <row r="2192" spans="1:32" x14ac:dyDescent="0.25">
      <c r="A2192" t="s">
        <v>33</v>
      </c>
      <c r="D2192" t="s">
        <v>2847</v>
      </c>
      <c r="E2192" t="s">
        <v>2893</v>
      </c>
      <c r="F2192" t="s">
        <v>87</v>
      </c>
      <c r="G2192" t="s">
        <v>5151</v>
      </c>
      <c r="H2192" t="s">
        <v>153</v>
      </c>
      <c r="I2192" t="s">
        <v>100</v>
      </c>
      <c r="J2192" t="s">
        <v>154</v>
      </c>
      <c r="K2192" t="s">
        <v>155</v>
      </c>
      <c r="L2192" t="s">
        <v>5152</v>
      </c>
      <c r="N2192" t="s">
        <v>5153</v>
      </c>
      <c r="O2192" t="s">
        <v>448</v>
      </c>
      <c r="R2192" t="s">
        <v>5163</v>
      </c>
      <c r="S2192" t="s">
        <v>2864</v>
      </c>
      <c r="V2192" t="s">
        <v>2855</v>
      </c>
      <c r="W2192" t="s">
        <v>2865</v>
      </c>
      <c r="AC2192" t="s">
        <v>5164</v>
      </c>
      <c r="AD2192" t="s">
        <v>5165</v>
      </c>
      <c r="AE2192" t="s">
        <v>5144</v>
      </c>
      <c r="AF2192">
        <v>4</v>
      </c>
    </row>
    <row r="2193" spans="1:32" x14ac:dyDescent="0.25">
      <c r="A2193" t="s">
        <v>33</v>
      </c>
      <c r="D2193" t="s">
        <v>2847</v>
      </c>
      <c r="E2193" t="s">
        <v>2893</v>
      </c>
      <c r="F2193" t="s">
        <v>87</v>
      </c>
      <c r="G2193" t="s">
        <v>5151</v>
      </c>
      <c r="H2193" t="s">
        <v>89</v>
      </c>
      <c r="I2193" t="s">
        <v>100</v>
      </c>
      <c r="J2193" t="s">
        <v>91</v>
      </c>
      <c r="K2193" t="s">
        <v>92</v>
      </c>
      <c r="L2193" t="s">
        <v>5152</v>
      </c>
      <c r="M2193" t="s">
        <v>94</v>
      </c>
      <c r="N2193" t="s">
        <v>5153</v>
      </c>
      <c r="O2193" t="s">
        <v>445</v>
      </c>
      <c r="P2193">
        <v>1E-3</v>
      </c>
      <c r="R2193" t="s">
        <v>5166</v>
      </c>
      <c r="S2193" t="s">
        <v>2864</v>
      </c>
      <c r="V2193" t="s">
        <v>2855</v>
      </c>
      <c r="W2193" t="s">
        <v>2865</v>
      </c>
      <c r="AD2193" t="s">
        <v>5167</v>
      </c>
    </row>
    <row r="2194" spans="1:32" x14ac:dyDescent="0.25">
      <c r="A2194" t="s">
        <v>33</v>
      </c>
      <c r="D2194" t="s">
        <v>2847</v>
      </c>
      <c r="E2194" t="s">
        <v>2893</v>
      </c>
      <c r="F2194" t="s">
        <v>87</v>
      </c>
      <c r="G2194" t="s">
        <v>5151</v>
      </c>
      <c r="H2194" t="s">
        <v>38</v>
      </c>
      <c r="I2194" t="s">
        <v>106</v>
      </c>
      <c r="J2194" t="s">
        <v>40</v>
      </c>
      <c r="K2194" t="s">
        <v>41</v>
      </c>
      <c r="L2194" t="s">
        <v>5152</v>
      </c>
      <c r="M2194" t="s">
        <v>252</v>
      </c>
      <c r="N2194" t="s">
        <v>5153</v>
      </c>
      <c r="O2194" t="s">
        <v>109</v>
      </c>
      <c r="R2194" t="s">
        <v>5168</v>
      </c>
      <c r="S2194" t="s">
        <v>2864</v>
      </c>
      <c r="V2194" t="s">
        <v>2855</v>
      </c>
      <c r="W2194" t="s">
        <v>2865</v>
      </c>
      <c r="AD2194" t="s">
        <v>5169</v>
      </c>
    </row>
    <row r="2195" spans="1:32" x14ac:dyDescent="0.25">
      <c r="A2195" t="s">
        <v>33</v>
      </c>
      <c r="D2195" t="s">
        <v>2847</v>
      </c>
      <c r="E2195" t="s">
        <v>2893</v>
      </c>
      <c r="F2195" t="s">
        <v>87</v>
      </c>
      <c r="G2195" t="s">
        <v>5170</v>
      </c>
      <c r="H2195" t="s">
        <v>153</v>
      </c>
      <c r="I2195" t="s">
        <v>180</v>
      </c>
      <c r="J2195" t="s">
        <v>154</v>
      </c>
      <c r="K2195" t="s">
        <v>155</v>
      </c>
      <c r="L2195" t="s">
        <v>5171</v>
      </c>
      <c r="N2195" t="s">
        <v>5172</v>
      </c>
      <c r="O2195" t="s">
        <v>187</v>
      </c>
      <c r="R2195" t="s">
        <v>5173</v>
      </c>
      <c r="S2195" t="s">
        <v>2864</v>
      </c>
      <c r="V2195" t="s">
        <v>2855</v>
      </c>
      <c r="W2195" t="s">
        <v>2898</v>
      </c>
      <c r="AD2195" t="s">
        <v>5174</v>
      </c>
    </row>
    <row r="2196" spans="1:32" x14ac:dyDescent="0.25">
      <c r="A2196" t="s">
        <v>33</v>
      </c>
      <c r="D2196" t="s">
        <v>2847</v>
      </c>
      <c r="E2196" t="s">
        <v>2893</v>
      </c>
      <c r="F2196" t="s">
        <v>87</v>
      </c>
      <c r="G2196" t="s">
        <v>5170</v>
      </c>
      <c r="H2196" t="s">
        <v>153</v>
      </c>
      <c r="I2196" t="s">
        <v>100</v>
      </c>
      <c r="J2196" t="s">
        <v>154</v>
      </c>
      <c r="K2196" t="s">
        <v>155</v>
      </c>
      <c r="L2196" t="s">
        <v>5171</v>
      </c>
      <c r="N2196" t="s">
        <v>5172</v>
      </c>
      <c r="O2196" t="s">
        <v>448</v>
      </c>
      <c r="R2196" t="s">
        <v>5175</v>
      </c>
      <c r="S2196" t="s">
        <v>2864</v>
      </c>
      <c r="V2196" t="s">
        <v>2855</v>
      </c>
      <c r="W2196" t="s">
        <v>2898</v>
      </c>
      <c r="AC2196" t="s">
        <v>5176</v>
      </c>
      <c r="AD2196" t="s">
        <v>5177</v>
      </c>
      <c r="AE2196" t="s">
        <v>5178</v>
      </c>
      <c r="AF2196">
        <v>2</v>
      </c>
    </row>
    <row r="2197" spans="1:32" x14ac:dyDescent="0.25">
      <c r="A2197" t="s">
        <v>33</v>
      </c>
      <c r="D2197" t="s">
        <v>2847</v>
      </c>
      <c r="E2197" t="s">
        <v>2893</v>
      </c>
      <c r="F2197" t="s">
        <v>87</v>
      </c>
      <c r="G2197" t="s">
        <v>5170</v>
      </c>
      <c r="H2197" t="s">
        <v>89</v>
      </c>
      <c r="I2197" t="s">
        <v>100</v>
      </c>
      <c r="J2197" t="s">
        <v>91</v>
      </c>
      <c r="K2197" t="s">
        <v>92</v>
      </c>
      <c r="L2197" t="s">
        <v>5171</v>
      </c>
      <c r="M2197" t="s">
        <v>94</v>
      </c>
      <c r="N2197" t="s">
        <v>5172</v>
      </c>
      <c r="O2197" t="s">
        <v>445</v>
      </c>
      <c r="P2197">
        <v>1E-3</v>
      </c>
      <c r="R2197" t="s">
        <v>5179</v>
      </c>
      <c r="S2197" t="s">
        <v>2864</v>
      </c>
      <c r="V2197" t="s">
        <v>2855</v>
      </c>
      <c r="W2197" t="s">
        <v>2898</v>
      </c>
      <c r="AD2197" t="s">
        <v>5180</v>
      </c>
    </row>
    <row r="2198" spans="1:32" x14ac:dyDescent="0.25">
      <c r="A2198" t="s">
        <v>33</v>
      </c>
      <c r="D2198" t="s">
        <v>2847</v>
      </c>
      <c r="E2198" t="s">
        <v>2893</v>
      </c>
      <c r="F2198" t="s">
        <v>87</v>
      </c>
      <c r="G2198" t="s">
        <v>5170</v>
      </c>
      <c r="H2198" t="s">
        <v>89</v>
      </c>
      <c r="I2198" t="s">
        <v>180</v>
      </c>
      <c r="J2198" t="s">
        <v>91</v>
      </c>
      <c r="K2198" t="s">
        <v>92</v>
      </c>
      <c r="L2198" t="s">
        <v>5171</v>
      </c>
      <c r="M2198" t="s">
        <v>94</v>
      </c>
      <c r="N2198" t="s">
        <v>5172</v>
      </c>
      <c r="O2198" t="s">
        <v>184</v>
      </c>
      <c r="P2198">
        <v>1E-3</v>
      </c>
      <c r="R2198" t="s">
        <v>5181</v>
      </c>
      <c r="S2198" t="s">
        <v>2864</v>
      </c>
      <c r="V2198" t="s">
        <v>2855</v>
      </c>
      <c r="W2198" t="s">
        <v>2898</v>
      </c>
      <c r="AD2198" t="s">
        <v>5182</v>
      </c>
    </row>
    <row r="2199" spans="1:32" x14ac:dyDescent="0.25">
      <c r="A2199" t="s">
        <v>33</v>
      </c>
      <c r="D2199" t="s">
        <v>2847</v>
      </c>
      <c r="E2199" t="s">
        <v>2893</v>
      </c>
      <c r="F2199" t="s">
        <v>87</v>
      </c>
      <c r="G2199" t="s">
        <v>5170</v>
      </c>
      <c r="H2199" t="s">
        <v>38</v>
      </c>
      <c r="I2199" t="s">
        <v>106</v>
      </c>
      <c r="J2199" t="s">
        <v>40</v>
      </c>
      <c r="K2199" t="s">
        <v>41</v>
      </c>
      <c r="L2199" t="s">
        <v>5171</v>
      </c>
      <c r="M2199" t="s">
        <v>252</v>
      </c>
      <c r="N2199" t="s">
        <v>5172</v>
      </c>
      <c r="O2199" t="s">
        <v>109</v>
      </c>
      <c r="R2199" t="s">
        <v>5183</v>
      </c>
      <c r="S2199" t="s">
        <v>2864</v>
      </c>
      <c r="V2199" t="s">
        <v>2855</v>
      </c>
      <c r="W2199" t="s">
        <v>2898</v>
      </c>
      <c r="AD2199" t="s">
        <v>5184</v>
      </c>
    </row>
    <row r="2200" spans="1:32" x14ac:dyDescent="0.25">
      <c r="A2200" t="s">
        <v>33</v>
      </c>
      <c r="D2200" t="s">
        <v>2847</v>
      </c>
      <c r="E2200" t="s">
        <v>2893</v>
      </c>
      <c r="F2200" t="s">
        <v>87</v>
      </c>
      <c r="G2200" t="s">
        <v>5185</v>
      </c>
      <c r="H2200" t="s">
        <v>153</v>
      </c>
      <c r="I2200" t="s">
        <v>144</v>
      </c>
      <c r="J2200" t="s">
        <v>154</v>
      </c>
      <c r="K2200" t="s">
        <v>155</v>
      </c>
      <c r="L2200" t="s">
        <v>5186</v>
      </c>
      <c r="N2200" t="s">
        <v>5187</v>
      </c>
      <c r="O2200" t="s">
        <v>156</v>
      </c>
      <c r="R2200" t="s">
        <v>5188</v>
      </c>
      <c r="S2200" t="s">
        <v>2864</v>
      </c>
      <c r="V2200" t="s">
        <v>2855</v>
      </c>
      <c r="W2200" t="s">
        <v>2898</v>
      </c>
      <c r="AD2200" t="s">
        <v>5189</v>
      </c>
    </row>
    <row r="2201" spans="1:32" x14ac:dyDescent="0.25">
      <c r="A2201" t="s">
        <v>33</v>
      </c>
      <c r="D2201" t="s">
        <v>2847</v>
      </c>
      <c r="E2201" t="s">
        <v>2893</v>
      </c>
      <c r="F2201" t="s">
        <v>87</v>
      </c>
      <c r="G2201" t="s">
        <v>5185</v>
      </c>
      <c r="H2201" t="s">
        <v>153</v>
      </c>
      <c r="I2201" t="s">
        <v>90</v>
      </c>
      <c r="J2201" t="s">
        <v>154</v>
      </c>
      <c r="K2201" t="s">
        <v>155</v>
      </c>
      <c r="L2201" t="s">
        <v>5186</v>
      </c>
      <c r="N2201" t="s">
        <v>5187</v>
      </c>
      <c r="O2201" t="s">
        <v>386</v>
      </c>
      <c r="R2201" t="s">
        <v>5190</v>
      </c>
      <c r="S2201" t="s">
        <v>2864</v>
      </c>
      <c r="V2201" t="s">
        <v>2855</v>
      </c>
      <c r="W2201" t="s">
        <v>2898</v>
      </c>
      <c r="AC2201" t="s">
        <v>5191</v>
      </c>
      <c r="AD2201" t="s">
        <v>5192</v>
      </c>
      <c r="AE2201" t="s">
        <v>5178</v>
      </c>
      <c r="AF2201">
        <v>3</v>
      </c>
    </row>
    <row r="2202" spans="1:32" x14ac:dyDescent="0.25">
      <c r="A2202" t="s">
        <v>33</v>
      </c>
      <c r="D2202" t="s">
        <v>2847</v>
      </c>
      <c r="E2202" t="s">
        <v>2893</v>
      </c>
      <c r="F2202" t="s">
        <v>87</v>
      </c>
      <c r="G2202" t="s">
        <v>5185</v>
      </c>
      <c r="H2202" t="s">
        <v>89</v>
      </c>
      <c r="I2202" t="s">
        <v>90</v>
      </c>
      <c r="J2202" t="s">
        <v>91</v>
      </c>
      <c r="K2202" t="s">
        <v>92</v>
      </c>
      <c r="L2202" t="s">
        <v>5186</v>
      </c>
      <c r="M2202" t="s">
        <v>94</v>
      </c>
      <c r="N2202" t="s">
        <v>5187</v>
      </c>
      <c r="O2202" t="s">
        <v>383</v>
      </c>
      <c r="P2202">
        <v>1E-3</v>
      </c>
      <c r="R2202" t="s">
        <v>5193</v>
      </c>
      <c r="S2202" t="s">
        <v>2864</v>
      </c>
      <c r="V2202" t="s">
        <v>2855</v>
      </c>
      <c r="W2202" t="s">
        <v>2898</v>
      </c>
      <c r="AD2202" t="s">
        <v>5194</v>
      </c>
    </row>
    <row r="2203" spans="1:32" x14ac:dyDescent="0.25">
      <c r="A2203" t="s">
        <v>33</v>
      </c>
      <c r="D2203" t="s">
        <v>2847</v>
      </c>
      <c r="E2203" t="s">
        <v>2893</v>
      </c>
      <c r="F2203" t="s">
        <v>87</v>
      </c>
      <c r="G2203" t="s">
        <v>5185</v>
      </c>
      <c r="H2203" t="s">
        <v>89</v>
      </c>
      <c r="I2203" t="s">
        <v>144</v>
      </c>
      <c r="J2203" t="s">
        <v>91</v>
      </c>
      <c r="K2203" t="s">
        <v>92</v>
      </c>
      <c r="L2203" t="s">
        <v>5186</v>
      </c>
      <c r="M2203" t="s">
        <v>94</v>
      </c>
      <c r="N2203" t="s">
        <v>5187</v>
      </c>
      <c r="O2203" t="s">
        <v>150</v>
      </c>
      <c r="P2203">
        <v>1E-3</v>
      </c>
      <c r="R2203" t="s">
        <v>5195</v>
      </c>
      <c r="S2203" t="s">
        <v>2864</v>
      </c>
      <c r="V2203" t="s">
        <v>2855</v>
      </c>
      <c r="W2203" t="s">
        <v>2898</v>
      </c>
      <c r="AD2203" t="s">
        <v>5196</v>
      </c>
    </row>
    <row r="2204" spans="1:32" x14ac:dyDescent="0.25">
      <c r="A2204" t="s">
        <v>33</v>
      </c>
      <c r="D2204" t="s">
        <v>2847</v>
      </c>
      <c r="E2204" t="s">
        <v>2893</v>
      </c>
      <c r="F2204" t="s">
        <v>87</v>
      </c>
      <c r="G2204" t="s">
        <v>5185</v>
      </c>
      <c r="H2204" t="s">
        <v>38</v>
      </c>
      <c r="I2204" t="s">
        <v>106</v>
      </c>
      <c r="J2204" t="s">
        <v>40</v>
      </c>
      <c r="K2204" t="s">
        <v>41</v>
      </c>
      <c r="L2204" t="s">
        <v>5186</v>
      </c>
      <c r="M2204" t="s">
        <v>252</v>
      </c>
      <c r="N2204" t="s">
        <v>5187</v>
      </c>
      <c r="O2204" t="s">
        <v>109</v>
      </c>
      <c r="R2204" t="s">
        <v>5197</v>
      </c>
      <c r="S2204" t="s">
        <v>2864</v>
      </c>
      <c r="V2204" t="s">
        <v>2855</v>
      </c>
      <c r="W2204" t="s">
        <v>2898</v>
      </c>
      <c r="AD2204" t="s">
        <v>5198</v>
      </c>
    </row>
    <row r="2205" spans="1:32" x14ac:dyDescent="0.25">
      <c r="A2205" t="s">
        <v>33</v>
      </c>
      <c r="D2205" t="s">
        <v>2847</v>
      </c>
      <c r="E2205" t="s">
        <v>2893</v>
      </c>
      <c r="F2205" t="s">
        <v>866</v>
      </c>
      <c r="G2205" t="s">
        <v>4417</v>
      </c>
      <c r="H2205" t="s">
        <v>280</v>
      </c>
      <c r="I2205" t="s">
        <v>1263</v>
      </c>
      <c r="J2205" t="s">
        <v>282</v>
      </c>
      <c r="K2205" t="s">
        <v>283</v>
      </c>
      <c r="L2205" t="s">
        <v>4418</v>
      </c>
      <c r="N2205" t="s">
        <v>4419</v>
      </c>
      <c r="O2205" t="s">
        <v>1264</v>
      </c>
      <c r="Q2205" t="s">
        <v>5199</v>
      </c>
      <c r="R2205" t="s">
        <v>5200</v>
      </c>
      <c r="S2205" t="s">
        <v>2864</v>
      </c>
      <c r="V2205" t="s">
        <v>2855</v>
      </c>
      <c r="W2205" t="s">
        <v>2898</v>
      </c>
      <c r="AD2205" t="s">
        <v>5201</v>
      </c>
    </row>
    <row r="2206" spans="1:32" x14ac:dyDescent="0.25">
      <c r="A2206" t="s">
        <v>33</v>
      </c>
      <c r="B2206" t="s">
        <v>2319</v>
      </c>
      <c r="D2206" t="s">
        <v>2847</v>
      </c>
      <c r="E2206" t="s">
        <v>2893</v>
      </c>
      <c r="F2206" t="s">
        <v>866</v>
      </c>
      <c r="G2206" t="s">
        <v>5202</v>
      </c>
      <c r="H2206" t="s">
        <v>166</v>
      </c>
      <c r="I2206" t="s">
        <v>1263</v>
      </c>
      <c r="J2206" t="s">
        <v>167</v>
      </c>
      <c r="K2206" t="s">
        <v>41</v>
      </c>
      <c r="L2206" t="s">
        <v>5203</v>
      </c>
      <c r="N2206" t="s">
        <v>5204</v>
      </c>
      <c r="O2206" t="s">
        <v>1264</v>
      </c>
      <c r="Q2206" t="s">
        <v>2541</v>
      </c>
      <c r="R2206" t="s">
        <v>1959</v>
      </c>
      <c r="S2206" t="s">
        <v>2864</v>
      </c>
      <c r="V2206" t="s">
        <v>2855</v>
      </c>
      <c r="W2206" t="s">
        <v>2898</v>
      </c>
      <c r="AD2206" t="s">
        <v>5205</v>
      </c>
    </row>
    <row r="2207" spans="1:32" x14ac:dyDescent="0.25">
      <c r="A2207" t="s">
        <v>33</v>
      </c>
      <c r="D2207" t="s">
        <v>2847</v>
      </c>
      <c r="E2207" t="s">
        <v>2893</v>
      </c>
      <c r="F2207" t="s">
        <v>866</v>
      </c>
      <c r="G2207" t="s">
        <v>3700</v>
      </c>
      <c r="H2207" t="s">
        <v>166</v>
      </c>
      <c r="I2207" t="s">
        <v>80</v>
      </c>
      <c r="J2207" t="s">
        <v>167</v>
      </c>
      <c r="K2207" t="s">
        <v>41</v>
      </c>
      <c r="L2207" t="s">
        <v>3701</v>
      </c>
      <c r="N2207" t="s">
        <v>3677</v>
      </c>
      <c r="O2207" t="s">
        <v>862</v>
      </c>
      <c r="Q2207" t="s">
        <v>863</v>
      </c>
      <c r="R2207" t="s">
        <v>5206</v>
      </c>
      <c r="S2207" t="s">
        <v>2864</v>
      </c>
      <c r="V2207" t="s">
        <v>2855</v>
      </c>
      <c r="W2207" t="s">
        <v>2898</v>
      </c>
      <c r="AD2207" t="s">
        <v>3859</v>
      </c>
    </row>
    <row r="2208" spans="1:32" x14ac:dyDescent="0.25">
      <c r="A2208" t="s">
        <v>33</v>
      </c>
      <c r="D2208" t="s">
        <v>2847</v>
      </c>
      <c r="E2208" t="s">
        <v>2893</v>
      </c>
      <c r="F2208" t="s">
        <v>866</v>
      </c>
      <c r="G2208" t="s">
        <v>3700</v>
      </c>
      <c r="H2208" t="s">
        <v>166</v>
      </c>
      <c r="I2208" t="s">
        <v>216</v>
      </c>
      <c r="J2208" t="s">
        <v>167</v>
      </c>
      <c r="K2208" t="s">
        <v>41</v>
      </c>
      <c r="L2208" t="s">
        <v>3701</v>
      </c>
      <c r="N2208" t="s">
        <v>3677</v>
      </c>
      <c r="O2208" t="s">
        <v>872</v>
      </c>
      <c r="Q2208" t="s">
        <v>1275</v>
      </c>
      <c r="R2208" t="s">
        <v>5207</v>
      </c>
      <c r="S2208" t="s">
        <v>2864</v>
      </c>
      <c r="V2208" t="s">
        <v>2855</v>
      </c>
      <c r="W2208" t="s">
        <v>2898</v>
      </c>
      <c r="AD2208" t="s">
        <v>3925</v>
      </c>
    </row>
    <row r="2209" spans="1:32" x14ac:dyDescent="0.25">
      <c r="A2209" t="s">
        <v>33</v>
      </c>
      <c r="D2209" t="s">
        <v>2847</v>
      </c>
      <c r="E2209" t="s">
        <v>2893</v>
      </c>
      <c r="F2209" t="s">
        <v>866</v>
      </c>
      <c r="G2209" t="s">
        <v>3700</v>
      </c>
      <c r="H2209" t="s">
        <v>166</v>
      </c>
      <c r="I2209" t="s">
        <v>281</v>
      </c>
      <c r="J2209" t="s">
        <v>167</v>
      </c>
      <c r="K2209" t="s">
        <v>41</v>
      </c>
      <c r="L2209" t="s">
        <v>3701</v>
      </c>
      <c r="N2209" t="s">
        <v>3677</v>
      </c>
      <c r="O2209" t="s">
        <v>858</v>
      </c>
      <c r="Q2209" t="s">
        <v>2536</v>
      </c>
      <c r="R2209" t="s">
        <v>5208</v>
      </c>
      <c r="S2209" t="s">
        <v>2864</v>
      </c>
      <c r="V2209" t="s">
        <v>2855</v>
      </c>
      <c r="W2209" t="s">
        <v>2898</v>
      </c>
      <c r="AD2209" t="s">
        <v>3927</v>
      </c>
    </row>
    <row r="2210" spans="1:32" x14ac:dyDescent="0.25">
      <c r="A2210" t="s">
        <v>33</v>
      </c>
      <c r="D2210" t="s">
        <v>2847</v>
      </c>
      <c r="E2210" t="s">
        <v>2893</v>
      </c>
      <c r="F2210" t="s">
        <v>866</v>
      </c>
      <c r="G2210" t="s">
        <v>3700</v>
      </c>
      <c r="H2210" t="s">
        <v>153</v>
      </c>
      <c r="I2210" t="s">
        <v>598</v>
      </c>
      <c r="J2210" t="s">
        <v>154</v>
      </c>
      <c r="K2210" t="s">
        <v>155</v>
      </c>
      <c r="L2210" t="s">
        <v>3701</v>
      </c>
      <c r="N2210" t="s">
        <v>3677</v>
      </c>
      <c r="O2210" t="s">
        <v>599</v>
      </c>
      <c r="R2210" t="s">
        <v>5209</v>
      </c>
      <c r="S2210" t="s">
        <v>2864</v>
      </c>
      <c r="V2210" t="s">
        <v>2855</v>
      </c>
      <c r="W2210" t="s">
        <v>2898</v>
      </c>
      <c r="AD2210" t="s">
        <v>4193</v>
      </c>
    </row>
    <row r="2211" spans="1:32" x14ac:dyDescent="0.25">
      <c r="A2211" t="s">
        <v>33</v>
      </c>
      <c r="D2211" t="s">
        <v>2847</v>
      </c>
      <c r="E2211" t="s">
        <v>2893</v>
      </c>
      <c r="F2211" t="s">
        <v>866</v>
      </c>
      <c r="G2211" t="s">
        <v>3700</v>
      </c>
      <c r="H2211" t="s">
        <v>280</v>
      </c>
      <c r="I2211" t="s">
        <v>3311</v>
      </c>
      <c r="J2211" t="s">
        <v>282</v>
      </c>
      <c r="K2211" t="s">
        <v>283</v>
      </c>
      <c r="L2211" t="s">
        <v>3701</v>
      </c>
      <c r="N2211" t="s">
        <v>3677</v>
      </c>
      <c r="O2211" t="s">
        <v>3312</v>
      </c>
      <c r="Q2211" t="s">
        <v>3313</v>
      </c>
      <c r="R2211" t="s">
        <v>5210</v>
      </c>
      <c r="S2211" t="s">
        <v>2864</v>
      </c>
      <c r="V2211" t="s">
        <v>2855</v>
      </c>
      <c r="W2211" t="s">
        <v>2898</v>
      </c>
      <c r="AD2211" t="s">
        <v>4406</v>
      </c>
    </row>
    <row r="2212" spans="1:32" x14ac:dyDescent="0.25">
      <c r="A2212" t="s">
        <v>33</v>
      </c>
      <c r="D2212" t="s">
        <v>2847</v>
      </c>
      <c r="E2212" t="s">
        <v>2893</v>
      </c>
      <c r="F2212" t="s">
        <v>866</v>
      </c>
      <c r="G2212" t="s">
        <v>5211</v>
      </c>
      <c r="H2212" t="s">
        <v>166</v>
      </c>
      <c r="I2212" t="s">
        <v>1105</v>
      </c>
      <c r="J2212" t="s">
        <v>167</v>
      </c>
      <c r="K2212" t="s">
        <v>41</v>
      </c>
      <c r="L2212" t="s">
        <v>5212</v>
      </c>
      <c r="N2212" t="s">
        <v>5213</v>
      </c>
      <c r="O2212" t="s">
        <v>1106</v>
      </c>
      <c r="Q2212" t="s">
        <v>1107</v>
      </c>
      <c r="R2212" t="s">
        <v>5214</v>
      </c>
      <c r="S2212" t="s">
        <v>2864</v>
      </c>
      <c r="V2212" t="s">
        <v>2855</v>
      </c>
      <c r="W2212" t="s">
        <v>2898</v>
      </c>
      <c r="AD2212" t="s">
        <v>5215</v>
      </c>
    </row>
    <row r="2213" spans="1:32" x14ac:dyDescent="0.25">
      <c r="A2213" t="s">
        <v>33</v>
      </c>
      <c r="D2213" t="s">
        <v>2847</v>
      </c>
      <c r="E2213" t="s">
        <v>2893</v>
      </c>
      <c r="F2213" t="s">
        <v>866</v>
      </c>
      <c r="G2213" t="s">
        <v>5211</v>
      </c>
      <c r="H2213" t="s">
        <v>166</v>
      </c>
      <c r="I2213" t="s">
        <v>80</v>
      </c>
      <c r="J2213" t="s">
        <v>167</v>
      </c>
      <c r="K2213" t="s">
        <v>41</v>
      </c>
      <c r="L2213" t="s">
        <v>5212</v>
      </c>
      <c r="N2213" t="s">
        <v>5213</v>
      </c>
      <c r="O2213" t="s">
        <v>862</v>
      </c>
      <c r="Q2213" t="s">
        <v>863</v>
      </c>
      <c r="R2213" t="s">
        <v>5216</v>
      </c>
      <c r="S2213" t="s">
        <v>2864</v>
      </c>
      <c r="V2213" t="s">
        <v>2855</v>
      </c>
      <c r="W2213" t="s">
        <v>2898</v>
      </c>
      <c r="AD2213" t="s">
        <v>5217</v>
      </c>
    </row>
    <row r="2214" spans="1:32" x14ac:dyDescent="0.25">
      <c r="A2214" t="s">
        <v>33</v>
      </c>
      <c r="D2214" t="s">
        <v>2847</v>
      </c>
      <c r="E2214" t="s">
        <v>2893</v>
      </c>
      <c r="F2214" t="s">
        <v>866</v>
      </c>
      <c r="G2214" t="s">
        <v>5211</v>
      </c>
      <c r="H2214" t="s">
        <v>166</v>
      </c>
      <c r="I2214" t="s">
        <v>216</v>
      </c>
      <c r="J2214" t="s">
        <v>167</v>
      </c>
      <c r="K2214" t="s">
        <v>41</v>
      </c>
      <c r="L2214" t="s">
        <v>5212</v>
      </c>
      <c r="N2214" t="s">
        <v>5213</v>
      </c>
      <c r="O2214" t="s">
        <v>872</v>
      </c>
      <c r="Q2214" t="s">
        <v>1275</v>
      </c>
      <c r="R2214" t="s">
        <v>5218</v>
      </c>
      <c r="S2214" t="s">
        <v>2864</v>
      </c>
      <c r="V2214" t="s">
        <v>2855</v>
      </c>
      <c r="W2214" t="s">
        <v>2898</v>
      </c>
      <c r="AD2214" t="s">
        <v>5219</v>
      </c>
    </row>
    <row r="2215" spans="1:32" x14ac:dyDescent="0.25">
      <c r="A2215" t="s">
        <v>33</v>
      </c>
      <c r="D2215" t="s">
        <v>2847</v>
      </c>
      <c r="E2215" t="s">
        <v>2893</v>
      </c>
      <c r="F2215" t="s">
        <v>866</v>
      </c>
      <c r="G2215" t="s">
        <v>5211</v>
      </c>
      <c r="H2215" t="s">
        <v>166</v>
      </c>
      <c r="I2215" t="s">
        <v>281</v>
      </c>
      <c r="J2215" t="s">
        <v>167</v>
      </c>
      <c r="K2215" t="s">
        <v>41</v>
      </c>
      <c r="L2215" t="s">
        <v>5212</v>
      </c>
      <c r="N2215" t="s">
        <v>5213</v>
      </c>
      <c r="O2215" t="s">
        <v>858</v>
      </c>
      <c r="Q2215" t="s">
        <v>2536</v>
      </c>
      <c r="R2215" t="s">
        <v>5220</v>
      </c>
      <c r="S2215" t="s">
        <v>2864</v>
      </c>
      <c r="V2215" t="s">
        <v>2855</v>
      </c>
      <c r="W2215" t="s">
        <v>2898</v>
      </c>
      <c r="AD2215" t="s">
        <v>5221</v>
      </c>
    </row>
    <row r="2216" spans="1:32" x14ac:dyDescent="0.25">
      <c r="A2216" t="s">
        <v>33</v>
      </c>
      <c r="D2216" t="s">
        <v>2847</v>
      </c>
      <c r="E2216" t="s">
        <v>2893</v>
      </c>
      <c r="F2216" t="s">
        <v>866</v>
      </c>
      <c r="G2216" t="s">
        <v>5211</v>
      </c>
      <c r="H2216" t="s">
        <v>153</v>
      </c>
      <c r="I2216" t="s">
        <v>598</v>
      </c>
      <c r="J2216" t="s">
        <v>154</v>
      </c>
      <c r="K2216" t="s">
        <v>155</v>
      </c>
      <c r="L2216" t="s">
        <v>5212</v>
      </c>
      <c r="N2216" t="s">
        <v>5213</v>
      </c>
      <c r="O2216" t="s">
        <v>599</v>
      </c>
      <c r="R2216" t="s">
        <v>5222</v>
      </c>
      <c r="S2216" t="s">
        <v>2864</v>
      </c>
      <c r="V2216" t="s">
        <v>2855</v>
      </c>
      <c r="W2216" t="s">
        <v>2898</v>
      </c>
      <c r="AD2216" t="s">
        <v>5223</v>
      </c>
      <c r="AE2216" t="s">
        <v>3508</v>
      </c>
      <c r="AF2216">
        <v>4</v>
      </c>
    </row>
    <row r="2217" spans="1:32" x14ac:dyDescent="0.25">
      <c r="A2217" t="s">
        <v>33</v>
      </c>
      <c r="D2217" t="s">
        <v>2847</v>
      </c>
      <c r="E2217" t="s">
        <v>2893</v>
      </c>
      <c r="F2217" t="s">
        <v>866</v>
      </c>
      <c r="G2217" t="s">
        <v>5211</v>
      </c>
      <c r="H2217" t="s">
        <v>38</v>
      </c>
      <c r="I2217" t="s">
        <v>5224</v>
      </c>
      <c r="J2217" t="s">
        <v>40</v>
      </c>
      <c r="K2217" t="s">
        <v>41</v>
      </c>
      <c r="L2217" t="s">
        <v>5212</v>
      </c>
      <c r="M2217" t="s">
        <v>4345</v>
      </c>
      <c r="N2217" t="s">
        <v>5213</v>
      </c>
      <c r="O2217" t="s">
        <v>5225</v>
      </c>
      <c r="R2217" t="s">
        <v>5226</v>
      </c>
      <c r="S2217" t="s">
        <v>2864</v>
      </c>
      <c r="V2217" t="s">
        <v>2855</v>
      </c>
      <c r="W2217" t="s">
        <v>2898</v>
      </c>
      <c r="AD2217" t="s">
        <v>5227</v>
      </c>
    </row>
    <row r="2218" spans="1:32" x14ac:dyDescent="0.25">
      <c r="A2218" t="s">
        <v>33</v>
      </c>
      <c r="D2218" t="s">
        <v>2847</v>
      </c>
      <c r="E2218" t="s">
        <v>2893</v>
      </c>
      <c r="F2218" t="s">
        <v>866</v>
      </c>
      <c r="G2218" t="s">
        <v>5211</v>
      </c>
      <c r="H2218" t="s">
        <v>38</v>
      </c>
      <c r="I2218" t="s">
        <v>1053</v>
      </c>
      <c r="J2218" t="s">
        <v>40</v>
      </c>
      <c r="K2218" t="s">
        <v>41</v>
      </c>
      <c r="L2218" t="s">
        <v>5212</v>
      </c>
      <c r="M2218" t="s">
        <v>1004</v>
      </c>
      <c r="N2218" t="s">
        <v>5213</v>
      </c>
      <c r="O2218" t="s">
        <v>5228</v>
      </c>
      <c r="R2218" t="s">
        <v>5229</v>
      </c>
      <c r="S2218" t="s">
        <v>2864</v>
      </c>
      <c r="V2218" t="s">
        <v>2855</v>
      </c>
      <c r="W2218" t="s">
        <v>2898</v>
      </c>
      <c r="AD2218" t="s">
        <v>5230</v>
      </c>
    </row>
    <row r="2219" spans="1:32" x14ac:dyDescent="0.25">
      <c r="A2219" t="s">
        <v>33</v>
      </c>
      <c r="D2219" t="s">
        <v>2847</v>
      </c>
      <c r="E2219" t="s">
        <v>2893</v>
      </c>
      <c r="F2219" t="s">
        <v>866</v>
      </c>
      <c r="G2219" t="s">
        <v>5211</v>
      </c>
      <c r="H2219" t="s">
        <v>280</v>
      </c>
      <c r="I2219" t="s">
        <v>3311</v>
      </c>
      <c r="J2219" t="s">
        <v>282</v>
      </c>
      <c r="K2219" t="s">
        <v>283</v>
      </c>
      <c r="L2219" t="s">
        <v>5212</v>
      </c>
      <c r="N2219" t="s">
        <v>5213</v>
      </c>
      <c r="O2219" t="s">
        <v>3312</v>
      </c>
      <c r="Q2219" t="s">
        <v>3313</v>
      </c>
      <c r="R2219" t="s">
        <v>5231</v>
      </c>
      <c r="S2219" t="s">
        <v>2864</v>
      </c>
      <c r="V2219" t="s">
        <v>2855</v>
      </c>
      <c r="W2219" t="s">
        <v>2898</v>
      </c>
      <c r="AD2219" t="s">
        <v>5232</v>
      </c>
    </row>
    <row r="2220" spans="1:32" x14ac:dyDescent="0.25">
      <c r="A2220" t="s">
        <v>33</v>
      </c>
      <c r="D2220" t="s">
        <v>2847</v>
      </c>
      <c r="E2220" t="s">
        <v>2893</v>
      </c>
      <c r="F2220" t="s">
        <v>866</v>
      </c>
      <c r="G2220" t="s">
        <v>5202</v>
      </c>
      <c r="H2220" t="s">
        <v>166</v>
      </c>
      <c r="I2220" t="s">
        <v>1105</v>
      </c>
      <c r="J2220" t="s">
        <v>167</v>
      </c>
      <c r="K2220" t="s">
        <v>41</v>
      </c>
      <c r="L2220" t="s">
        <v>5203</v>
      </c>
      <c r="N2220" t="s">
        <v>5204</v>
      </c>
      <c r="O2220" t="s">
        <v>1106</v>
      </c>
      <c r="Q2220" t="s">
        <v>1107</v>
      </c>
      <c r="R2220" t="s">
        <v>5233</v>
      </c>
      <c r="S2220" t="s">
        <v>2864</v>
      </c>
      <c r="V2220" t="s">
        <v>2855</v>
      </c>
      <c r="W2220" t="s">
        <v>2898</v>
      </c>
      <c r="AD2220" t="s">
        <v>5234</v>
      </c>
    </row>
    <row r="2221" spans="1:32" x14ac:dyDescent="0.25">
      <c r="A2221" t="s">
        <v>33</v>
      </c>
      <c r="B2221" t="s">
        <v>2319</v>
      </c>
      <c r="D2221" t="s">
        <v>2847</v>
      </c>
      <c r="E2221" t="s">
        <v>2893</v>
      </c>
      <c r="F2221" t="s">
        <v>866</v>
      </c>
      <c r="G2221" t="s">
        <v>5235</v>
      </c>
      <c r="H2221" t="s">
        <v>166</v>
      </c>
      <c r="I2221" t="s">
        <v>1263</v>
      </c>
      <c r="J2221" t="s">
        <v>167</v>
      </c>
      <c r="K2221" t="s">
        <v>41</v>
      </c>
      <c r="L2221" t="s">
        <v>5236</v>
      </c>
      <c r="N2221" t="s">
        <v>5204</v>
      </c>
      <c r="O2221" t="s">
        <v>1264</v>
      </c>
      <c r="Q2221" t="s">
        <v>2541</v>
      </c>
      <c r="R2221" t="s">
        <v>1959</v>
      </c>
      <c r="S2221" t="s">
        <v>2864</v>
      </c>
      <c r="V2221" t="s">
        <v>2855</v>
      </c>
      <c r="W2221" t="s">
        <v>2898</v>
      </c>
      <c r="AD2221" t="s">
        <v>5205</v>
      </c>
    </row>
    <row r="2222" spans="1:32" x14ac:dyDescent="0.25">
      <c r="A2222" t="s">
        <v>33</v>
      </c>
      <c r="D2222" t="s">
        <v>2847</v>
      </c>
      <c r="E2222" t="s">
        <v>2893</v>
      </c>
      <c r="F2222" t="s">
        <v>866</v>
      </c>
      <c r="G2222" t="s">
        <v>5202</v>
      </c>
      <c r="H2222" t="s">
        <v>166</v>
      </c>
      <c r="I2222" t="s">
        <v>80</v>
      </c>
      <c r="J2222" t="s">
        <v>167</v>
      </c>
      <c r="K2222" t="s">
        <v>41</v>
      </c>
      <c r="L2222" t="s">
        <v>5203</v>
      </c>
      <c r="N2222" t="s">
        <v>5204</v>
      </c>
      <c r="O2222" t="s">
        <v>862</v>
      </c>
      <c r="Q2222" t="s">
        <v>863</v>
      </c>
      <c r="R2222" t="s">
        <v>5237</v>
      </c>
      <c r="S2222" t="s">
        <v>2864</v>
      </c>
      <c r="V2222" t="s">
        <v>2855</v>
      </c>
      <c r="W2222" t="s">
        <v>2898</v>
      </c>
      <c r="AD2222" t="s">
        <v>5238</v>
      </c>
    </row>
    <row r="2223" spans="1:32" x14ac:dyDescent="0.25">
      <c r="A2223" t="s">
        <v>33</v>
      </c>
      <c r="D2223" t="s">
        <v>2847</v>
      </c>
      <c r="E2223" t="s">
        <v>2893</v>
      </c>
      <c r="F2223" t="s">
        <v>866</v>
      </c>
      <c r="G2223" t="s">
        <v>5202</v>
      </c>
      <c r="H2223" t="s">
        <v>166</v>
      </c>
      <c r="I2223" t="s">
        <v>216</v>
      </c>
      <c r="J2223" t="s">
        <v>167</v>
      </c>
      <c r="K2223" t="s">
        <v>41</v>
      </c>
      <c r="L2223" t="s">
        <v>5203</v>
      </c>
      <c r="N2223" t="s">
        <v>5204</v>
      </c>
      <c r="O2223" t="s">
        <v>872</v>
      </c>
      <c r="Q2223" t="s">
        <v>1275</v>
      </c>
      <c r="R2223" t="s">
        <v>5239</v>
      </c>
      <c r="S2223" t="s">
        <v>2864</v>
      </c>
      <c r="V2223" t="s">
        <v>2855</v>
      </c>
      <c r="W2223" t="s">
        <v>2898</v>
      </c>
      <c r="AD2223" t="s">
        <v>5240</v>
      </c>
    </row>
    <row r="2224" spans="1:32" x14ac:dyDescent="0.25">
      <c r="A2224" t="s">
        <v>33</v>
      </c>
      <c r="D2224" t="s">
        <v>2847</v>
      </c>
      <c r="E2224" t="s">
        <v>2893</v>
      </c>
      <c r="F2224" t="s">
        <v>866</v>
      </c>
      <c r="G2224" t="s">
        <v>5202</v>
      </c>
      <c r="H2224" t="s">
        <v>166</v>
      </c>
      <c r="I2224" t="s">
        <v>281</v>
      </c>
      <c r="J2224" t="s">
        <v>167</v>
      </c>
      <c r="K2224" t="s">
        <v>41</v>
      </c>
      <c r="L2224" t="s">
        <v>5203</v>
      </c>
      <c r="N2224" t="s">
        <v>5204</v>
      </c>
      <c r="O2224" t="s">
        <v>858</v>
      </c>
      <c r="Q2224" t="s">
        <v>2536</v>
      </c>
      <c r="R2224" t="s">
        <v>5241</v>
      </c>
      <c r="S2224" t="s">
        <v>2864</v>
      </c>
      <c r="V2224" t="s">
        <v>2855</v>
      </c>
      <c r="W2224" t="s">
        <v>2898</v>
      </c>
      <c r="AD2224" t="s">
        <v>5242</v>
      </c>
    </row>
    <row r="2225" spans="1:30" x14ac:dyDescent="0.25">
      <c r="A2225" t="s">
        <v>33</v>
      </c>
      <c r="D2225" t="s">
        <v>2847</v>
      </c>
      <c r="E2225" t="s">
        <v>2893</v>
      </c>
      <c r="F2225" t="s">
        <v>866</v>
      </c>
      <c r="G2225" t="s">
        <v>5202</v>
      </c>
      <c r="H2225" t="s">
        <v>153</v>
      </c>
      <c r="I2225" t="s">
        <v>598</v>
      </c>
      <c r="J2225" t="s">
        <v>154</v>
      </c>
      <c r="K2225" t="s">
        <v>155</v>
      </c>
      <c r="L2225" t="s">
        <v>5203</v>
      </c>
      <c r="N2225" t="s">
        <v>5204</v>
      </c>
      <c r="O2225" t="s">
        <v>599</v>
      </c>
      <c r="R2225" t="s">
        <v>5243</v>
      </c>
      <c r="S2225" t="s">
        <v>2864</v>
      </c>
      <c r="V2225" t="s">
        <v>2855</v>
      </c>
      <c r="W2225" t="s">
        <v>2898</v>
      </c>
      <c r="AD2225" t="s">
        <v>5244</v>
      </c>
    </row>
    <row r="2226" spans="1:30" x14ac:dyDescent="0.25">
      <c r="A2226" t="s">
        <v>33</v>
      </c>
      <c r="D2226" t="s">
        <v>2847</v>
      </c>
      <c r="E2226" t="s">
        <v>2893</v>
      </c>
      <c r="F2226" t="s">
        <v>78</v>
      </c>
      <c r="G2226" t="s">
        <v>4561</v>
      </c>
      <c r="H2226" t="s">
        <v>143</v>
      </c>
      <c r="I2226" t="s">
        <v>295</v>
      </c>
      <c r="J2226" t="s">
        <v>145</v>
      </c>
      <c r="K2226" t="s">
        <v>146</v>
      </c>
      <c r="L2226" t="s">
        <v>4562</v>
      </c>
      <c r="M2226" t="s">
        <v>82</v>
      </c>
      <c r="N2226" t="s">
        <v>4563</v>
      </c>
      <c r="O2226" t="s">
        <v>296</v>
      </c>
      <c r="R2226" t="s">
        <v>5245</v>
      </c>
      <c r="S2226" t="s">
        <v>2864</v>
      </c>
      <c r="V2226" t="s">
        <v>2855</v>
      </c>
      <c r="W2226" t="s">
        <v>2898</v>
      </c>
      <c r="AD2226" t="s">
        <v>5246</v>
      </c>
    </row>
    <row r="2227" spans="1:30" x14ac:dyDescent="0.25">
      <c r="A2227" t="s">
        <v>33</v>
      </c>
      <c r="D2227" t="s">
        <v>2847</v>
      </c>
      <c r="E2227" t="s">
        <v>2893</v>
      </c>
      <c r="F2227" t="s">
        <v>78</v>
      </c>
      <c r="G2227" t="s">
        <v>4561</v>
      </c>
      <c r="H2227" t="s">
        <v>143</v>
      </c>
      <c r="I2227" t="s">
        <v>299</v>
      </c>
      <c r="J2227" t="s">
        <v>745</v>
      </c>
      <c r="K2227" t="s">
        <v>262</v>
      </c>
      <c r="L2227" t="s">
        <v>4562</v>
      </c>
      <c r="M2227" t="s">
        <v>82</v>
      </c>
      <c r="N2227" t="s">
        <v>4563</v>
      </c>
      <c r="O2227" t="s">
        <v>300</v>
      </c>
      <c r="R2227" t="s">
        <v>5247</v>
      </c>
      <c r="S2227" t="s">
        <v>2864</v>
      </c>
      <c r="V2227" t="s">
        <v>2855</v>
      </c>
      <c r="W2227" t="s">
        <v>2898</v>
      </c>
      <c r="AD2227" t="s">
        <v>5248</v>
      </c>
    </row>
    <row r="2228" spans="1:30" x14ac:dyDescent="0.25">
      <c r="A2228" t="s">
        <v>33</v>
      </c>
      <c r="D2228" t="s">
        <v>2847</v>
      </c>
      <c r="E2228" t="s">
        <v>2893</v>
      </c>
      <c r="F2228" t="s">
        <v>78</v>
      </c>
      <c r="G2228" t="s">
        <v>4561</v>
      </c>
      <c r="H2228" t="s">
        <v>38</v>
      </c>
      <c r="I2228" t="s">
        <v>257</v>
      </c>
      <c r="J2228" t="s">
        <v>40</v>
      </c>
      <c r="K2228" t="s">
        <v>41</v>
      </c>
      <c r="L2228" t="s">
        <v>4562</v>
      </c>
      <c r="M2228" t="s">
        <v>82</v>
      </c>
      <c r="N2228" t="s">
        <v>4563</v>
      </c>
      <c r="O2228" t="s">
        <v>258</v>
      </c>
      <c r="R2228" t="s">
        <v>5249</v>
      </c>
      <c r="S2228" t="s">
        <v>2864</v>
      </c>
      <c r="V2228" t="s">
        <v>2855</v>
      </c>
      <c r="W2228" t="s">
        <v>2898</v>
      </c>
      <c r="AD2228" t="s">
        <v>5250</v>
      </c>
    </row>
    <row r="2229" spans="1:30" x14ac:dyDescent="0.25">
      <c r="A2229" t="s">
        <v>33</v>
      </c>
      <c r="D2229" t="s">
        <v>2847</v>
      </c>
      <c r="E2229" t="s">
        <v>2893</v>
      </c>
      <c r="F2229" t="s">
        <v>78</v>
      </c>
      <c r="G2229" t="s">
        <v>4561</v>
      </c>
      <c r="H2229" t="s">
        <v>38</v>
      </c>
      <c r="I2229" t="s">
        <v>250</v>
      </c>
      <c r="J2229" t="s">
        <v>40</v>
      </c>
      <c r="K2229" t="s">
        <v>41</v>
      </c>
      <c r="L2229" t="s">
        <v>4562</v>
      </c>
      <c r="M2229" t="s">
        <v>252</v>
      </c>
      <c r="N2229" t="s">
        <v>4563</v>
      </c>
      <c r="O2229" t="s">
        <v>254</v>
      </c>
      <c r="R2229" t="s">
        <v>5251</v>
      </c>
      <c r="S2229" t="s">
        <v>2864</v>
      </c>
      <c r="V2229" t="s">
        <v>2855</v>
      </c>
      <c r="W2229" t="s">
        <v>2898</v>
      </c>
      <c r="AD2229" t="s">
        <v>5252</v>
      </c>
    </row>
    <row r="2230" spans="1:30" x14ac:dyDescent="0.25">
      <c r="A2230" t="s">
        <v>33</v>
      </c>
      <c r="D2230" t="s">
        <v>2847</v>
      </c>
      <c r="E2230" t="s">
        <v>2893</v>
      </c>
      <c r="F2230" t="s">
        <v>78</v>
      </c>
      <c r="G2230" t="s">
        <v>4561</v>
      </c>
      <c r="H2230" t="s">
        <v>143</v>
      </c>
      <c r="I2230" t="s">
        <v>257</v>
      </c>
      <c r="J2230" t="s">
        <v>145</v>
      </c>
      <c r="K2230" t="s">
        <v>146</v>
      </c>
      <c r="L2230" t="s">
        <v>4562</v>
      </c>
      <c r="M2230" t="s">
        <v>82</v>
      </c>
      <c r="N2230" t="s">
        <v>4563</v>
      </c>
      <c r="O2230" t="s">
        <v>292</v>
      </c>
      <c r="R2230" t="s">
        <v>5253</v>
      </c>
      <c r="S2230" t="s">
        <v>2864</v>
      </c>
      <c r="V2230" t="s">
        <v>2855</v>
      </c>
      <c r="W2230" t="s">
        <v>2898</v>
      </c>
      <c r="AD2230" t="s">
        <v>5254</v>
      </c>
    </row>
    <row r="2231" spans="1:30" x14ac:dyDescent="0.25">
      <c r="A2231" t="s">
        <v>33</v>
      </c>
      <c r="D2231" t="s">
        <v>2847</v>
      </c>
      <c r="E2231" t="s">
        <v>2893</v>
      </c>
      <c r="F2231" t="s">
        <v>78</v>
      </c>
      <c r="G2231" t="s">
        <v>4561</v>
      </c>
      <c r="H2231" t="s">
        <v>143</v>
      </c>
      <c r="I2231" t="s">
        <v>261</v>
      </c>
      <c r="J2231" t="s">
        <v>145</v>
      </c>
      <c r="K2231" t="s">
        <v>262</v>
      </c>
      <c r="L2231" t="s">
        <v>4562</v>
      </c>
      <c r="M2231" t="s">
        <v>252</v>
      </c>
      <c r="N2231" t="s">
        <v>4563</v>
      </c>
      <c r="O2231" t="s">
        <v>263</v>
      </c>
      <c r="R2231" t="s">
        <v>5255</v>
      </c>
      <c r="S2231" t="s">
        <v>2864</v>
      </c>
      <c r="V2231" t="s">
        <v>2855</v>
      </c>
      <c r="W2231" t="s">
        <v>2898</v>
      </c>
      <c r="AD2231" t="s">
        <v>5256</v>
      </c>
    </row>
    <row r="2232" spans="1:30" x14ac:dyDescent="0.25">
      <c r="A2232" t="s">
        <v>33</v>
      </c>
      <c r="D2232" t="s">
        <v>2847</v>
      </c>
      <c r="E2232" t="s">
        <v>2893</v>
      </c>
      <c r="F2232" t="s">
        <v>78</v>
      </c>
      <c r="G2232" t="s">
        <v>4561</v>
      </c>
      <c r="H2232" t="s">
        <v>280</v>
      </c>
      <c r="I2232" t="s">
        <v>281</v>
      </c>
      <c r="J2232" t="s">
        <v>282</v>
      </c>
      <c r="K2232" t="s">
        <v>283</v>
      </c>
      <c r="L2232" t="s">
        <v>4562</v>
      </c>
      <c r="N2232" t="s">
        <v>4563</v>
      </c>
      <c r="O2232" t="s">
        <v>284</v>
      </c>
      <c r="Q2232" t="s">
        <v>285</v>
      </c>
      <c r="R2232" t="s">
        <v>5257</v>
      </c>
      <c r="S2232" t="s">
        <v>2864</v>
      </c>
      <c r="V2232" t="s">
        <v>2855</v>
      </c>
      <c r="W2232" t="s">
        <v>2898</v>
      </c>
      <c r="AD2232" t="s">
        <v>5258</v>
      </c>
    </row>
    <row r="2233" spans="1:30" x14ac:dyDescent="0.25">
      <c r="A2233" t="s">
        <v>33</v>
      </c>
      <c r="D2233" t="s">
        <v>2847</v>
      </c>
      <c r="E2233" t="s">
        <v>2893</v>
      </c>
      <c r="F2233" t="s">
        <v>78</v>
      </c>
      <c r="G2233" t="s">
        <v>4561</v>
      </c>
      <c r="H2233" t="s">
        <v>143</v>
      </c>
      <c r="I2233" t="s">
        <v>261</v>
      </c>
      <c r="J2233" t="s">
        <v>145</v>
      </c>
      <c r="K2233" t="s">
        <v>146</v>
      </c>
      <c r="L2233" t="s">
        <v>4562</v>
      </c>
      <c r="M2233" t="s">
        <v>252</v>
      </c>
      <c r="N2233" t="s">
        <v>4563</v>
      </c>
      <c r="O2233" t="s">
        <v>263</v>
      </c>
      <c r="R2233" t="s">
        <v>5259</v>
      </c>
      <c r="S2233" t="s">
        <v>2864</v>
      </c>
      <c r="V2233" t="s">
        <v>2855</v>
      </c>
      <c r="W2233" t="s">
        <v>2898</v>
      </c>
      <c r="AD2233" t="s">
        <v>5256</v>
      </c>
    </row>
    <row r="2234" spans="1:30" x14ac:dyDescent="0.25">
      <c r="A2234" t="s">
        <v>33</v>
      </c>
      <c r="D2234" t="s">
        <v>2847</v>
      </c>
      <c r="E2234" t="s">
        <v>2848</v>
      </c>
      <c r="F2234" t="s">
        <v>78</v>
      </c>
      <c r="G2234" t="s">
        <v>5260</v>
      </c>
      <c r="H2234" t="s">
        <v>166</v>
      </c>
      <c r="I2234" t="s">
        <v>80</v>
      </c>
      <c r="J2234" t="s">
        <v>167</v>
      </c>
      <c r="K2234" t="s">
        <v>41</v>
      </c>
      <c r="L2234" t="s">
        <v>5261</v>
      </c>
      <c r="N2234" t="s">
        <v>3039</v>
      </c>
      <c r="O2234" t="s">
        <v>84</v>
      </c>
      <c r="Q2234" t="s">
        <v>1161</v>
      </c>
      <c r="R2234" t="s">
        <v>3636</v>
      </c>
      <c r="S2234" t="s">
        <v>2882</v>
      </c>
      <c r="V2234" t="s">
        <v>2855</v>
      </c>
      <c r="W2234" t="s">
        <v>2856</v>
      </c>
      <c r="AD2234" t="s">
        <v>5262</v>
      </c>
    </row>
    <row r="2235" spans="1:30" x14ac:dyDescent="0.25">
      <c r="A2235" t="s">
        <v>33</v>
      </c>
      <c r="D2235" t="s">
        <v>2847</v>
      </c>
      <c r="E2235" t="s">
        <v>2848</v>
      </c>
      <c r="F2235" t="s">
        <v>78</v>
      </c>
      <c r="G2235" t="s">
        <v>5260</v>
      </c>
      <c r="H2235" t="s">
        <v>143</v>
      </c>
      <c r="I2235" t="s">
        <v>160</v>
      </c>
      <c r="J2235" t="s">
        <v>145</v>
      </c>
      <c r="K2235" t="s">
        <v>146</v>
      </c>
      <c r="L2235" t="s">
        <v>5261</v>
      </c>
      <c r="M2235" t="s">
        <v>53</v>
      </c>
      <c r="N2235" t="s">
        <v>3039</v>
      </c>
      <c r="O2235" t="s">
        <v>1158</v>
      </c>
      <c r="R2235" t="s">
        <v>5263</v>
      </c>
      <c r="S2235" t="s">
        <v>2882</v>
      </c>
      <c r="V2235" t="s">
        <v>2855</v>
      </c>
      <c r="W2235" t="s">
        <v>2856</v>
      </c>
      <c r="X2235" t="s">
        <v>56</v>
      </c>
      <c r="AD2235" t="s">
        <v>5264</v>
      </c>
    </row>
    <row r="2236" spans="1:30" x14ac:dyDescent="0.25">
      <c r="A2236" t="s">
        <v>33</v>
      </c>
      <c r="D2236" t="s">
        <v>2847</v>
      </c>
      <c r="E2236" t="s">
        <v>2848</v>
      </c>
      <c r="F2236" t="s">
        <v>78</v>
      </c>
      <c r="G2236" t="s">
        <v>5260</v>
      </c>
      <c r="H2236" t="s">
        <v>143</v>
      </c>
      <c r="I2236" t="s">
        <v>909</v>
      </c>
      <c r="J2236" t="s">
        <v>145</v>
      </c>
      <c r="K2236" t="s">
        <v>146</v>
      </c>
      <c r="L2236" t="s">
        <v>5261</v>
      </c>
      <c r="M2236" t="s">
        <v>53</v>
      </c>
      <c r="N2236" t="s">
        <v>3039</v>
      </c>
      <c r="O2236" t="s">
        <v>1155</v>
      </c>
      <c r="R2236" t="s">
        <v>5265</v>
      </c>
      <c r="S2236" t="s">
        <v>2882</v>
      </c>
      <c r="V2236" t="s">
        <v>2855</v>
      </c>
      <c r="W2236" t="s">
        <v>2856</v>
      </c>
      <c r="X2236" t="s">
        <v>56</v>
      </c>
      <c r="AD2236" t="s">
        <v>5266</v>
      </c>
    </row>
    <row r="2237" spans="1:30" x14ac:dyDescent="0.25">
      <c r="A2237" t="s">
        <v>33</v>
      </c>
      <c r="D2237" t="s">
        <v>2847</v>
      </c>
      <c r="E2237" t="s">
        <v>2893</v>
      </c>
      <c r="F2237" t="s">
        <v>78</v>
      </c>
      <c r="G2237" t="s">
        <v>5267</v>
      </c>
      <c r="H2237" t="s">
        <v>166</v>
      </c>
      <c r="I2237" t="s">
        <v>288</v>
      </c>
      <c r="J2237" t="s">
        <v>167</v>
      </c>
      <c r="K2237" t="s">
        <v>41</v>
      </c>
      <c r="L2237" t="s">
        <v>5268</v>
      </c>
      <c r="N2237" t="s">
        <v>5269</v>
      </c>
      <c r="O2237" t="s">
        <v>289</v>
      </c>
      <c r="Q2237" t="s">
        <v>285</v>
      </c>
      <c r="R2237" t="s">
        <v>5270</v>
      </c>
      <c r="S2237" t="s">
        <v>2864</v>
      </c>
      <c r="V2237" t="s">
        <v>2855</v>
      </c>
      <c r="W2237" t="s">
        <v>2898</v>
      </c>
      <c r="AD2237" t="s">
        <v>5271</v>
      </c>
    </row>
    <row r="2238" spans="1:30" x14ac:dyDescent="0.25">
      <c r="A2238" t="s">
        <v>33</v>
      </c>
      <c r="D2238" t="s">
        <v>2847</v>
      </c>
      <c r="E2238" t="s">
        <v>2893</v>
      </c>
      <c r="F2238" t="s">
        <v>78</v>
      </c>
      <c r="G2238" t="s">
        <v>5267</v>
      </c>
      <c r="H2238" t="s">
        <v>143</v>
      </c>
      <c r="I2238" t="s">
        <v>276</v>
      </c>
      <c r="J2238" t="s">
        <v>145</v>
      </c>
      <c r="K2238" t="s">
        <v>146</v>
      </c>
      <c r="L2238" t="s">
        <v>5268</v>
      </c>
      <c r="N2238" t="s">
        <v>5269</v>
      </c>
      <c r="O2238" t="s">
        <v>277</v>
      </c>
      <c r="R2238" t="s">
        <v>5272</v>
      </c>
      <c r="S2238" t="s">
        <v>2864</v>
      </c>
      <c r="V2238" t="s">
        <v>2855</v>
      </c>
      <c r="W2238" t="s">
        <v>2898</v>
      </c>
      <c r="X2238" t="s">
        <v>270</v>
      </c>
      <c r="AD2238" t="s">
        <v>5273</v>
      </c>
    </row>
    <row r="2239" spans="1:30" x14ac:dyDescent="0.25">
      <c r="A2239" t="s">
        <v>33</v>
      </c>
      <c r="D2239" t="s">
        <v>2847</v>
      </c>
      <c r="E2239" t="s">
        <v>2893</v>
      </c>
      <c r="F2239" t="s">
        <v>78</v>
      </c>
      <c r="G2239" t="s">
        <v>5267</v>
      </c>
      <c r="H2239" t="s">
        <v>143</v>
      </c>
      <c r="I2239" t="s">
        <v>272</v>
      </c>
      <c r="J2239" t="s">
        <v>145</v>
      </c>
      <c r="K2239" t="s">
        <v>146</v>
      </c>
      <c r="L2239" t="s">
        <v>5268</v>
      </c>
      <c r="N2239" t="s">
        <v>5269</v>
      </c>
      <c r="O2239" t="s">
        <v>273</v>
      </c>
      <c r="R2239" t="s">
        <v>5274</v>
      </c>
      <c r="S2239" t="s">
        <v>2864</v>
      </c>
      <c r="V2239" t="s">
        <v>2855</v>
      </c>
      <c r="W2239" t="s">
        <v>2898</v>
      </c>
      <c r="X2239" t="s">
        <v>270</v>
      </c>
      <c r="AD2239" t="s">
        <v>5275</v>
      </c>
    </row>
    <row r="2240" spans="1:30" x14ac:dyDescent="0.25">
      <c r="A2240" t="s">
        <v>33</v>
      </c>
      <c r="D2240" t="s">
        <v>2847</v>
      </c>
      <c r="E2240" t="s">
        <v>2893</v>
      </c>
      <c r="F2240" t="s">
        <v>78</v>
      </c>
      <c r="G2240" t="s">
        <v>5267</v>
      </c>
      <c r="H2240" t="s">
        <v>143</v>
      </c>
      <c r="I2240" t="s">
        <v>267</v>
      </c>
      <c r="J2240" t="s">
        <v>145</v>
      </c>
      <c r="K2240" t="s">
        <v>146</v>
      </c>
      <c r="L2240" t="s">
        <v>5268</v>
      </c>
      <c r="N2240" t="s">
        <v>5269</v>
      </c>
      <c r="O2240" t="s">
        <v>268</v>
      </c>
      <c r="R2240" t="s">
        <v>5276</v>
      </c>
      <c r="S2240" t="s">
        <v>2864</v>
      </c>
      <c r="V2240" t="s">
        <v>2855</v>
      </c>
      <c r="W2240" t="s">
        <v>2898</v>
      </c>
      <c r="X2240" t="s">
        <v>270</v>
      </c>
      <c r="AD2240" t="s">
        <v>5277</v>
      </c>
    </row>
    <row r="2241" spans="1:30" x14ac:dyDescent="0.25">
      <c r="A2241" t="s">
        <v>33</v>
      </c>
      <c r="D2241" t="s">
        <v>2847</v>
      </c>
      <c r="E2241" t="s">
        <v>2893</v>
      </c>
      <c r="F2241" t="s">
        <v>78</v>
      </c>
      <c r="G2241" t="s">
        <v>5267</v>
      </c>
      <c r="H2241" t="s">
        <v>143</v>
      </c>
      <c r="I2241" t="s">
        <v>295</v>
      </c>
      <c r="J2241" t="s">
        <v>145</v>
      </c>
      <c r="K2241" t="s">
        <v>146</v>
      </c>
      <c r="L2241" t="s">
        <v>5268</v>
      </c>
      <c r="M2241" t="s">
        <v>82</v>
      </c>
      <c r="N2241" t="s">
        <v>5269</v>
      </c>
      <c r="O2241" t="s">
        <v>296</v>
      </c>
      <c r="R2241" t="s">
        <v>5278</v>
      </c>
      <c r="S2241" t="s">
        <v>2864</v>
      </c>
      <c r="V2241" t="s">
        <v>2855</v>
      </c>
      <c r="W2241" t="s">
        <v>2898</v>
      </c>
      <c r="AD2241" t="s">
        <v>5279</v>
      </c>
    </row>
    <row r="2242" spans="1:30" x14ac:dyDescent="0.25">
      <c r="A2242" t="s">
        <v>33</v>
      </c>
      <c r="D2242" t="s">
        <v>2847</v>
      </c>
      <c r="E2242" t="s">
        <v>2893</v>
      </c>
      <c r="F2242" t="s">
        <v>78</v>
      </c>
      <c r="G2242" t="s">
        <v>5267</v>
      </c>
      <c r="H2242" t="s">
        <v>143</v>
      </c>
      <c r="I2242" t="s">
        <v>299</v>
      </c>
      <c r="J2242" t="s">
        <v>745</v>
      </c>
      <c r="K2242" t="s">
        <v>262</v>
      </c>
      <c r="L2242" t="s">
        <v>5268</v>
      </c>
      <c r="M2242" t="s">
        <v>82</v>
      </c>
      <c r="N2242" t="s">
        <v>5269</v>
      </c>
      <c r="O2242" t="s">
        <v>300</v>
      </c>
      <c r="R2242" t="s">
        <v>5280</v>
      </c>
      <c r="S2242" t="s">
        <v>2864</v>
      </c>
      <c r="V2242" t="s">
        <v>2855</v>
      </c>
      <c r="W2242" t="s">
        <v>2898</v>
      </c>
      <c r="AD2242" t="s">
        <v>5281</v>
      </c>
    </row>
    <row r="2243" spans="1:30" x14ac:dyDescent="0.25">
      <c r="A2243" t="s">
        <v>33</v>
      </c>
      <c r="D2243" t="s">
        <v>2847</v>
      </c>
      <c r="E2243" t="s">
        <v>2893</v>
      </c>
      <c r="F2243" t="s">
        <v>78</v>
      </c>
      <c r="G2243" t="s">
        <v>5267</v>
      </c>
      <c r="H2243" t="s">
        <v>38</v>
      </c>
      <c r="I2243" t="s">
        <v>257</v>
      </c>
      <c r="J2243" t="s">
        <v>40</v>
      </c>
      <c r="K2243" t="s">
        <v>41</v>
      </c>
      <c r="L2243" t="s">
        <v>5268</v>
      </c>
      <c r="M2243" t="s">
        <v>82</v>
      </c>
      <c r="N2243" t="s">
        <v>5269</v>
      </c>
      <c r="O2243" t="s">
        <v>258</v>
      </c>
      <c r="R2243" t="s">
        <v>5282</v>
      </c>
      <c r="S2243" t="s">
        <v>2864</v>
      </c>
      <c r="V2243" t="s">
        <v>2855</v>
      </c>
      <c r="W2243" t="s">
        <v>2898</v>
      </c>
      <c r="AD2243" t="s">
        <v>5283</v>
      </c>
    </row>
    <row r="2244" spans="1:30" x14ac:dyDescent="0.25">
      <c r="A2244" t="s">
        <v>33</v>
      </c>
      <c r="D2244" t="s">
        <v>2847</v>
      </c>
      <c r="E2244" t="s">
        <v>2893</v>
      </c>
      <c r="F2244" t="s">
        <v>78</v>
      </c>
      <c r="G2244" t="s">
        <v>5267</v>
      </c>
      <c r="H2244" t="s">
        <v>38</v>
      </c>
      <c r="I2244" t="s">
        <v>250</v>
      </c>
      <c r="J2244" t="s">
        <v>40</v>
      </c>
      <c r="K2244" t="s">
        <v>41</v>
      </c>
      <c r="L2244" t="s">
        <v>5268</v>
      </c>
      <c r="M2244" t="s">
        <v>176</v>
      </c>
      <c r="N2244" t="s">
        <v>5269</v>
      </c>
      <c r="O2244" t="s">
        <v>254</v>
      </c>
      <c r="R2244" t="s">
        <v>5284</v>
      </c>
      <c r="S2244" t="s">
        <v>2864</v>
      </c>
      <c r="V2244" t="s">
        <v>2855</v>
      </c>
      <c r="W2244" t="s">
        <v>2898</v>
      </c>
      <c r="AD2244" t="s">
        <v>5285</v>
      </c>
    </row>
    <row r="2245" spans="1:30" x14ac:dyDescent="0.25">
      <c r="A2245" t="s">
        <v>33</v>
      </c>
      <c r="D2245" t="s">
        <v>2847</v>
      </c>
      <c r="E2245" t="s">
        <v>2893</v>
      </c>
      <c r="F2245" t="s">
        <v>78</v>
      </c>
      <c r="G2245" t="s">
        <v>5267</v>
      </c>
      <c r="H2245" t="s">
        <v>143</v>
      </c>
      <c r="I2245" t="s">
        <v>257</v>
      </c>
      <c r="J2245" t="s">
        <v>145</v>
      </c>
      <c r="K2245" t="s">
        <v>146</v>
      </c>
      <c r="L2245" t="s">
        <v>5268</v>
      </c>
      <c r="M2245" t="s">
        <v>82</v>
      </c>
      <c r="N2245" t="s">
        <v>5269</v>
      </c>
      <c r="O2245" t="s">
        <v>292</v>
      </c>
      <c r="R2245" t="s">
        <v>5286</v>
      </c>
      <c r="S2245" t="s">
        <v>2864</v>
      </c>
      <c r="V2245" t="s">
        <v>2855</v>
      </c>
      <c r="W2245" t="s">
        <v>2898</v>
      </c>
      <c r="AD2245" t="s">
        <v>5287</v>
      </c>
    </row>
    <row r="2246" spans="1:30" x14ac:dyDescent="0.25">
      <c r="A2246" t="s">
        <v>33</v>
      </c>
      <c r="D2246" t="s">
        <v>2847</v>
      </c>
      <c r="E2246" t="s">
        <v>2893</v>
      </c>
      <c r="F2246" t="s">
        <v>78</v>
      </c>
      <c r="G2246" t="s">
        <v>5267</v>
      </c>
      <c r="H2246" t="s">
        <v>143</v>
      </c>
      <c r="I2246" t="s">
        <v>261</v>
      </c>
      <c r="J2246" t="s">
        <v>145</v>
      </c>
      <c r="K2246" t="s">
        <v>262</v>
      </c>
      <c r="L2246" t="s">
        <v>5268</v>
      </c>
      <c r="M2246" t="s">
        <v>176</v>
      </c>
      <c r="N2246" t="s">
        <v>5269</v>
      </c>
      <c r="O2246" t="s">
        <v>263</v>
      </c>
      <c r="R2246" t="s">
        <v>5288</v>
      </c>
      <c r="S2246" t="s">
        <v>2864</v>
      </c>
      <c r="V2246" t="s">
        <v>2855</v>
      </c>
      <c r="W2246" t="s">
        <v>2898</v>
      </c>
      <c r="AD2246" t="s">
        <v>5289</v>
      </c>
    </row>
    <row r="2247" spans="1:30" x14ac:dyDescent="0.25">
      <c r="A2247" t="s">
        <v>33</v>
      </c>
      <c r="D2247" t="s">
        <v>2847</v>
      </c>
      <c r="E2247" t="s">
        <v>2893</v>
      </c>
      <c r="F2247" t="s">
        <v>78</v>
      </c>
      <c r="G2247" t="s">
        <v>5267</v>
      </c>
      <c r="H2247" t="s">
        <v>280</v>
      </c>
      <c r="I2247" t="s">
        <v>281</v>
      </c>
      <c r="J2247" t="s">
        <v>282</v>
      </c>
      <c r="K2247" t="s">
        <v>283</v>
      </c>
      <c r="L2247" t="s">
        <v>5268</v>
      </c>
      <c r="N2247" t="s">
        <v>5269</v>
      </c>
      <c r="O2247" t="s">
        <v>284</v>
      </c>
      <c r="Q2247" t="s">
        <v>285</v>
      </c>
      <c r="R2247" t="s">
        <v>5290</v>
      </c>
      <c r="S2247" t="s">
        <v>2864</v>
      </c>
      <c r="V2247" t="s">
        <v>2855</v>
      </c>
      <c r="W2247" t="s">
        <v>2898</v>
      </c>
      <c r="AD2247" t="s">
        <v>5291</v>
      </c>
    </row>
    <row r="2248" spans="1:30" x14ac:dyDescent="0.25">
      <c r="A2248" t="s">
        <v>33</v>
      </c>
      <c r="D2248" t="s">
        <v>2847</v>
      </c>
      <c r="E2248" t="s">
        <v>2893</v>
      </c>
      <c r="F2248" t="s">
        <v>78</v>
      </c>
      <c r="G2248" t="s">
        <v>5267</v>
      </c>
      <c r="H2248" t="s">
        <v>166</v>
      </c>
      <c r="I2248" t="s">
        <v>4555</v>
      </c>
      <c r="J2248" t="s">
        <v>167</v>
      </c>
      <c r="K2248" t="s">
        <v>41</v>
      </c>
      <c r="L2248" t="s">
        <v>5268</v>
      </c>
      <c r="N2248" t="s">
        <v>5269</v>
      </c>
      <c r="O2248" t="s">
        <v>4556</v>
      </c>
      <c r="Q2248" t="s">
        <v>4557</v>
      </c>
      <c r="R2248" t="s">
        <v>5292</v>
      </c>
      <c r="S2248" t="s">
        <v>2864</v>
      </c>
      <c r="V2248" t="s">
        <v>2855</v>
      </c>
      <c r="W2248" t="s">
        <v>2898</v>
      </c>
      <c r="AD2248" t="s">
        <v>5293</v>
      </c>
    </row>
    <row r="2249" spans="1:30" x14ac:dyDescent="0.25">
      <c r="A2249" t="s">
        <v>33</v>
      </c>
      <c r="D2249" t="s">
        <v>2847</v>
      </c>
      <c r="E2249" t="s">
        <v>2893</v>
      </c>
      <c r="F2249" t="s">
        <v>78</v>
      </c>
      <c r="G2249" t="s">
        <v>5267</v>
      </c>
      <c r="H2249" t="s">
        <v>143</v>
      </c>
      <c r="I2249" t="s">
        <v>261</v>
      </c>
      <c r="J2249" t="s">
        <v>145</v>
      </c>
      <c r="K2249" t="s">
        <v>146</v>
      </c>
      <c r="L2249" t="s">
        <v>5268</v>
      </c>
      <c r="M2249" t="s">
        <v>176</v>
      </c>
      <c r="N2249" t="s">
        <v>5269</v>
      </c>
      <c r="O2249" t="s">
        <v>263</v>
      </c>
      <c r="R2249" t="s">
        <v>5294</v>
      </c>
      <c r="S2249" t="s">
        <v>2864</v>
      </c>
      <c r="V2249" t="s">
        <v>2855</v>
      </c>
      <c r="W2249" t="s">
        <v>2898</v>
      </c>
      <c r="AD2249" t="s">
        <v>5289</v>
      </c>
    </row>
    <row r="2250" spans="1:30" x14ac:dyDescent="0.25">
      <c r="A2250" t="s">
        <v>33</v>
      </c>
      <c r="D2250" t="s">
        <v>2847</v>
      </c>
      <c r="E2250" t="s">
        <v>2893</v>
      </c>
      <c r="F2250" t="s">
        <v>87</v>
      </c>
      <c r="G2250" t="s">
        <v>3758</v>
      </c>
      <c r="H2250" t="s">
        <v>166</v>
      </c>
      <c r="I2250" t="s">
        <v>216</v>
      </c>
      <c r="J2250" t="s">
        <v>167</v>
      </c>
      <c r="K2250" t="s">
        <v>41</v>
      </c>
      <c r="L2250" t="s">
        <v>3759</v>
      </c>
      <c r="N2250" t="s">
        <v>3760</v>
      </c>
      <c r="O2250" t="s">
        <v>217</v>
      </c>
      <c r="Q2250" t="s">
        <v>1199</v>
      </c>
      <c r="R2250" t="s">
        <v>5295</v>
      </c>
      <c r="S2250" t="s">
        <v>2864</v>
      </c>
      <c r="V2250" t="s">
        <v>2855</v>
      </c>
      <c r="W2250" t="s">
        <v>2898</v>
      </c>
      <c r="AD2250" t="s">
        <v>5296</v>
      </c>
    </row>
    <row r="2251" spans="1:30" x14ac:dyDescent="0.25">
      <c r="A2251" t="s">
        <v>33</v>
      </c>
      <c r="D2251" t="s">
        <v>2847</v>
      </c>
      <c r="E2251" t="s">
        <v>2893</v>
      </c>
      <c r="F2251" t="s">
        <v>87</v>
      </c>
      <c r="G2251" t="s">
        <v>3765</v>
      </c>
      <c r="H2251" t="s">
        <v>166</v>
      </c>
      <c r="I2251" t="s">
        <v>216</v>
      </c>
      <c r="J2251" t="s">
        <v>167</v>
      </c>
      <c r="K2251" t="s">
        <v>41</v>
      </c>
      <c r="L2251" t="s">
        <v>3766</v>
      </c>
      <c r="N2251" t="s">
        <v>3767</v>
      </c>
      <c r="O2251" t="s">
        <v>217</v>
      </c>
      <c r="Q2251" t="s">
        <v>1227</v>
      </c>
      <c r="R2251" t="s">
        <v>5297</v>
      </c>
      <c r="S2251" t="s">
        <v>2864</v>
      </c>
      <c r="V2251" t="s">
        <v>2855</v>
      </c>
      <c r="W2251" t="s">
        <v>2898</v>
      </c>
      <c r="AD2251" t="s">
        <v>5298</v>
      </c>
    </row>
    <row r="2252" spans="1:30" x14ac:dyDescent="0.25">
      <c r="A2252" t="s">
        <v>33</v>
      </c>
      <c r="D2252" t="s">
        <v>2847</v>
      </c>
      <c r="E2252" t="s">
        <v>2893</v>
      </c>
      <c r="F2252" t="s">
        <v>87</v>
      </c>
      <c r="G2252" t="s">
        <v>3772</v>
      </c>
      <c r="H2252" t="s">
        <v>166</v>
      </c>
      <c r="I2252" t="s">
        <v>216</v>
      </c>
      <c r="J2252" t="s">
        <v>167</v>
      </c>
      <c r="K2252" t="s">
        <v>41</v>
      </c>
      <c r="L2252" t="s">
        <v>3773</v>
      </c>
      <c r="N2252" t="s">
        <v>3774</v>
      </c>
      <c r="O2252" t="s">
        <v>217</v>
      </c>
      <c r="Q2252" t="s">
        <v>1199</v>
      </c>
      <c r="R2252" t="s">
        <v>5299</v>
      </c>
      <c r="S2252" t="s">
        <v>2864</v>
      </c>
      <c r="V2252" t="s">
        <v>2855</v>
      </c>
      <c r="W2252" t="s">
        <v>2898</v>
      </c>
      <c r="AD2252" t="s">
        <v>5300</v>
      </c>
    </row>
    <row r="2253" spans="1:30" x14ac:dyDescent="0.25">
      <c r="A2253" t="s">
        <v>33</v>
      </c>
      <c r="D2253" t="s">
        <v>2847</v>
      </c>
      <c r="E2253" t="s">
        <v>2893</v>
      </c>
      <c r="F2253" t="s">
        <v>87</v>
      </c>
      <c r="G2253" t="s">
        <v>5301</v>
      </c>
      <c r="H2253" t="s">
        <v>166</v>
      </c>
      <c r="I2253" t="s">
        <v>216</v>
      </c>
      <c r="J2253" t="s">
        <v>167</v>
      </c>
      <c r="K2253" t="s">
        <v>41</v>
      </c>
      <c r="L2253" t="s">
        <v>5302</v>
      </c>
      <c r="N2253" t="s">
        <v>5303</v>
      </c>
      <c r="O2253" t="s">
        <v>217</v>
      </c>
      <c r="Q2253" t="s">
        <v>1227</v>
      </c>
      <c r="R2253" t="s">
        <v>5304</v>
      </c>
      <c r="S2253" t="s">
        <v>2864</v>
      </c>
      <c r="V2253" t="s">
        <v>2855</v>
      </c>
      <c r="W2253" t="s">
        <v>2898</v>
      </c>
      <c r="AD2253" t="s">
        <v>5305</v>
      </c>
    </row>
    <row r="2254" spans="1:30" x14ac:dyDescent="0.25">
      <c r="A2254" t="s">
        <v>33</v>
      </c>
      <c r="D2254" t="s">
        <v>2847</v>
      </c>
      <c r="E2254" t="s">
        <v>2893</v>
      </c>
      <c r="F2254" t="s">
        <v>866</v>
      </c>
      <c r="G2254" t="s">
        <v>5202</v>
      </c>
      <c r="H2254" t="s">
        <v>280</v>
      </c>
      <c r="I2254" t="s">
        <v>3311</v>
      </c>
      <c r="J2254" t="s">
        <v>282</v>
      </c>
      <c r="K2254" t="s">
        <v>283</v>
      </c>
      <c r="L2254" t="s">
        <v>5203</v>
      </c>
      <c r="N2254" t="s">
        <v>5204</v>
      </c>
      <c r="O2254" t="s">
        <v>3312</v>
      </c>
      <c r="Q2254" t="s">
        <v>3313</v>
      </c>
      <c r="R2254" t="s">
        <v>5306</v>
      </c>
      <c r="S2254" t="s">
        <v>2864</v>
      </c>
      <c r="V2254" t="s">
        <v>2855</v>
      </c>
      <c r="W2254" t="s">
        <v>2898</v>
      </c>
      <c r="AD2254" t="s">
        <v>5307</v>
      </c>
    </row>
    <row r="2255" spans="1:30" x14ac:dyDescent="0.25">
      <c r="A2255" t="s">
        <v>33</v>
      </c>
      <c r="D2255" t="s">
        <v>2847</v>
      </c>
      <c r="E2255" t="s">
        <v>2893</v>
      </c>
      <c r="F2255" t="s">
        <v>866</v>
      </c>
      <c r="G2255" t="s">
        <v>5308</v>
      </c>
      <c r="H2255" t="s">
        <v>280</v>
      </c>
      <c r="I2255" t="s">
        <v>1263</v>
      </c>
      <c r="J2255" t="s">
        <v>282</v>
      </c>
      <c r="K2255" t="s">
        <v>283</v>
      </c>
      <c r="L2255" t="s">
        <v>5309</v>
      </c>
      <c r="N2255" t="s">
        <v>5310</v>
      </c>
      <c r="O2255" t="s">
        <v>1264</v>
      </c>
      <c r="Q2255" t="s">
        <v>5311</v>
      </c>
      <c r="R2255" t="s">
        <v>5312</v>
      </c>
      <c r="S2255" t="s">
        <v>2864</v>
      </c>
      <c r="V2255" t="s">
        <v>2855</v>
      </c>
      <c r="W2255" t="s">
        <v>2898</v>
      </c>
      <c r="AD2255" t="s">
        <v>5313</v>
      </c>
    </row>
    <row r="2256" spans="1:30" x14ac:dyDescent="0.25">
      <c r="A2256" t="s">
        <v>33</v>
      </c>
      <c r="D2256" t="s">
        <v>2847</v>
      </c>
      <c r="E2256" t="s">
        <v>2893</v>
      </c>
      <c r="F2256" t="s">
        <v>866</v>
      </c>
      <c r="G2256" t="s">
        <v>5308</v>
      </c>
      <c r="H2256" t="s">
        <v>143</v>
      </c>
      <c r="I2256" t="s">
        <v>1285</v>
      </c>
      <c r="J2256" t="s">
        <v>145</v>
      </c>
      <c r="K2256" t="s">
        <v>146</v>
      </c>
      <c r="L2256" t="s">
        <v>5309</v>
      </c>
      <c r="M2256" t="s">
        <v>3327</v>
      </c>
      <c r="N2256" t="s">
        <v>5310</v>
      </c>
      <c r="O2256" t="s">
        <v>1286</v>
      </c>
      <c r="R2256" t="s">
        <v>5314</v>
      </c>
      <c r="S2256" t="s">
        <v>2864</v>
      </c>
      <c r="V2256" t="s">
        <v>2855</v>
      </c>
      <c r="W2256" t="s">
        <v>2898</v>
      </c>
      <c r="X2256" t="s">
        <v>1193</v>
      </c>
      <c r="AD2256" t="s">
        <v>5315</v>
      </c>
    </row>
    <row r="2257" spans="1:30" x14ac:dyDescent="0.25">
      <c r="A2257" t="s">
        <v>33</v>
      </c>
      <c r="D2257" t="s">
        <v>2847</v>
      </c>
      <c r="E2257" t="s">
        <v>2893</v>
      </c>
      <c r="F2257" t="s">
        <v>866</v>
      </c>
      <c r="G2257" t="s">
        <v>5308</v>
      </c>
      <c r="H2257" t="s">
        <v>143</v>
      </c>
      <c r="I2257" t="s">
        <v>1289</v>
      </c>
      <c r="J2257" t="s">
        <v>145</v>
      </c>
      <c r="K2257" t="s">
        <v>146</v>
      </c>
      <c r="L2257" t="s">
        <v>5309</v>
      </c>
      <c r="M2257" t="s">
        <v>3327</v>
      </c>
      <c r="N2257" t="s">
        <v>5310</v>
      </c>
      <c r="O2257" t="s">
        <v>1290</v>
      </c>
      <c r="R2257" t="s">
        <v>5316</v>
      </c>
      <c r="S2257" t="s">
        <v>2864</v>
      </c>
      <c r="V2257" t="s">
        <v>2855</v>
      </c>
      <c r="W2257" t="s">
        <v>2898</v>
      </c>
      <c r="X2257" t="s">
        <v>1193</v>
      </c>
      <c r="AD2257" t="s">
        <v>5317</v>
      </c>
    </row>
    <row r="2258" spans="1:30" x14ac:dyDescent="0.25">
      <c r="A2258" t="s">
        <v>33</v>
      </c>
      <c r="D2258" t="s">
        <v>2847</v>
      </c>
      <c r="E2258" t="s">
        <v>2893</v>
      </c>
      <c r="F2258" t="s">
        <v>866</v>
      </c>
      <c r="G2258" t="s">
        <v>5235</v>
      </c>
      <c r="H2258" t="s">
        <v>166</v>
      </c>
      <c r="I2258" t="s">
        <v>1105</v>
      </c>
      <c r="J2258" t="s">
        <v>167</v>
      </c>
      <c r="K2258" t="s">
        <v>41</v>
      </c>
      <c r="L2258" t="s">
        <v>5236</v>
      </c>
      <c r="N2258" t="s">
        <v>5204</v>
      </c>
      <c r="O2258" t="s">
        <v>1106</v>
      </c>
      <c r="Q2258" t="s">
        <v>1107</v>
      </c>
      <c r="R2258" t="s">
        <v>5318</v>
      </c>
      <c r="S2258" t="s">
        <v>2864</v>
      </c>
      <c r="V2258" t="s">
        <v>2855</v>
      </c>
      <c r="W2258" t="s">
        <v>2898</v>
      </c>
      <c r="AD2258" t="s">
        <v>5234</v>
      </c>
    </row>
    <row r="2259" spans="1:30" x14ac:dyDescent="0.25">
      <c r="A2259" t="s">
        <v>33</v>
      </c>
      <c r="B2259" t="s">
        <v>2319</v>
      </c>
      <c r="D2259" t="s">
        <v>2847</v>
      </c>
      <c r="E2259" t="s">
        <v>2893</v>
      </c>
      <c r="F2259" t="s">
        <v>866</v>
      </c>
      <c r="G2259" t="s">
        <v>5319</v>
      </c>
      <c r="H2259" t="s">
        <v>166</v>
      </c>
      <c r="I2259" t="s">
        <v>1263</v>
      </c>
      <c r="J2259" t="s">
        <v>167</v>
      </c>
      <c r="K2259" t="s">
        <v>41</v>
      </c>
      <c r="L2259" t="s">
        <v>5320</v>
      </c>
      <c r="N2259" t="s">
        <v>5321</v>
      </c>
      <c r="O2259" t="s">
        <v>1264</v>
      </c>
      <c r="Q2259" t="s">
        <v>2541</v>
      </c>
      <c r="R2259" t="s">
        <v>1959</v>
      </c>
      <c r="S2259" t="s">
        <v>2864</v>
      </c>
      <c r="V2259" t="s">
        <v>2855</v>
      </c>
      <c r="W2259" t="s">
        <v>2865</v>
      </c>
      <c r="AD2259" t="s">
        <v>5322</v>
      </c>
    </row>
    <row r="2260" spans="1:30" x14ac:dyDescent="0.25">
      <c r="A2260" t="s">
        <v>33</v>
      </c>
      <c r="D2260" t="s">
        <v>2847</v>
      </c>
      <c r="E2260" t="s">
        <v>2893</v>
      </c>
      <c r="F2260" t="s">
        <v>866</v>
      </c>
      <c r="G2260" t="s">
        <v>5235</v>
      </c>
      <c r="H2260" t="s">
        <v>166</v>
      </c>
      <c r="I2260" t="s">
        <v>80</v>
      </c>
      <c r="J2260" t="s">
        <v>167</v>
      </c>
      <c r="K2260" t="s">
        <v>41</v>
      </c>
      <c r="L2260" t="s">
        <v>5236</v>
      </c>
      <c r="N2260" t="s">
        <v>5204</v>
      </c>
      <c r="O2260" t="s">
        <v>862</v>
      </c>
      <c r="Q2260" t="s">
        <v>863</v>
      </c>
      <c r="R2260" t="s">
        <v>5323</v>
      </c>
      <c r="S2260" t="s">
        <v>2864</v>
      </c>
      <c r="V2260" t="s">
        <v>2855</v>
      </c>
      <c r="W2260" t="s">
        <v>2898</v>
      </c>
      <c r="AD2260" t="s">
        <v>5238</v>
      </c>
    </row>
    <row r="2261" spans="1:30" x14ac:dyDescent="0.25">
      <c r="A2261" t="s">
        <v>33</v>
      </c>
      <c r="D2261" t="s">
        <v>2847</v>
      </c>
      <c r="E2261" t="s">
        <v>2893</v>
      </c>
      <c r="F2261" t="s">
        <v>866</v>
      </c>
      <c r="G2261" t="s">
        <v>5235</v>
      </c>
      <c r="H2261" t="s">
        <v>166</v>
      </c>
      <c r="I2261" t="s">
        <v>216</v>
      </c>
      <c r="J2261" t="s">
        <v>167</v>
      </c>
      <c r="K2261" t="s">
        <v>41</v>
      </c>
      <c r="L2261" t="s">
        <v>5236</v>
      </c>
      <c r="N2261" t="s">
        <v>5204</v>
      </c>
      <c r="O2261" t="s">
        <v>872</v>
      </c>
      <c r="Q2261" t="s">
        <v>1275</v>
      </c>
      <c r="R2261" t="s">
        <v>5324</v>
      </c>
      <c r="S2261" t="s">
        <v>2864</v>
      </c>
      <c r="V2261" t="s">
        <v>2855</v>
      </c>
      <c r="W2261" t="s">
        <v>2898</v>
      </c>
      <c r="AD2261" t="s">
        <v>5240</v>
      </c>
    </row>
    <row r="2262" spans="1:30" x14ac:dyDescent="0.25">
      <c r="A2262" t="s">
        <v>947</v>
      </c>
      <c r="B2262" t="s">
        <v>2843</v>
      </c>
      <c r="C2262" t="s">
        <v>949</v>
      </c>
      <c r="D2262" t="s">
        <v>2847</v>
      </c>
      <c r="E2262" t="s">
        <v>2869</v>
      </c>
      <c r="F2262" t="s">
        <v>87</v>
      </c>
      <c r="G2262" t="s">
        <v>2983</v>
      </c>
      <c r="H2262" t="s">
        <v>166</v>
      </c>
      <c r="I2262" t="s">
        <v>216</v>
      </c>
      <c r="J2262" t="s">
        <v>167</v>
      </c>
      <c r="K2262" t="s">
        <v>41</v>
      </c>
      <c r="L2262" t="s">
        <v>2984</v>
      </c>
      <c r="N2262" t="s">
        <v>2985</v>
      </c>
      <c r="O2262" t="s">
        <v>217</v>
      </c>
      <c r="Q2262" t="s">
        <v>5325</v>
      </c>
      <c r="R2262" t="s">
        <v>5326</v>
      </c>
      <c r="S2262" t="s">
        <v>2864</v>
      </c>
      <c r="V2262" t="s">
        <v>2855</v>
      </c>
      <c r="W2262" t="s">
        <v>2865</v>
      </c>
      <c r="AD2262" t="s">
        <v>5327</v>
      </c>
    </row>
    <row r="2263" spans="1:30" x14ac:dyDescent="0.25">
      <c r="A2263" t="s">
        <v>33</v>
      </c>
      <c r="D2263" t="s">
        <v>2847</v>
      </c>
      <c r="E2263" t="s">
        <v>2848</v>
      </c>
      <c r="F2263" t="s">
        <v>87</v>
      </c>
      <c r="G2263" t="s">
        <v>4672</v>
      </c>
      <c r="H2263" t="s">
        <v>143</v>
      </c>
      <c r="I2263" t="s">
        <v>144</v>
      </c>
      <c r="J2263" t="s">
        <v>145</v>
      </c>
      <c r="K2263" t="s">
        <v>262</v>
      </c>
      <c r="L2263" t="s">
        <v>4673</v>
      </c>
      <c r="M2263" t="s">
        <v>493</v>
      </c>
      <c r="N2263" t="s">
        <v>4674</v>
      </c>
      <c r="O2263" t="s">
        <v>147</v>
      </c>
      <c r="R2263" t="s">
        <v>5328</v>
      </c>
      <c r="S2263" t="s">
        <v>2854</v>
      </c>
      <c r="V2263" t="s">
        <v>2855</v>
      </c>
      <c r="W2263" t="s">
        <v>2856</v>
      </c>
      <c r="AD2263" t="s">
        <v>4680</v>
      </c>
    </row>
    <row r="2264" spans="1:30" x14ac:dyDescent="0.25">
      <c r="A2264" t="s">
        <v>33</v>
      </c>
      <c r="D2264" t="s">
        <v>2847</v>
      </c>
      <c r="E2264" t="s">
        <v>2859</v>
      </c>
      <c r="F2264" t="s">
        <v>36</v>
      </c>
      <c r="G2264" t="s">
        <v>2921</v>
      </c>
      <c r="H2264" t="s">
        <v>38</v>
      </c>
      <c r="I2264" t="s">
        <v>5329</v>
      </c>
      <c r="J2264" t="s">
        <v>69</v>
      </c>
      <c r="K2264" t="s">
        <v>41</v>
      </c>
      <c r="L2264" t="s">
        <v>2922</v>
      </c>
      <c r="M2264" t="s">
        <v>960</v>
      </c>
      <c r="N2264" t="s">
        <v>2923</v>
      </c>
      <c r="O2264" t="s">
        <v>5330</v>
      </c>
      <c r="R2264" t="s">
        <v>5331</v>
      </c>
      <c r="S2264" t="s">
        <v>2864</v>
      </c>
      <c r="V2264" t="s">
        <v>2855</v>
      </c>
      <c r="W2264" t="s">
        <v>2865</v>
      </c>
      <c r="X2264" t="s">
        <v>963</v>
      </c>
      <c r="AD2264" t="s">
        <v>5332</v>
      </c>
    </row>
    <row r="2265" spans="1:30" x14ac:dyDescent="0.25">
      <c r="A2265" t="s">
        <v>33</v>
      </c>
      <c r="D2265" t="s">
        <v>2847</v>
      </c>
      <c r="E2265" t="s">
        <v>2859</v>
      </c>
      <c r="F2265" t="s">
        <v>36</v>
      </c>
      <c r="G2265" t="s">
        <v>2921</v>
      </c>
      <c r="H2265" t="s">
        <v>38</v>
      </c>
      <c r="I2265" t="s">
        <v>5333</v>
      </c>
      <c r="J2265" t="s">
        <v>69</v>
      </c>
      <c r="K2265" t="s">
        <v>41</v>
      </c>
      <c r="L2265" t="s">
        <v>2922</v>
      </c>
      <c r="M2265" t="s">
        <v>960</v>
      </c>
      <c r="N2265" t="s">
        <v>2923</v>
      </c>
      <c r="O2265" t="s">
        <v>5334</v>
      </c>
      <c r="R2265" t="s">
        <v>5335</v>
      </c>
      <c r="S2265" t="s">
        <v>2864</v>
      </c>
      <c r="V2265" t="s">
        <v>2855</v>
      </c>
      <c r="W2265" t="s">
        <v>2865</v>
      </c>
      <c r="X2265" t="s">
        <v>963</v>
      </c>
      <c r="AD2265" t="s">
        <v>5336</v>
      </c>
    </row>
    <row r="2266" spans="1:30" x14ac:dyDescent="0.25">
      <c r="A2266" t="s">
        <v>33</v>
      </c>
      <c r="D2266" t="s">
        <v>2847</v>
      </c>
      <c r="E2266" t="s">
        <v>2893</v>
      </c>
      <c r="F2266" t="s">
        <v>78</v>
      </c>
      <c r="G2266" t="s">
        <v>5337</v>
      </c>
      <c r="H2266" t="s">
        <v>143</v>
      </c>
      <c r="I2266" t="s">
        <v>295</v>
      </c>
      <c r="J2266" t="s">
        <v>145</v>
      </c>
      <c r="K2266" t="s">
        <v>146</v>
      </c>
      <c r="L2266" t="s">
        <v>5338</v>
      </c>
      <c r="M2266" t="s">
        <v>82</v>
      </c>
      <c r="N2266" t="s">
        <v>5339</v>
      </c>
      <c r="O2266" t="s">
        <v>296</v>
      </c>
      <c r="R2266" t="s">
        <v>5340</v>
      </c>
      <c r="S2266" t="s">
        <v>2864</v>
      </c>
      <c r="V2266" t="s">
        <v>2855</v>
      </c>
      <c r="W2266" t="s">
        <v>2865</v>
      </c>
      <c r="AD2266" t="s">
        <v>5341</v>
      </c>
    </row>
    <row r="2267" spans="1:30" x14ac:dyDescent="0.25">
      <c r="A2267" t="s">
        <v>33</v>
      </c>
      <c r="D2267" t="s">
        <v>2847</v>
      </c>
      <c r="E2267" t="s">
        <v>2893</v>
      </c>
      <c r="F2267" t="s">
        <v>78</v>
      </c>
      <c r="G2267" t="s">
        <v>5337</v>
      </c>
      <c r="H2267" t="s">
        <v>166</v>
      </c>
      <c r="I2267" t="s">
        <v>288</v>
      </c>
      <c r="J2267" t="s">
        <v>167</v>
      </c>
      <c r="K2267" t="s">
        <v>41</v>
      </c>
      <c r="L2267" t="s">
        <v>5338</v>
      </c>
      <c r="N2267" t="s">
        <v>5339</v>
      </c>
      <c r="O2267" t="s">
        <v>289</v>
      </c>
      <c r="Q2267" t="s">
        <v>285</v>
      </c>
      <c r="R2267" t="s">
        <v>5342</v>
      </c>
      <c r="S2267" t="s">
        <v>2864</v>
      </c>
      <c r="V2267" t="s">
        <v>2855</v>
      </c>
      <c r="W2267" t="s">
        <v>2865</v>
      </c>
      <c r="AD2267" t="s">
        <v>5343</v>
      </c>
    </row>
    <row r="2268" spans="1:30" x14ac:dyDescent="0.25">
      <c r="A2268" t="s">
        <v>33</v>
      </c>
      <c r="D2268" t="s">
        <v>2847</v>
      </c>
      <c r="E2268" t="s">
        <v>2893</v>
      </c>
      <c r="F2268" t="s">
        <v>78</v>
      </c>
      <c r="G2268" t="s">
        <v>5337</v>
      </c>
      <c r="H2268" t="s">
        <v>143</v>
      </c>
      <c r="I2268" t="s">
        <v>276</v>
      </c>
      <c r="J2268" t="s">
        <v>145</v>
      </c>
      <c r="K2268" t="s">
        <v>146</v>
      </c>
      <c r="L2268" t="s">
        <v>5338</v>
      </c>
      <c r="N2268" t="s">
        <v>5339</v>
      </c>
      <c r="O2268" t="s">
        <v>277</v>
      </c>
      <c r="R2268" t="s">
        <v>5344</v>
      </c>
      <c r="S2268" t="s">
        <v>2864</v>
      </c>
      <c r="V2268" t="s">
        <v>2855</v>
      </c>
      <c r="W2268" t="s">
        <v>2865</v>
      </c>
      <c r="X2268" t="s">
        <v>270</v>
      </c>
      <c r="AD2268" t="s">
        <v>5345</v>
      </c>
    </row>
    <row r="2269" spans="1:30" x14ac:dyDescent="0.25">
      <c r="A2269" t="s">
        <v>33</v>
      </c>
      <c r="D2269" t="s">
        <v>2847</v>
      </c>
      <c r="E2269" t="s">
        <v>2893</v>
      </c>
      <c r="F2269" t="s">
        <v>78</v>
      </c>
      <c r="G2269" t="s">
        <v>5337</v>
      </c>
      <c r="H2269" t="s">
        <v>143</v>
      </c>
      <c r="I2269" t="s">
        <v>272</v>
      </c>
      <c r="J2269" t="s">
        <v>145</v>
      </c>
      <c r="K2269" t="s">
        <v>146</v>
      </c>
      <c r="L2269" t="s">
        <v>5338</v>
      </c>
      <c r="N2269" t="s">
        <v>5339</v>
      </c>
      <c r="O2269" t="s">
        <v>273</v>
      </c>
      <c r="R2269" t="s">
        <v>5346</v>
      </c>
      <c r="S2269" t="s">
        <v>2864</v>
      </c>
      <c r="V2269" t="s">
        <v>2855</v>
      </c>
      <c r="W2269" t="s">
        <v>2865</v>
      </c>
      <c r="X2269" t="s">
        <v>270</v>
      </c>
      <c r="AD2269" t="s">
        <v>5347</v>
      </c>
    </row>
    <row r="2270" spans="1:30" x14ac:dyDescent="0.25">
      <c r="A2270" t="s">
        <v>33</v>
      </c>
      <c r="D2270" t="s">
        <v>2847</v>
      </c>
      <c r="E2270" t="s">
        <v>2893</v>
      </c>
      <c r="F2270" t="s">
        <v>78</v>
      </c>
      <c r="G2270" t="s">
        <v>5337</v>
      </c>
      <c r="H2270" t="s">
        <v>143</v>
      </c>
      <c r="I2270" t="s">
        <v>267</v>
      </c>
      <c r="J2270" t="s">
        <v>145</v>
      </c>
      <c r="K2270" t="s">
        <v>146</v>
      </c>
      <c r="L2270" t="s">
        <v>5338</v>
      </c>
      <c r="N2270" t="s">
        <v>5339</v>
      </c>
      <c r="O2270" t="s">
        <v>268</v>
      </c>
      <c r="R2270" t="s">
        <v>5348</v>
      </c>
      <c r="S2270" t="s">
        <v>2864</v>
      </c>
      <c r="V2270" t="s">
        <v>2855</v>
      </c>
      <c r="W2270" t="s">
        <v>2865</v>
      </c>
      <c r="X2270" t="s">
        <v>270</v>
      </c>
      <c r="AD2270" t="s">
        <v>5349</v>
      </c>
    </row>
    <row r="2271" spans="1:30" x14ac:dyDescent="0.25">
      <c r="A2271" t="s">
        <v>33</v>
      </c>
      <c r="D2271" t="s">
        <v>2847</v>
      </c>
      <c r="E2271" t="s">
        <v>2893</v>
      </c>
      <c r="F2271" t="s">
        <v>78</v>
      </c>
      <c r="G2271" t="s">
        <v>5337</v>
      </c>
      <c r="H2271" t="s">
        <v>143</v>
      </c>
      <c r="I2271" t="s">
        <v>295</v>
      </c>
      <c r="J2271" t="s">
        <v>145</v>
      </c>
      <c r="K2271" t="s">
        <v>262</v>
      </c>
      <c r="L2271" t="s">
        <v>5338</v>
      </c>
      <c r="M2271" t="s">
        <v>82</v>
      </c>
      <c r="N2271" t="s">
        <v>5339</v>
      </c>
      <c r="O2271" t="s">
        <v>296</v>
      </c>
      <c r="R2271" t="s">
        <v>5350</v>
      </c>
      <c r="S2271" t="s">
        <v>2864</v>
      </c>
      <c r="V2271" t="s">
        <v>2855</v>
      </c>
      <c r="W2271" t="s">
        <v>2865</v>
      </c>
      <c r="AD2271" t="s">
        <v>5341</v>
      </c>
    </row>
    <row r="2272" spans="1:30" x14ac:dyDescent="0.25">
      <c r="A2272" t="s">
        <v>33</v>
      </c>
      <c r="D2272" t="s">
        <v>2847</v>
      </c>
      <c r="E2272" t="s">
        <v>2893</v>
      </c>
      <c r="F2272" t="s">
        <v>78</v>
      </c>
      <c r="G2272" t="s">
        <v>5337</v>
      </c>
      <c r="H2272" t="s">
        <v>143</v>
      </c>
      <c r="I2272" t="s">
        <v>299</v>
      </c>
      <c r="J2272" t="s">
        <v>145</v>
      </c>
      <c r="K2272" t="s">
        <v>146</v>
      </c>
      <c r="L2272" t="s">
        <v>5338</v>
      </c>
      <c r="M2272" t="s">
        <v>82</v>
      </c>
      <c r="N2272" t="s">
        <v>5339</v>
      </c>
      <c r="O2272" t="s">
        <v>300</v>
      </c>
      <c r="R2272" t="s">
        <v>5351</v>
      </c>
      <c r="S2272" t="s">
        <v>2864</v>
      </c>
      <c r="V2272" t="s">
        <v>2855</v>
      </c>
      <c r="W2272" t="s">
        <v>2865</v>
      </c>
      <c r="AD2272" t="s">
        <v>5352</v>
      </c>
    </row>
    <row r="2273" spans="1:32" x14ac:dyDescent="0.25">
      <c r="A2273" t="s">
        <v>33</v>
      </c>
      <c r="D2273" t="s">
        <v>2847</v>
      </c>
      <c r="E2273" t="s">
        <v>2893</v>
      </c>
      <c r="F2273" t="s">
        <v>78</v>
      </c>
      <c r="G2273" t="s">
        <v>5337</v>
      </c>
      <c r="H2273" t="s">
        <v>38</v>
      </c>
      <c r="I2273" t="s">
        <v>257</v>
      </c>
      <c r="J2273" t="s">
        <v>40</v>
      </c>
      <c r="K2273" t="s">
        <v>41</v>
      </c>
      <c r="L2273" t="s">
        <v>5338</v>
      </c>
      <c r="M2273" t="s">
        <v>82</v>
      </c>
      <c r="N2273" t="s">
        <v>5339</v>
      </c>
      <c r="O2273" t="s">
        <v>258</v>
      </c>
      <c r="R2273" t="s">
        <v>5353</v>
      </c>
      <c r="S2273" t="s">
        <v>2864</v>
      </c>
      <c r="V2273" t="s">
        <v>2855</v>
      </c>
      <c r="W2273" t="s">
        <v>2865</v>
      </c>
      <c r="AD2273" t="s">
        <v>5354</v>
      </c>
    </row>
    <row r="2274" spans="1:32" x14ac:dyDescent="0.25">
      <c r="A2274" t="s">
        <v>33</v>
      </c>
      <c r="D2274" t="s">
        <v>2847</v>
      </c>
      <c r="E2274" t="s">
        <v>2893</v>
      </c>
      <c r="F2274" t="s">
        <v>78</v>
      </c>
      <c r="G2274" t="s">
        <v>5337</v>
      </c>
      <c r="H2274" t="s">
        <v>38</v>
      </c>
      <c r="I2274" t="s">
        <v>250</v>
      </c>
      <c r="J2274" t="s">
        <v>40</v>
      </c>
      <c r="K2274" t="s">
        <v>41</v>
      </c>
      <c r="L2274" t="s">
        <v>5338</v>
      </c>
      <c r="M2274" t="s">
        <v>3327</v>
      </c>
      <c r="N2274" t="s">
        <v>5339</v>
      </c>
      <c r="O2274" t="s">
        <v>254</v>
      </c>
      <c r="R2274" t="s">
        <v>5355</v>
      </c>
      <c r="S2274" t="s">
        <v>2864</v>
      </c>
      <c r="V2274" t="s">
        <v>2855</v>
      </c>
      <c r="W2274" t="s">
        <v>2865</v>
      </c>
      <c r="X2274" t="s">
        <v>1193</v>
      </c>
      <c r="AD2274" t="s">
        <v>5356</v>
      </c>
    </row>
    <row r="2275" spans="1:32" x14ac:dyDescent="0.25">
      <c r="A2275" t="s">
        <v>33</v>
      </c>
      <c r="D2275" t="s">
        <v>2847</v>
      </c>
      <c r="E2275" t="s">
        <v>2893</v>
      </c>
      <c r="F2275" t="s">
        <v>78</v>
      </c>
      <c r="G2275" t="s">
        <v>5337</v>
      </c>
      <c r="H2275" t="s">
        <v>143</v>
      </c>
      <c r="I2275" t="s">
        <v>257</v>
      </c>
      <c r="J2275" t="s">
        <v>145</v>
      </c>
      <c r="K2275" t="s">
        <v>146</v>
      </c>
      <c r="L2275" t="s">
        <v>5338</v>
      </c>
      <c r="M2275" t="s">
        <v>82</v>
      </c>
      <c r="N2275" t="s">
        <v>5339</v>
      </c>
      <c r="O2275" t="s">
        <v>292</v>
      </c>
      <c r="R2275" t="s">
        <v>5357</v>
      </c>
      <c r="S2275" t="s">
        <v>2864</v>
      </c>
      <c r="V2275" t="s">
        <v>2855</v>
      </c>
      <c r="W2275" t="s">
        <v>2865</v>
      </c>
      <c r="AD2275" t="s">
        <v>5358</v>
      </c>
    </row>
    <row r="2276" spans="1:32" x14ac:dyDescent="0.25">
      <c r="A2276" t="s">
        <v>33</v>
      </c>
      <c r="D2276" t="s">
        <v>2847</v>
      </c>
      <c r="E2276" t="s">
        <v>2848</v>
      </c>
      <c r="F2276" t="s">
        <v>87</v>
      </c>
      <c r="G2276" t="s">
        <v>4672</v>
      </c>
      <c r="H2276" t="s">
        <v>153</v>
      </c>
      <c r="I2276" t="s">
        <v>90</v>
      </c>
      <c r="J2276" t="s">
        <v>154</v>
      </c>
      <c r="K2276" t="s">
        <v>155</v>
      </c>
      <c r="L2276" t="s">
        <v>4673</v>
      </c>
      <c r="N2276" t="s">
        <v>4674</v>
      </c>
      <c r="O2276" t="s">
        <v>386</v>
      </c>
      <c r="R2276" t="s">
        <v>5359</v>
      </c>
      <c r="S2276" t="s">
        <v>2854</v>
      </c>
      <c r="V2276" t="s">
        <v>2855</v>
      </c>
      <c r="W2276" t="s">
        <v>2856</v>
      </c>
      <c r="AC2276" t="s">
        <v>5360</v>
      </c>
      <c r="AD2276" t="s">
        <v>5361</v>
      </c>
      <c r="AE2276" t="s">
        <v>3034</v>
      </c>
      <c r="AF2276">
        <v>7</v>
      </c>
    </row>
    <row r="2277" spans="1:32" x14ac:dyDescent="0.25">
      <c r="A2277" t="s">
        <v>33</v>
      </c>
      <c r="D2277" t="s">
        <v>2847</v>
      </c>
      <c r="E2277" t="s">
        <v>2893</v>
      </c>
      <c r="F2277" t="s">
        <v>866</v>
      </c>
      <c r="G2277" t="s">
        <v>5235</v>
      </c>
      <c r="H2277" t="s">
        <v>166</v>
      </c>
      <c r="I2277" t="s">
        <v>281</v>
      </c>
      <c r="J2277" t="s">
        <v>167</v>
      </c>
      <c r="K2277" t="s">
        <v>41</v>
      </c>
      <c r="L2277" t="s">
        <v>5236</v>
      </c>
      <c r="N2277" t="s">
        <v>5204</v>
      </c>
      <c r="O2277" t="s">
        <v>858</v>
      </c>
      <c r="Q2277" t="s">
        <v>2536</v>
      </c>
      <c r="R2277" t="s">
        <v>5362</v>
      </c>
      <c r="S2277" t="s">
        <v>2864</v>
      </c>
      <c r="V2277" t="s">
        <v>2855</v>
      </c>
      <c r="W2277" t="s">
        <v>2898</v>
      </c>
      <c r="AD2277" t="s">
        <v>5242</v>
      </c>
    </row>
    <row r="2278" spans="1:32" x14ac:dyDescent="0.25">
      <c r="A2278" t="s">
        <v>33</v>
      </c>
      <c r="D2278" t="s">
        <v>2847</v>
      </c>
      <c r="E2278" t="s">
        <v>2893</v>
      </c>
      <c r="F2278" t="s">
        <v>866</v>
      </c>
      <c r="G2278" t="s">
        <v>5235</v>
      </c>
      <c r="H2278" t="s">
        <v>153</v>
      </c>
      <c r="I2278" t="s">
        <v>598</v>
      </c>
      <c r="J2278" t="s">
        <v>154</v>
      </c>
      <c r="K2278" t="s">
        <v>155</v>
      </c>
      <c r="L2278" t="s">
        <v>5236</v>
      </c>
      <c r="N2278" t="s">
        <v>5204</v>
      </c>
      <c r="O2278" t="s">
        <v>599</v>
      </c>
      <c r="R2278" t="s">
        <v>5363</v>
      </c>
      <c r="S2278" t="s">
        <v>2864</v>
      </c>
      <c r="V2278" t="s">
        <v>2855</v>
      </c>
      <c r="W2278" t="s">
        <v>2898</v>
      </c>
      <c r="AD2278" t="s">
        <v>5244</v>
      </c>
    </row>
    <row r="2279" spans="1:32" x14ac:dyDescent="0.25">
      <c r="A2279" t="s">
        <v>33</v>
      </c>
      <c r="D2279" t="s">
        <v>2847</v>
      </c>
      <c r="E2279" t="s">
        <v>2893</v>
      </c>
      <c r="F2279" t="s">
        <v>866</v>
      </c>
      <c r="G2279" t="s">
        <v>5235</v>
      </c>
      <c r="H2279" t="s">
        <v>280</v>
      </c>
      <c r="I2279" t="s">
        <v>3311</v>
      </c>
      <c r="J2279" t="s">
        <v>282</v>
      </c>
      <c r="K2279" t="s">
        <v>283</v>
      </c>
      <c r="L2279" t="s">
        <v>5236</v>
      </c>
      <c r="N2279" t="s">
        <v>5204</v>
      </c>
      <c r="O2279" t="s">
        <v>3312</v>
      </c>
      <c r="Q2279" t="s">
        <v>3313</v>
      </c>
      <c r="R2279" t="s">
        <v>5364</v>
      </c>
      <c r="S2279" t="s">
        <v>2864</v>
      </c>
      <c r="V2279" t="s">
        <v>2855</v>
      </c>
      <c r="W2279" t="s">
        <v>2898</v>
      </c>
      <c r="AD2279" t="s">
        <v>5307</v>
      </c>
    </row>
    <row r="2280" spans="1:32" x14ac:dyDescent="0.25">
      <c r="A2280" t="s">
        <v>33</v>
      </c>
      <c r="D2280" t="s">
        <v>2847</v>
      </c>
      <c r="E2280" t="s">
        <v>2893</v>
      </c>
      <c r="F2280" t="s">
        <v>78</v>
      </c>
      <c r="G2280" t="s">
        <v>5337</v>
      </c>
      <c r="H2280" t="s">
        <v>143</v>
      </c>
      <c r="I2280" t="s">
        <v>261</v>
      </c>
      <c r="J2280" t="s">
        <v>145</v>
      </c>
      <c r="K2280" t="s">
        <v>262</v>
      </c>
      <c r="L2280" t="s">
        <v>5338</v>
      </c>
      <c r="M2280" t="s">
        <v>3327</v>
      </c>
      <c r="N2280" t="s">
        <v>5339</v>
      </c>
      <c r="O2280" t="s">
        <v>263</v>
      </c>
      <c r="R2280" t="s">
        <v>5365</v>
      </c>
      <c r="S2280" t="s">
        <v>2864</v>
      </c>
      <c r="V2280" t="s">
        <v>2855</v>
      </c>
      <c r="W2280" t="s">
        <v>2865</v>
      </c>
      <c r="X2280" t="s">
        <v>1193</v>
      </c>
      <c r="AD2280" t="s">
        <v>5366</v>
      </c>
    </row>
    <row r="2281" spans="1:32" x14ac:dyDescent="0.25">
      <c r="A2281" t="s">
        <v>33</v>
      </c>
      <c r="D2281" t="s">
        <v>2847</v>
      </c>
      <c r="E2281" t="s">
        <v>2893</v>
      </c>
      <c r="F2281" t="s">
        <v>78</v>
      </c>
      <c r="G2281" t="s">
        <v>5337</v>
      </c>
      <c r="H2281" t="s">
        <v>280</v>
      </c>
      <c r="I2281" t="s">
        <v>281</v>
      </c>
      <c r="J2281" t="s">
        <v>282</v>
      </c>
      <c r="K2281" t="s">
        <v>283</v>
      </c>
      <c r="L2281" t="s">
        <v>5338</v>
      </c>
      <c r="N2281" t="s">
        <v>5339</v>
      </c>
      <c r="O2281" t="s">
        <v>284</v>
      </c>
      <c r="Q2281" t="s">
        <v>285</v>
      </c>
      <c r="R2281" t="s">
        <v>5367</v>
      </c>
      <c r="S2281" t="s">
        <v>2864</v>
      </c>
      <c r="V2281" t="s">
        <v>2855</v>
      </c>
      <c r="W2281" t="s">
        <v>2865</v>
      </c>
      <c r="AD2281" t="s">
        <v>5368</v>
      </c>
    </row>
    <row r="2282" spans="1:32" x14ac:dyDescent="0.25">
      <c r="A2282" t="s">
        <v>33</v>
      </c>
      <c r="D2282" t="s">
        <v>2847</v>
      </c>
      <c r="E2282" t="s">
        <v>2893</v>
      </c>
      <c r="F2282" t="s">
        <v>866</v>
      </c>
      <c r="G2282" t="s">
        <v>5319</v>
      </c>
      <c r="H2282" t="s">
        <v>166</v>
      </c>
      <c r="I2282" t="s">
        <v>1105</v>
      </c>
      <c r="J2282" t="s">
        <v>167</v>
      </c>
      <c r="K2282" t="s">
        <v>41</v>
      </c>
      <c r="L2282" t="s">
        <v>5320</v>
      </c>
      <c r="N2282" t="s">
        <v>5321</v>
      </c>
      <c r="O2282" t="s">
        <v>1106</v>
      </c>
      <c r="Q2282" t="s">
        <v>1107</v>
      </c>
      <c r="R2282" t="s">
        <v>5369</v>
      </c>
      <c r="S2282" t="s">
        <v>2864</v>
      </c>
      <c r="V2282" t="s">
        <v>2855</v>
      </c>
      <c r="W2282" t="s">
        <v>2865</v>
      </c>
      <c r="AD2282" t="s">
        <v>5370</v>
      </c>
    </row>
    <row r="2283" spans="1:32" x14ac:dyDescent="0.25">
      <c r="A2283" t="s">
        <v>33</v>
      </c>
      <c r="D2283" t="s">
        <v>2847</v>
      </c>
      <c r="E2283" t="s">
        <v>2848</v>
      </c>
      <c r="F2283" t="s">
        <v>87</v>
      </c>
      <c r="G2283" t="s">
        <v>4672</v>
      </c>
      <c r="H2283" t="s">
        <v>89</v>
      </c>
      <c r="I2283" t="s">
        <v>90</v>
      </c>
      <c r="J2283" t="s">
        <v>91</v>
      </c>
      <c r="K2283" t="s">
        <v>92</v>
      </c>
      <c r="L2283" t="s">
        <v>4673</v>
      </c>
      <c r="M2283" t="s">
        <v>94</v>
      </c>
      <c r="N2283" t="s">
        <v>4674</v>
      </c>
      <c r="O2283" t="s">
        <v>383</v>
      </c>
      <c r="P2283">
        <v>1E-3</v>
      </c>
      <c r="R2283" t="s">
        <v>5371</v>
      </c>
      <c r="S2283" t="s">
        <v>2854</v>
      </c>
      <c r="V2283" t="s">
        <v>2855</v>
      </c>
      <c r="W2283" t="s">
        <v>2856</v>
      </c>
      <c r="AD2283" t="s">
        <v>5372</v>
      </c>
    </row>
    <row r="2284" spans="1:32" x14ac:dyDescent="0.25">
      <c r="A2284" t="s">
        <v>33</v>
      </c>
      <c r="B2284" t="s">
        <v>2319</v>
      </c>
      <c r="D2284" t="s">
        <v>2847</v>
      </c>
      <c r="E2284" t="s">
        <v>2893</v>
      </c>
      <c r="F2284" t="s">
        <v>866</v>
      </c>
      <c r="G2284" t="s">
        <v>5373</v>
      </c>
      <c r="H2284" t="s">
        <v>166</v>
      </c>
      <c r="I2284" t="s">
        <v>1263</v>
      </c>
      <c r="J2284" t="s">
        <v>167</v>
      </c>
      <c r="K2284" t="s">
        <v>41</v>
      </c>
      <c r="L2284" t="s">
        <v>5374</v>
      </c>
      <c r="N2284" t="s">
        <v>5321</v>
      </c>
      <c r="O2284" t="s">
        <v>1264</v>
      </c>
      <c r="Q2284" t="s">
        <v>2541</v>
      </c>
      <c r="R2284" t="s">
        <v>1959</v>
      </c>
      <c r="S2284" t="s">
        <v>2864</v>
      </c>
      <c r="V2284" t="s">
        <v>2855</v>
      </c>
      <c r="W2284" t="s">
        <v>2865</v>
      </c>
      <c r="AD2284" t="s">
        <v>5322</v>
      </c>
    </row>
    <row r="2285" spans="1:32" x14ac:dyDescent="0.25">
      <c r="A2285" t="s">
        <v>33</v>
      </c>
      <c r="D2285" t="s">
        <v>2847</v>
      </c>
      <c r="E2285" t="s">
        <v>2893</v>
      </c>
      <c r="F2285" t="s">
        <v>866</v>
      </c>
      <c r="G2285" t="s">
        <v>5319</v>
      </c>
      <c r="H2285" t="s">
        <v>166</v>
      </c>
      <c r="I2285" t="s">
        <v>80</v>
      </c>
      <c r="J2285" t="s">
        <v>167</v>
      </c>
      <c r="K2285" t="s">
        <v>41</v>
      </c>
      <c r="L2285" t="s">
        <v>5320</v>
      </c>
      <c r="N2285" t="s">
        <v>5321</v>
      </c>
      <c r="O2285" t="s">
        <v>862</v>
      </c>
      <c r="Q2285" t="s">
        <v>863</v>
      </c>
      <c r="R2285" t="s">
        <v>5375</v>
      </c>
      <c r="S2285" t="s">
        <v>2864</v>
      </c>
      <c r="V2285" t="s">
        <v>2855</v>
      </c>
      <c r="W2285" t="s">
        <v>2865</v>
      </c>
      <c r="AD2285" t="s">
        <v>5376</v>
      </c>
    </row>
    <row r="2286" spans="1:32" x14ac:dyDescent="0.25">
      <c r="A2286" t="s">
        <v>33</v>
      </c>
      <c r="D2286" t="s">
        <v>2847</v>
      </c>
      <c r="E2286" t="s">
        <v>2893</v>
      </c>
      <c r="F2286" t="s">
        <v>866</v>
      </c>
      <c r="G2286" t="s">
        <v>5319</v>
      </c>
      <c r="H2286" t="s">
        <v>153</v>
      </c>
      <c r="I2286" t="s">
        <v>598</v>
      </c>
      <c r="J2286" t="s">
        <v>154</v>
      </c>
      <c r="K2286" t="s">
        <v>155</v>
      </c>
      <c r="L2286" t="s">
        <v>5320</v>
      </c>
      <c r="N2286" t="s">
        <v>5321</v>
      </c>
      <c r="O2286" t="s">
        <v>599</v>
      </c>
      <c r="R2286" t="s">
        <v>5377</v>
      </c>
      <c r="S2286" t="s">
        <v>2864</v>
      </c>
      <c r="V2286" t="s">
        <v>2855</v>
      </c>
      <c r="W2286" t="s">
        <v>2865</v>
      </c>
      <c r="AD2286" t="s">
        <v>5378</v>
      </c>
      <c r="AE2286" t="s">
        <v>5115</v>
      </c>
      <c r="AF2286">
        <v>1</v>
      </c>
    </row>
    <row r="2287" spans="1:32" x14ac:dyDescent="0.25">
      <c r="A2287" t="s">
        <v>33</v>
      </c>
      <c r="D2287" t="s">
        <v>2847</v>
      </c>
      <c r="E2287" t="s">
        <v>2893</v>
      </c>
      <c r="F2287" t="s">
        <v>866</v>
      </c>
      <c r="G2287" t="s">
        <v>5319</v>
      </c>
      <c r="H2287" t="s">
        <v>166</v>
      </c>
      <c r="I2287" t="s">
        <v>216</v>
      </c>
      <c r="J2287" t="s">
        <v>167</v>
      </c>
      <c r="K2287" t="s">
        <v>41</v>
      </c>
      <c r="L2287" t="s">
        <v>5320</v>
      </c>
      <c r="N2287" t="s">
        <v>5321</v>
      </c>
      <c r="O2287" t="s">
        <v>872</v>
      </c>
      <c r="Q2287" t="s">
        <v>1275</v>
      </c>
      <c r="R2287" t="s">
        <v>5379</v>
      </c>
      <c r="S2287" t="s">
        <v>2864</v>
      </c>
      <c r="V2287" t="s">
        <v>2855</v>
      </c>
      <c r="W2287" t="s">
        <v>2865</v>
      </c>
      <c r="AD2287" t="s">
        <v>5380</v>
      </c>
    </row>
    <row r="2288" spans="1:32" x14ac:dyDescent="0.25">
      <c r="A2288" t="s">
        <v>238</v>
      </c>
      <c r="B2288" t="s">
        <v>5381</v>
      </c>
      <c r="C2288" t="s">
        <v>949</v>
      </c>
      <c r="D2288" t="s">
        <v>2847</v>
      </c>
      <c r="E2288" t="s">
        <v>2869</v>
      </c>
      <c r="F2288" t="s">
        <v>5382</v>
      </c>
      <c r="G2288" t="s">
        <v>5383</v>
      </c>
      <c r="H2288" t="s">
        <v>166</v>
      </c>
      <c r="I2288" t="s">
        <v>5384</v>
      </c>
      <c r="J2288" t="s">
        <v>167</v>
      </c>
      <c r="K2288" t="s">
        <v>41</v>
      </c>
      <c r="L2288" t="s">
        <v>5385</v>
      </c>
      <c r="N2288" t="s">
        <v>5386</v>
      </c>
      <c r="O2288" t="s">
        <v>5387</v>
      </c>
      <c r="Q2288" t="s">
        <v>5388</v>
      </c>
      <c r="R2288" t="s">
        <v>5389</v>
      </c>
      <c r="S2288" t="s">
        <v>2864</v>
      </c>
      <c r="V2288" t="s">
        <v>2855</v>
      </c>
      <c r="W2288" t="s">
        <v>2865</v>
      </c>
      <c r="AD2288" t="s">
        <v>5390</v>
      </c>
    </row>
    <row r="2289" spans="1:30" x14ac:dyDescent="0.25">
      <c r="A2289" t="s">
        <v>238</v>
      </c>
      <c r="B2289" t="s">
        <v>5381</v>
      </c>
      <c r="C2289" t="s">
        <v>949</v>
      </c>
      <c r="D2289" t="s">
        <v>2847</v>
      </c>
      <c r="E2289" t="s">
        <v>2869</v>
      </c>
      <c r="F2289" t="s">
        <v>5382</v>
      </c>
      <c r="G2289" t="s">
        <v>5383</v>
      </c>
      <c r="H2289" t="s">
        <v>166</v>
      </c>
      <c r="I2289" t="s">
        <v>5391</v>
      </c>
      <c r="J2289" t="s">
        <v>167</v>
      </c>
      <c r="K2289" t="s">
        <v>41</v>
      </c>
      <c r="L2289" t="s">
        <v>5385</v>
      </c>
      <c r="N2289" t="s">
        <v>5386</v>
      </c>
      <c r="O2289" t="s">
        <v>5392</v>
      </c>
      <c r="Q2289" t="s">
        <v>5393</v>
      </c>
      <c r="R2289" t="s">
        <v>5394</v>
      </c>
      <c r="S2289" t="s">
        <v>2864</v>
      </c>
      <c r="V2289" t="s">
        <v>2855</v>
      </c>
      <c r="W2289" t="s">
        <v>2865</v>
      </c>
      <c r="AD2289" t="s">
        <v>5395</v>
      </c>
    </row>
    <row r="2290" spans="1:30" x14ac:dyDescent="0.25">
      <c r="A2290" t="s">
        <v>238</v>
      </c>
      <c r="B2290" t="s">
        <v>5381</v>
      </c>
      <c r="C2290" t="s">
        <v>949</v>
      </c>
      <c r="D2290" t="s">
        <v>2847</v>
      </c>
      <c r="E2290" t="s">
        <v>2869</v>
      </c>
      <c r="F2290" t="s">
        <v>5382</v>
      </c>
      <c r="G2290" t="s">
        <v>5383</v>
      </c>
      <c r="H2290" t="s">
        <v>166</v>
      </c>
      <c r="I2290" t="s">
        <v>5396</v>
      </c>
      <c r="J2290" t="s">
        <v>167</v>
      </c>
      <c r="K2290" t="s">
        <v>41</v>
      </c>
      <c r="L2290" t="s">
        <v>5385</v>
      </c>
      <c r="N2290" t="s">
        <v>5386</v>
      </c>
      <c r="O2290" t="s">
        <v>5397</v>
      </c>
      <c r="Q2290" t="s">
        <v>5398</v>
      </c>
      <c r="R2290" t="s">
        <v>5399</v>
      </c>
      <c r="S2290" t="s">
        <v>2864</v>
      </c>
      <c r="V2290" t="s">
        <v>2855</v>
      </c>
      <c r="W2290" t="s">
        <v>2865</v>
      </c>
      <c r="AD2290" t="s">
        <v>5400</v>
      </c>
    </row>
    <row r="2291" spans="1:30" x14ac:dyDescent="0.25">
      <c r="A2291" t="s">
        <v>33</v>
      </c>
      <c r="D2291" t="s">
        <v>2847</v>
      </c>
      <c r="E2291" t="s">
        <v>2893</v>
      </c>
      <c r="F2291" t="s">
        <v>866</v>
      </c>
      <c r="G2291" t="s">
        <v>5319</v>
      </c>
      <c r="H2291" t="s">
        <v>166</v>
      </c>
      <c r="I2291" t="s">
        <v>281</v>
      </c>
      <c r="J2291" t="s">
        <v>167</v>
      </c>
      <c r="K2291" t="s">
        <v>41</v>
      </c>
      <c r="L2291" t="s">
        <v>5320</v>
      </c>
      <c r="N2291" t="s">
        <v>5321</v>
      </c>
      <c r="O2291" t="s">
        <v>858</v>
      </c>
      <c r="Q2291" t="s">
        <v>2536</v>
      </c>
      <c r="R2291" t="s">
        <v>5401</v>
      </c>
      <c r="S2291" t="s">
        <v>2864</v>
      </c>
      <c r="V2291" t="s">
        <v>2855</v>
      </c>
      <c r="W2291" t="s">
        <v>2865</v>
      </c>
      <c r="AD2291" t="s">
        <v>5402</v>
      </c>
    </row>
    <row r="2292" spans="1:30" x14ac:dyDescent="0.25">
      <c r="A2292" t="s">
        <v>33</v>
      </c>
      <c r="D2292" t="s">
        <v>2847</v>
      </c>
      <c r="E2292" t="s">
        <v>2848</v>
      </c>
      <c r="F2292" t="s">
        <v>87</v>
      </c>
      <c r="G2292" t="s">
        <v>4672</v>
      </c>
      <c r="H2292" t="s">
        <v>143</v>
      </c>
      <c r="I2292" t="s">
        <v>90</v>
      </c>
      <c r="J2292" t="s">
        <v>145</v>
      </c>
      <c r="K2292" t="s">
        <v>146</v>
      </c>
      <c r="L2292" t="s">
        <v>4673</v>
      </c>
      <c r="M2292" t="s">
        <v>493</v>
      </c>
      <c r="N2292" t="s">
        <v>4674</v>
      </c>
      <c r="O2292" t="s">
        <v>380</v>
      </c>
      <c r="R2292" t="s">
        <v>5403</v>
      </c>
      <c r="S2292" t="s">
        <v>2854</v>
      </c>
      <c r="V2292" t="s">
        <v>2855</v>
      </c>
      <c r="W2292" t="s">
        <v>2856</v>
      </c>
      <c r="AD2292" t="s">
        <v>5404</v>
      </c>
    </row>
    <row r="2293" spans="1:30" x14ac:dyDescent="0.25">
      <c r="A2293" t="s">
        <v>947</v>
      </c>
      <c r="B2293" t="s">
        <v>1948</v>
      </c>
      <c r="C2293" t="s">
        <v>949</v>
      </c>
      <c r="D2293" t="s">
        <v>2847</v>
      </c>
      <c r="E2293" t="s">
        <v>2869</v>
      </c>
      <c r="F2293" t="s">
        <v>2870</v>
      </c>
      <c r="G2293" t="s">
        <v>2871</v>
      </c>
      <c r="H2293" t="s">
        <v>166</v>
      </c>
      <c r="I2293" t="s">
        <v>5405</v>
      </c>
      <c r="J2293" t="s">
        <v>167</v>
      </c>
      <c r="K2293" t="s">
        <v>41</v>
      </c>
      <c r="L2293" t="s">
        <v>2873</v>
      </c>
      <c r="N2293" t="s">
        <v>2874</v>
      </c>
      <c r="O2293" t="s">
        <v>5406</v>
      </c>
      <c r="Q2293" t="s">
        <v>5407</v>
      </c>
      <c r="R2293" t="s">
        <v>5408</v>
      </c>
      <c r="S2293" t="s">
        <v>2864</v>
      </c>
      <c r="V2293" t="s">
        <v>2855</v>
      </c>
      <c r="W2293" t="s">
        <v>2865</v>
      </c>
      <c r="AD2293" t="s">
        <v>5409</v>
      </c>
    </row>
    <row r="2294" spans="1:30" x14ac:dyDescent="0.25">
      <c r="A2294" t="s">
        <v>947</v>
      </c>
      <c r="B2294" t="s">
        <v>1948</v>
      </c>
      <c r="C2294" t="s">
        <v>949</v>
      </c>
      <c r="D2294" t="s">
        <v>2847</v>
      </c>
      <c r="E2294" t="s">
        <v>2869</v>
      </c>
      <c r="F2294" t="s">
        <v>2870</v>
      </c>
      <c r="G2294" t="s">
        <v>2871</v>
      </c>
      <c r="H2294" t="s">
        <v>166</v>
      </c>
      <c r="I2294" t="s">
        <v>5410</v>
      </c>
      <c r="J2294" t="s">
        <v>167</v>
      </c>
      <c r="K2294" t="s">
        <v>41</v>
      </c>
      <c r="L2294" t="s">
        <v>2873</v>
      </c>
      <c r="N2294" t="s">
        <v>2874</v>
      </c>
      <c r="O2294" t="s">
        <v>5411</v>
      </c>
      <c r="Q2294" t="s">
        <v>5407</v>
      </c>
      <c r="R2294" t="s">
        <v>5412</v>
      </c>
      <c r="S2294" t="s">
        <v>2864</v>
      </c>
      <c r="V2294" t="s">
        <v>2855</v>
      </c>
      <c r="W2294" t="s">
        <v>2865</v>
      </c>
      <c r="AD2294" t="s">
        <v>5413</v>
      </c>
    </row>
    <row r="2295" spans="1:30" x14ac:dyDescent="0.25">
      <c r="A2295" t="s">
        <v>33</v>
      </c>
      <c r="D2295" t="s">
        <v>2847</v>
      </c>
      <c r="E2295" t="s">
        <v>2893</v>
      </c>
      <c r="F2295" t="s">
        <v>78</v>
      </c>
      <c r="G2295" t="s">
        <v>5337</v>
      </c>
      <c r="H2295" t="s">
        <v>166</v>
      </c>
      <c r="I2295" t="s">
        <v>4555</v>
      </c>
      <c r="J2295" t="s">
        <v>167</v>
      </c>
      <c r="K2295" t="s">
        <v>41</v>
      </c>
      <c r="L2295" t="s">
        <v>5338</v>
      </c>
      <c r="N2295" t="s">
        <v>5339</v>
      </c>
      <c r="O2295" t="s">
        <v>4556</v>
      </c>
      <c r="Q2295" t="s">
        <v>4557</v>
      </c>
      <c r="R2295" t="s">
        <v>5414</v>
      </c>
      <c r="S2295" t="s">
        <v>2864</v>
      </c>
      <c r="V2295" t="s">
        <v>2855</v>
      </c>
      <c r="W2295" t="s">
        <v>2865</v>
      </c>
      <c r="AD2295" t="s">
        <v>5415</v>
      </c>
    </row>
    <row r="2296" spans="1:30" x14ac:dyDescent="0.25">
      <c r="A2296" t="s">
        <v>33</v>
      </c>
      <c r="D2296" t="s">
        <v>2847</v>
      </c>
      <c r="E2296" t="s">
        <v>2893</v>
      </c>
      <c r="F2296" t="s">
        <v>78</v>
      </c>
      <c r="G2296" t="s">
        <v>5337</v>
      </c>
      <c r="H2296" t="s">
        <v>143</v>
      </c>
      <c r="I2296" t="s">
        <v>261</v>
      </c>
      <c r="J2296" t="s">
        <v>145</v>
      </c>
      <c r="K2296" t="s">
        <v>146</v>
      </c>
      <c r="L2296" t="s">
        <v>5338</v>
      </c>
      <c r="M2296" t="s">
        <v>3327</v>
      </c>
      <c r="N2296" t="s">
        <v>5339</v>
      </c>
      <c r="O2296" t="s">
        <v>263</v>
      </c>
      <c r="R2296" t="s">
        <v>5416</v>
      </c>
      <c r="S2296" t="s">
        <v>2864</v>
      </c>
      <c r="V2296" t="s">
        <v>2855</v>
      </c>
      <c r="W2296" t="s">
        <v>2865</v>
      </c>
      <c r="X2296" t="s">
        <v>1193</v>
      </c>
      <c r="AD2296" t="s">
        <v>5366</v>
      </c>
    </row>
    <row r="2297" spans="1:30" x14ac:dyDescent="0.25">
      <c r="A2297" t="s">
        <v>33</v>
      </c>
      <c r="D2297" t="s">
        <v>2847</v>
      </c>
      <c r="E2297" t="s">
        <v>2893</v>
      </c>
      <c r="F2297" t="s">
        <v>78</v>
      </c>
      <c r="G2297" t="s">
        <v>5337</v>
      </c>
      <c r="H2297" t="s">
        <v>38</v>
      </c>
      <c r="I2297" t="s">
        <v>918</v>
      </c>
      <c r="J2297" t="s">
        <v>69</v>
      </c>
      <c r="K2297" t="s">
        <v>41</v>
      </c>
      <c r="L2297" t="s">
        <v>5338</v>
      </c>
      <c r="M2297" t="s">
        <v>82</v>
      </c>
      <c r="N2297" t="s">
        <v>5339</v>
      </c>
      <c r="O2297" t="s">
        <v>920</v>
      </c>
      <c r="R2297" t="s">
        <v>5417</v>
      </c>
      <c r="S2297" t="s">
        <v>2864</v>
      </c>
      <c r="V2297" t="s">
        <v>2855</v>
      </c>
      <c r="W2297" t="s">
        <v>2865</v>
      </c>
      <c r="AD2297" t="s">
        <v>5418</v>
      </c>
    </row>
    <row r="2298" spans="1:30" x14ac:dyDescent="0.25">
      <c r="A2298" t="s">
        <v>947</v>
      </c>
      <c r="B2298" t="s">
        <v>1948</v>
      </c>
      <c r="C2298" t="s">
        <v>949</v>
      </c>
      <c r="D2298" t="s">
        <v>2847</v>
      </c>
      <c r="E2298" t="s">
        <v>2893</v>
      </c>
      <c r="F2298" t="s">
        <v>5419</v>
      </c>
      <c r="G2298" t="s">
        <v>5420</v>
      </c>
      <c r="H2298" t="s">
        <v>166</v>
      </c>
      <c r="I2298" t="s">
        <v>2419</v>
      </c>
      <c r="J2298" t="s">
        <v>167</v>
      </c>
      <c r="K2298" t="s">
        <v>41</v>
      </c>
      <c r="L2298" t="s">
        <v>5421</v>
      </c>
      <c r="N2298" t="s">
        <v>5422</v>
      </c>
      <c r="O2298" t="s">
        <v>2421</v>
      </c>
      <c r="Q2298" t="s">
        <v>1107</v>
      </c>
      <c r="R2298" t="s">
        <v>5423</v>
      </c>
      <c r="S2298" t="s">
        <v>2864</v>
      </c>
      <c r="V2298" t="s">
        <v>2855</v>
      </c>
      <c r="W2298" t="s">
        <v>2898</v>
      </c>
      <c r="AD2298" t="s">
        <v>5424</v>
      </c>
    </row>
    <row r="2299" spans="1:30" x14ac:dyDescent="0.25">
      <c r="A2299" t="s">
        <v>33</v>
      </c>
      <c r="D2299" t="s">
        <v>2847</v>
      </c>
      <c r="E2299" t="s">
        <v>2893</v>
      </c>
      <c r="F2299" t="s">
        <v>87</v>
      </c>
      <c r="G2299" t="s">
        <v>5107</v>
      </c>
      <c r="H2299" t="s">
        <v>38</v>
      </c>
      <c r="I2299" t="s">
        <v>25</v>
      </c>
      <c r="J2299" t="s">
        <v>69</v>
      </c>
      <c r="K2299" t="s">
        <v>41</v>
      </c>
      <c r="L2299" t="s">
        <v>5108</v>
      </c>
      <c r="M2299" t="s">
        <v>252</v>
      </c>
      <c r="N2299" t="s">
        <v>5109</v>
      </c>
      <c r="O2299" t="s">
        <v>512</v>
      </c>
      <c r="R2299" t="s">
        <v>5425</v>
      </c>
      <c r="S2299" t="s">
        <v>2864</v>
      </c>
      <c r="V2299" t="s">
        <v>2855</v>
      </c>
      <c r="W2299" t="s">
        <v>2865</v>
      </c>
      <c r="AD2299" t="s">
        <v>5426</v>
      </c>
    </row>
    <row r="2300" spans="1:30" x14ac:dyDescent="0.25">
      <c r="A2300" t="s">
        <v>33</v>
      </c>
      <c r="D2300" t="s">
        <v>2847</v>
      </c>
      <c r="E2300" t="s">
        <v>2893</v>
      </c>
      <c r="F2300" t="s">
        <v>87</v>
      </c>
      <c r="G2300" t="s">
        <v>5107</v>
      </c>
      <c r="H2300" t="s">
        <v>38</v>
      </c>
      <c r="I2300" t="s">
        <v>24</v>
      </c>
      <c r="J2300" t="s">
        <v>69</v>
      </c>
      <c r="K2300" t="s">
        <v>41</v>
      </c>
      <c r="L2300" t="s">
        <v>5108</v>
      </c>
      <c r="M2300" t="s">
        <v>252</v>
      </c>
      <c r="N2300" t="s">
        <v>5109</v>
      </c>
      <c r="O2300" t="s">
        <v>509</v>
      </c>
      <c r="R2300" t="s">
        <v>5427</v>
      </c>
      <c r="S2300" t="s">
        <v>2864</v>
      </c>
      <c r="V2300" t="s">
        <v>2855</v>
      </c>
      <c r="W2300" t="s">
        <v>2865</v>
      </c>
      <c r="AD2300" t="s">
        <v>5428</v>
      </c>
    </row>
    <row r="2301" spans="1:30" x14ac:dyDescent="0.25">
      <c r="A2301" t="s">
        <v>33</v>
      </c>
      <c r="D2301" t="s">
        <v>2847</v>
      </c>
      <c r="E2301" t="s">
        <v>2893</v>
      </c>
      <c r="F2301" t="s">
        <v>87</v>
      </c>
      <c r="G2301" t="s">
        <v>5170</v>
      </c>
      <c r="H2301" t="s">
        <v>38</v>
      </c>
      <c r="I2301" t="s">
        <v>25</v>
      </c>
      <c r="J2301" t="s">
        <v>69</v>
      </c>
      <c r="K2301" t="s">
        <v>41</v>
      </c>
      <c r="L2301" t="s">
        <v>5171</v>
      </c>
      <c r="M2301" t="s">
        <v>252</v>
      </c>
      <c r="N2301" t="s">
        <v>5172</v>
      </c>
      <c r="O2301" t="s">
        <v>512</v>
      </c>
      <c r="R2301" t="s">
        <v>5429</v>
      </c>
      <c r="S2301" t="s">
        <v>2864</v>
      </c>
      <c r="V2301" t="s">
        <v>2855</v>
      </c>
      <c r="W2301" t="s">
        <v>2898</v>
      </c>
      <c r="AD2301" t="s">
        <v>5430</v>
      </c>
    </row>
    <row r="2302" spans="1:30" x14ac:dyDescent="0.25">
      <c r="A2302" t="s">
        <v>33</v>
      </c>
      <c r="D2302" t="s">
        <v>2847</v>
      </c>
      <c r="E2302" t="s">
        <v>2893</v>
      </c>
      <c r="F2302" t="s">
        <v>87</v>
      </c>
      <c r="G2302" t="s">
        <v>5170</v>
      </c>
      <c r="H2302" t="s">
        <v>38</v>
      </c>
      <c r="I2302" t="s">
        <v>24</v>
      </c>
      <c r="J2302" t="s">
        <v>69</v>
      </c>
      <c r="K2302" t="s">
        <v>41</v>
      </c>
      <c r="L2302" t="s">
        <v>5171</v>
      </c>
      <c r="M2302" t="s">
        <v>252</v>
      </c>
      <c r="N2302" t="s">
        <v>5172</v>
      </c>
      <c r="O2302" t="s">
        <v>509</v>
      </c>
      <c r="R2302" t="s">
        <v>5431</v>
      </c>
      <c r="S2302" t="s">
        <v>2864</v>
      </c>
      <c r="V2302" t="s">
        <v>2855</v>
      </c>
      <c r="W2302" t="s">
        <v>2898</v>
      </c>
      <c r="AD2302" t="s">
        <v>5432</v>
      </c>
    </row>
    <row r="2303" spans="1:30" x14ac:dyDescent="0.25">
      <c r="A2303" t="s">
        <v>33</v>
      </c>
      <c r="D2303" t="s">
        <v>2847</v>
      </c>
      <c r="E2303" t="s">
        <v>2893</v>
      </c>
      <c r="F2303" t="s">
        <v>87</v>
      </c>
      <c r="G2303" t="s">
        <v>5185</v>
      </c>
      <c r="H2303" t="s">
        <v>38</v>
      </c>
      <c r="I2303" t="s">
        <v>25</v>
      </c>
      <c r="J2303" t="s">
        <v>69</v>
      </c>
      <c r="K2303" t="s">
        <v>41</v>
      </c>
      <c r="L2303" t="s">
        <v>5186</v>
      </c>
      <c r="M2303" t="s">
        <v>252</v>
      </c>
      <c r="N2303" t="s">
        <v>5187</v>
      </c>
      <c r="O2303" t="s">
        <v>512</v>
      </c>
      <c r="R2303" t="s">
        <v>5433</v>
      </c>
      <c r="S2303" t="s">
        <v>2864</v>
      </c>
      <c r="V2303" t="s">
        <v>2855</v>
      </c>
      <c r="W2303" t="s">
        <v>2898</v>
      </c>
      <c r="AD2303" t="s">
        <v>5434</v>
      </c>
    </row>
    <row r="2304" spans="1:30" x14ac:dyDescent="0.25">
      <c r="A2304" t="s">
        <v>33</v>
      </c>
      <c r="D2304" t="s">
        <v>2847</v>
      </c>
      <c r="E2304" t="s">
        <v>2893</v>
      </c>
      <c r="F2304" t="s">
        <v>87</v>
      </c>
      <c r="G2304" t="s">
        <v>5185</v>
      </c>
      <c r="H2304" t="s">
        <v>38</v>
      </c>
      <c r="I2304" t="s">
        <v>24</v>
      </c>
      <c r="J2304" t="s">
        <v>69</v>
      </c>
      <c r="K2304" t="s">
        <v>41</v>
      </c>
      <c r="L2304" t="s">
        <v>5186</v>
      </c>
      <c r="M2304" t="s">
        <v>252</v>
      </c>
      <c r="N2304" t="s">
        <v>5187</v>
      </c>
      <c r="O2304" t="s">
        <v>509</v>
      </c>
      <c r="R2304" t="s">
        <v>5435</v>
      </c>
      <c r="S2304" t="s">
        <v>2864</v>
      </c>
      <c r="V2304" t="s">
        <v>2855</v>
      </c>
      <c r="W2304" t="s">
        <v>2898</v>
      </c>
      <c r="AD2304" t="s">
        <v>5436</v>
      </c>
    </row>
    <row r="2305" spans="1:30" x14ac:dyDescent="0.25">
      <c r="A2305" t="s">
        <v>33</v>
      </c>
      <c r="D2305" t="s">
        <v>2847</v>
      </c>
      <c r="E2305" t="s">
        <v>2893</v>
      </c>
      <c r="F2305" t="s">
        <v>87</v>
      </c>
      <c r="G2305" t="s">
        <v>5007</v>
      </c>
      <c r="H2305" t="s">
        <v>38</v>
      </c>
      <c r="I2305" t="s">
        <v>25</v>
      </c>
      <c r="J2305" t="s">
        <v>69</v>
      </c>
      <c r="K2305" t="s">
        <v>41</v>
      </c>
      <c r="L2305" t="s">
        <v>5008</v>
      </c>
      <c r="M2305" t="s">
        <v>252</v>
      </c>
      <c r="N2305" t="s">
        <v>5009</v>
      </c>
      <c r="O2305" t="s">
        <v>512</v>
      </c>
      <c r="R2305" t="s">
        <v>5437</v>
      </c>
      <c r="S2305" t="s">
        <v>2864</v>
      </c>
      <c r="V2305" t="s">
        <v>2855</v>
      </c>
      <c r="W2305" t="s">
        <v>2898</v>
      </c>
      <c r="AD2305" t="s">
        <v>5438</v>
      </c>
    </row>
    <row r="2306" spans="1:30" x14ac:dyDescent="0.25">
      <c r="A2306" t="s">
        <v>33</v>
      </c>
      <c r="D2306" t="s">
        <v>2847</v>
      </c>
      <c r="E2306" t="s">
        <v>2893</v>
      </c>
      <c r="F2306" t="s">
        <v>87</v>
      </c>
      <c r="G2306" t="s">
        <v>5007</v>
      </c>
      <c r="H2306" t="s">
        <v>38</v>
      </c>
      <c r="I2306" t="s">
        <v>24</v>
      </c>
      <c r="J2306" t="s">
        <v>69</v>
      </c>
      <c r="K2306" t="s">
        <v>41</v>
      </c>
      <c r="L2306" t="s">
        <v>5008</v>
      </c>
      <c r="M2306" t="s">
        <v>252</v>
      </c>
      <c r="N2306" t="s">
        <v>5009</v>
      </c>
      <c r="O2306" t="s">
        <v>509</v>
      </c>
      <c r="R2306" t="s">
        <v>5439</v>
      </c>
      <c r="S2306" t="s">
        <v>2864</v>
      </c>
      <c r="V2306" t="s">
        <v>2855</v>
      </c>
      <c r="W2306" t="s">
        <v>2898</v>
      </c>
      <c r="AD2306" t="s">
        <v>5440</v>
      </c>
    </row>
    <row r="2307" spans="1:30" x14ac:dyDescent="0.25">
      <c r="A2307" t="s">
        <v>33</v>
      </c>
      <c r="D2307" t="s">
        <v>2847</v>
      </c>
      <c r="E2307" t="s">
        <v>2893</v>
      </c>
      <c r="F2307" t="s">
        <v>36</v>
      </c>
      <c r="G2307" t="s">
        <v>5441</v>
      </c>
      <c r="H2307" t="s">
        <v>38</v>
      </c>
      <c r="I2307" t="s">
        <v>25</v>
      </c>
      <c r="J2307" t="s">
        <v>69</v>
      </c>
      <c r="K2307" t="s">
        <v>41</v>
      </c>
      <c r="L2307" t="s">
        <v>5442</v>
      </c>
      <c r="M2307" t="s">
        <v>3483</v>
      </c>
      <c r="N2307" t="s">
        <v>5443</v>
      </c>
      <c r="O2307" t="s">
        <v>512</v>
      </c>
      <c r="R2307" t="s">
        <v>5444</v>
      </c>
      <c r="S2307" t="s">
        <v>2864</v>
      </c>
      <c r="V2307" t="s">
        <v>2855</v>
      </c>
      <c r="W2307" t="s">
        <v>2898</v>
      </c>
      <c r="X2307" t="s">
        <v>963</v>
      </c>
      <c r="AD2307" t="s">
        <v>5445</v>
      </c>
    </row>
    <row r="2308" spans="1:30" x14ac:dyDescent="0.25">
      <c r="A2308" t="s">
        <v>33</v>
      </c>
      <c r="D2308" t="s">
        <v>2847</v>
      </c>
      <c r="E2308" t="s">
        <v>2893</v>
      </c>
      <c r="F2308" t="s">
        <v>36</v>
      </c>
      <c r="G2308" t="s">
        <v>5441</v>
      </c>
      <c r="H2308" t="s">
        <v>38</v>
      </c>
      <c r="I2308" t="s">
        <v>24</v>
      </c>
      <c r="J2308" t="s">
        <v>69</v>
      </c>
      <c r="K2308" t="s">
        <v>41</v>
      </c>
      <c r="L2308" t="s">
        <v>5442</v>
      </c>
      <c r="M2308" t="s">
        <v>3483</v>
      </c>
      <c r="N2308" t="s">
        <v>5443</v>
      </c>
      <c r="O2308" t="s">
        <v>509</v>
      </c>
      <c r="R2308" t="s">
        <v>5446</v>
      </c>
      <c r="S2308" t="s">
        <v>2864</v>
      </c>
      <c r="V2308" t="s">
        <v>2855</v>
      </c>
      <c r="W2308" t="s">
        <v>2898</v>
      </c>
      <c r="X2308" t="s">
        <v>963</v>
      </c>
      <c r="AD2308" t="s">
        <v>5447</v>
      </c>
    </row>
    <row r="2309" spans="1:30" x14ac:dyDescent="0.25">
      <c r="A2309" t="s">
        <v>33</v>
      </c>
      <c r="D2309" t="s">
        <v>2847</v>
      </c>
      <c r="E2309" t="s">
        <v>2893</v>
      </c>
      <c r="F2309" t="s">
        <v>87</v>
      </c>
      <c r="G2309" t="s">
        <v>3828</v>
      </c>
      <c r="H2309" t="s">
        <v>38</v>
      </c>
      <c r="I2309" t="s">
        <v>25</v>
      </c>
      <c r="J2309" t="s">
        <v>69</v>
      </c>
      <c r="K2309" t="s">
        <v>41</v>
      </c>
      <c r="L2309" t="s">
        <v>3829</v>
      </c>
      <c r="M2309" t="s">
        <v>176</v>
      </c>
      <c r="N2309" t="s">
        <v>3830</v>
      </c>
      <c r="O2309" t="s">
        <v>512</v>
      </c>
      <c r="R2309" t="s">
        <v>5448</v>
      </c>
      <c r="S2309" t="s">
        <v>2864</v>
      </c>
      <c r="V2309" t="s">
        <v>2855</v>
      </c>
      <c r="W2309" t="s">
        <v>2898</v>
      </c>
      <c r="AD2309" t="s">
        <v>5449</v>
      </c>
    </row>
    <row r="2310" spans="1:30" x14ac:dyDescent="0.25">
      <c r="A2310" t="s">
        <v>33</v>
      </c>
      <c r="D2310" t="s">
        <v>2847</v>
      </c>
      <c r="E2310" t="s">
        <v>2893</v>
      </c>
      <c r="F2310" t="s">
        <v>87</v>
      </c>
      <c r="G2310" t="s">
        <v>3828</v>
      </c>
      <c r="H2310" t="s">
        <v>38</v>
      </c>
      <c r="I2310" t="s">
        <v>24</v>
      </c>
      <c r="J2310" t="s">
        <v>69</v>
      </c>
      <c r="K2310" t="s">
        <v>41</v>
      </c>
      <c r="L2310" t="s">
        <v>3829</v>
      </c>
      <c r="M2310" t="s">
        <v>176</v>
      </c>
      <c r="N2310" t="s">
        <v>3830</v>
      </c>
      <c r="O2310" t="s">
        <v>509</v>
      </c>
      <c r="R2310" t="s">
        <v>5450</v>
      </c>
      <c r="S2310" t="s">
        <v>2864</v>
      </c>
      <c r="V2310" t="s">
        <v>2855</v>
      </c>
      <c r="W2310" t="s">
        <v>2898</v>
      </c>
      <c r="AD2310" t="s">
        <v>5451</v>
      </c>
    </row>
    <row r="2311" spans="1:30" x14ac:dyDescent="0.25">
      <c r="A2311" t="s">
        <v>33</v>
      </c>
      <c r="D2311" t="s">
        <v>2847</v>
      </c>
      <c r="E2311" t="s">
        <v>2893</v>
      </c>
      <c r="F2311" t="s">
        <v>87</v>
      </c>
      <c r="G2311" t="s">
        <v>5122</v>
      </c>
      <c r="H2311" t="s">
        <v>38</v>
      </c>
      <c r="I2311" t="s">
        <v>25</v>
      </c>
      <c r="J2311" t="s">
        <v>69</v>
      </c>
      <c r="K2311" t="s">
        <v>41</v>
      </c>
      <c r="L2311" t="s">
        <v>5123</v>
      </c>
      <c r="M2311" t="s">
        <v>252</v>
      </c>
      <c r="N2311" t="s">
        <v>5124</v>
      </c>
      <c r="O2311" t="s">
        <v>512</v>
      </c>
      <c r="R2311" t="s">
        <v>5452</v>
      </c>
      <c r="S2311" t="s">
        <v>2864</v>
      </c>
      <c r="V2311" t="s">
        <v>2855</v>
      </c>
      <c r="W2311" t="s">
        <v>2865</v>
      </c>
      <c r="AD2311" t="s">
        <v>5453</v>
      </c>
    </row>
    <row r="2312" spans="1:30" x14ac:dyDescent="0.25">
      <c r="A2312" t="s">
        <v>33</v>
      </c>
      <c r="D2312" t="s">
        <v>2847</v>
      </c>
      <c r="E2312" t="s">
        <v>2893</v>
      </c>
      <c r="F2312" t="s">
        <v>87</v>
      </c>
      <c r="G2312" t="s">
        <v>5122</v>
      </c>
      <c r="H2312" t="s">
        <v>38</v>
      </c>
      <c r="I2312" t="s">
        <v>24</v>
      </c>
      <c r="J2312" t="s">
        <v>69</v>
      </c>
      <c r="K2312" t="s">
        <v>41</v>
      </c>
      <c r="L2312" t="s">
        <v>5123</v>
      </c>
      <c r="M2312" t="s">
        <v>252</v>
      </c>
      <c r="N2312" t="s">
        <v>5124</v>
      </c>
      <c r="O2312" t="s">
        <v>509</v>
      </c>
      <c r="R2312" t="s">
        <v>5454</v>
      </c>
      <c r="S2312" t="s">
        <v>2864</v>
      </c>
      <c r="V2312" t="s">
        <v>2855</v>
      </c>
      <c r="W2312" t="s">
        <v>2865</v>
      </c>
      <c r="AD2312" t="s">
        <v>5455</v>
      </c>
    </row>
    <row r="2313" spans="1:30" x14ac:dyDescent="0.25">
      <c r="A2313" t="s">
        <v>33</v>
      </c>
      <c r="D2313" t="s">
        <v>2847</v>
      </c>
      <c r="E2313" t="s">
        <v>2893</v>
      </c>
      <c r="F2313" t="s">
        <v>87</v>
      </c>
      <c r="G2313" t="s">
        <v>5136</v>
      </c>
      <c r="H2313" t="s">
        <v>38</v>
      </c>
      <c r="I2313" t="s">
        <v>25</v>
      </c>
      <c r="J2313" t="s">
        <v>69</v>
      </c>
      <c r="K2313" t="s">
        <v>41</v>
      </c>
      <c r="L2313" t="s">
        <v>5137</v>
      </c>
      <c r="M2313" t="s">
        <v>252</v>
      </c>
      <c r="N2313" t="s">
        <v>5138</v>
      </c>
      <c r="O2313" t="s">
        <v>512</v>
      </c>
      <c r="R2313" t="s">
        <v>5456</v>
      </c>
      <c r="S2313" t="s">
        <v>2864</v>
      </c>
      <c r="V2313" t="s">
        <v>2855</v>
      </c>
      <c r="W2313" t="s">
        <v>2865</v>
      </c>
      <c r="AD2313" t="s">
        <v>5457</v>
      </c>
    </row>
    <row r="2314" spans="1:30" x14ac:dyDescent="0.25">
      <c r="A2314" t="s">
        <v>33</v>
      </c>
      <c r="D2314" t="s">
        <v>2847</v>
      </c>
      <c r="E2314" t="s">
        <v>2893</v>
      </c>
      <c r="F2314" t="s">
        <v>87</v>
      </c>
      <c r="G2314" t="s">
        <v>5136</v>
      </c>
      <c r="H2314" t="s">
        <v>38</v>
      </c>
      <c r="I2314" t="s">
        <v>24</v>
      </c>
      <c r="J2314" t="s">
        <v>69</v>
      </c>
      <c r="K2314" t="s">
        <v>41</v>
      </c>
      <c r="L2314" t="s">
        <v>5137</v>
      </c>
      <c r="M2314" t="s">
        <v>252</v>
      </c>
      <c r="N2314" t="s">
        <v>5138</v>
      </c>
      <c r="O2314" t="s">
        <v>509</v>
      </c>
      <c r="R2314" t="s">
        <v>5458</v>
      </c>
      <c r="S2314" t="s">
        <v>2864</v>
      </c>
      <c r="V2314" t="s">
        <v>2855</v>
      </c>
      <c r="W2314" t="s">
        <v>2865</v>
      </c>
      <c r="AD2314" t="s">
        <v>5459</v>
      </c>
    </row>
    <row r="2315" spans="1:30" x14ac:dyDescent="0.25">
      <c r="A2315" t="s">
        <v>33</v>
      </c>
      <c r="D2315" t="s">
        <v>2847</v>
      </c>
      <c r="E2315" t="s">
        <v>2893</v>
      </c>
      <c r="F2315" t="s">
        <v>87</v>
      </c>
      <c r="G2315" t="s">
        <v>5151</v>
      </c>
      <c r="H2315" t="s">
        <v>38</v>
      </c>
      <c r="I2315" t="s">
        <v>25</v>
      </c>
      <c r="J2315" t="s">
        <v>69</v>
      </c>
      <c r="K2315" t="s">
        <v>41</v>
      </c>
      <c r="L2315" t="s">
        <v>5152</v>
      </c>
      <c r="M2315" t="s">
        <v>252</v>
      </c>
      <c r="N2315" t="s">
        <v>5153</v>
      </c>
      <c r="O2315" t="s">
        <v>512</v>
      </c>
      <c r="R2315" t="s">
        <v>5460</v>
      </c>
      <c r="S2315" t="s">
        <v>2864</v>
      </c>
      <c r="V2315" t="s">
        <v>2855</v>
      </c>
      <c r="W2315" t="s">
        <v>2865</v>
      </c>
      <c r="AD2315" t="s">
        <v>5461</v>
      </c>
    </row>
    <row r="2316" spans="1:30" x14ac:dyDescent="0.25">
      <c r="A2316" t="s">
        <v>33</v>
      </c>
      <c r="D2316" t="s">
        <v>2847</v>
      </c>
      <c r="E2316" t="s">
        <v>2893</v>
      </c>
      <c r="F2316" t="s">
        <v>87</v>
      </c>
      <c r="G2316" t="s">
        <v>5151</v>
      </c>
      <c r="H2316" t="s">
        <v>38</v>
      </c>
      <c r="I2316" t="s">
        <v>24</v>
      </c>
      <c r="J2316" t="s">
        <v>69</v>
      </c>
      <c r="K2316" t="s">
        <v>41</v>
      </c>
      <c r="L2316" t="s">
        <v>5152</v>
      </c>
      <c r="M2316" t="s">
        <v>252</v>
      </c>
      <c r="N2316" t="s">
        <v>5153</v>
      </c>
      <c r="O2316" t="s">
        <v>509</v>
      </c>
      <c r="R2316" t="s">
        <v>5462</v>
      </c>
      <c r="S2316" t="s">
        <v>2864</v>
      </c>
      <c r="V2316" t="s">
        <v>2855</v>
      </c>
      <c r="W2316" t="s">
        <v>2865</v>
      </c>
      <c r="AD2316" t="s">
        <v>5463</v>
      </c>
    </row>
    <row r="2317" spans="1:30" x14ac:dyDescent="0.25">
      <c r="A2317" t="s">
        <v>33</v>
      </c>
      <c r="D2317" t="s">
        <v>2847</v>
      </c>
      <c r="E2317" t="s">
        <v>2893</v>
      </c>
      <c r="F2317" t="s">
        <v>36</v>
      </c>
      <c r="G2317" t="s">
        <v>3572</v>
      </c>
      <c r="H2317" t="s">
        <v>38</v>
      </c>
      <c r="I2317" t="s">
        <v>25</v>
      </c>
      <c r="J2317" t="s">
        <v>69</v>
      </c>
      <c r="K2317" t="s">
        <v>41</v>
      </c>
      <c r="L2317" t="s">
        <v>3573</v>
      </c>
      <c r="M2317" t="s">
        <v>3483</v>
      </c>
      <c r="N2317" t="s">
        <v>3574</v>
      </c>
      <c r="O2317" t="s">
        <v>512</v>
      </c>
      <c r="R2317" t="s">
        <v>5464</v>
      </c>
      <c r="S2317" t="s">
        <v>2864</v>
      </c>
      <c r="V2317" t="s">
        <v>2855</v>
      </c>
      <c r="W2317" t="s">
        <v>2865</v>
      </c>
      <c r="X2317" t="s">
        <v>963</v>
      </c>
      <c r="AD2317" t="s">
        <v>5465</v>
      </c>
    </row>
    <row r="2318" spans="1:30" x14ac:dyDescent="0.25">
      <c r="A2318" t="s">
        <v>33</v>
      </c>
      <c r="D2318" t="s">
        <v>2847</v>
      </c>
      <c r="E2318" t="s">
        <v>2893</v>
      </c>
      <c r="F2318" t="s">
        <v>36</v>
      </c>
      <c r="G2318" t="s">
        <v>3572</v>
      </c>
      <c r="H2318" t="s">
        <v>38</v>
      </c>
      <c r="I2318" t="s">
        <v>24</v>
      </c>
      <c r="J2318" t="s">
        <v>69</v>
      </c>
      <c r="K2318" t="s">
        <v>41</v>
      </c>
      <c r="L2318" t="s">
        <v>3573</v>
      </c>
      <c r="M2318" t="s">
        <v>3483</v>
      </c>
      <c r="N2318" t="s">
        <v>3574</v>
      </c>
      <c r="O2318" t="s">
        <v>509</v>
      </c>
      <c r="R2318" t="s">
        <v>5466</v>
      </c>
      <c r="S2318" t="s">
        <v>2864</v>
      </c>
      <c r="V2318" t="s">
        <v>2855</v>
      </c>
      <c r="W2318" t="s">
        <v>2865</v>
      </c>
      <c r="X2318" t="s">
        <v>963</v>
      </c>
      <c r="AD2318" t="s">
        <v>5467</v>
      </c>
    </row>
    <row r="2319" spans="1:30" x14ac:dyDescent="0.25">
      <c r="A2319" t="s">
        <v>33</v>
      </c>
      <c r="D2319" t="s">
        <v>2847</v>
      </c>
      <c r="E2319" t="s">
        <v>2893</v>
      </c>
      <c r="F2319" t="s">
        <v>87</v>
      </c>
      <c r="G2319" t="s">
        <v>4743</v>
      </c>
      <c r="H2319" t="s">
        <v>38</v>
      </c>
      <c r="I2319" t="s">
        <v>25</v>
      </c>
      <c r="J2319" t="s">
        <v>69</v>
      </c>
      <c r="K2319" t="s">
        <v>41</v>
      </c>
      <c r="L2319" t="s">
        <v>4744</v>
      </c>
      <c r="M2319" t="s">
        <v>252</v>
      </c>
      <c r="N2319" t="s">
        <v>4745</v>
      </c>
      <c r="O2319" t="s">
        <v>512</v>
      </c>
      <c r="R2319" t="s">
        <v>5468</v>
      </c>
      <c r="S2319" t="s">
        <v>2864</v>
      </c>
      <c r="V2319" t="s">
        <v>2855</v>
      </c>
      <c r="W2319" t="s">
        <v>2898</v>
      </c>
      <c r="AD2319" t="s">
        <v>5469</v>
      </c>
    </row>
    <row r="2320" spans="1:30" x14ac:dyDescent="0.25">
      <c r="A2320" t="s">
        <v>33</v>
      </c>
      <c r="D2320" t="s">
        <v>2847</v>
      </c>
      <c r="E2320" t="s">
        <v>2893</v>
      </c>
      <c r="F2320" t="s">
        <v>87</v>
      </c>
      <c r="G2320" t="s">
        <v>4743</v>
      </c>
      <c r="H2320" t="s">
        <v>38</v>
      </c>
      <c r="I2320" t="s">
        <v>24</v>
      </c>
      <c r="J2320" t="s">
        <v>69</v>
      </c>
      <c r="K2320" t="s">
        <v>41</v>
      </c>
      <c r="L2320" t="s">
        <v>4744</v>
      </c>
      <c r="M2320" t="s">
        <v>252</v>
      </c>
      <c r="N2320" t="s">
        <v>4745</v>
      </c>
      <c r="O2320" t="s">
        <v>509</v>
      </c>
      <c r="R2320" t="s">
        <v>5470</v>
      </c>
      <c r="S2320" t="s">
        <v>2864</v>
      </c>
      <c r="V2320" t="s">
        <v>2855</v>
      </c>
      <c r="W2320" t="s">
        <v>2898</v>
      </c>
      <c r="AD2320" t="s">
        <v>5471</v>
      </c>
    </row>
    <row r="2321" spans="1:30" x14ac:dyDescent="0.25">
      <c r="A2321" t="s">
        <v>33</v>
      </c>
      <c r="D2321" t="s">
        <v>2847</v>
      </c>
      <c r="E2321" t="s">
        <v>2893</v>
      </c>
      <c r="F2321" t="s">
        <v>87</v>
      </c>
      <c r="G2321" t="s">
        <v>4758</v>
      </c>
      <c r="H2321" t="s">
        <v>38</v>
      </c>
      <c r="I2321" t="s">
        <v>25</v>
      </c>
      <c r="J2321" t="s">
        <v>69</v>
      </c>
      <c r="K2321" t="s">
        <v>41</v>
      </c>
      <c r="L2321" t="s">
        <v>4759</v>
      </c>
      <c r="M2321" t="s">
        <v>252</v>
      </c>
      <c r="N2321" t="s">
        <v>4760</v>
      </c>
      <c r="O2321" t="s">
        <v>512</v>
      </c>
      <c r="R2321" t="s">
        <v>5472</v>
      </c>
      <c r="S2321" t="s">
        <v>2864</v>
      </c>
      <c r="V2321" t="s">
        <v>2855</v>
      </c>
      <c r="W2321" t="s">
        <v>2898</v>
      </c>
      <c r="AD2321" t="s">
        <v>5473</v>
      </c>
    </row>
    <row r="2322" spans="1:30" x14ac:dyDescent="0.25">
      <c r="A2322" t="s">
        <v>33</v>
      </c>
      <c r="D2322" t="s">
        <v>2847</v>
      </c>
      <c r="E2322" t="s">
        <v>2893</v>
      </c>
      <c r="F2322" t="s">
        <v>87</v>
      </c>
      <c r="G2322" t="s">
        <v>4758</v>
      </c>
      <c r="H2322" t="s">
        <v>38</v>
      </c>
      <c r="I2322" t="s">
        <v>24</v>
      </c>
      <c r="J2322" t="s">
        <v>69</v>
      </c>
      <c r="K2322" t="s">
        <v>41</v>
      </c>
      <c r="L2322" t="s">
        <v>4759</v>
      </c>
      <c r="M2322" t="s">
        <v>252</v>
      </c>
      <c r="N2322" t="s">
        <v>4760</v>
      </c>
      <c r="O2322" t="s">
        <v>509</v>
      </c>
      <c r="R2322" t="s">
        <v>5474</v>
      </c>
      <c r="S2322" t="s">
        <v>2864</v>
      </c>
      <c r="V2322" t="s">
        <v>2855</v>
      </c>
      <c r="W2322" t="s">
        <v>2898</v>
      </c>
      <c r="AD2322" t="s">
        <v>5475</v>
      </c>
    </row>
    <row r="2323" spans="1:30" x14ac:dyDescent="0.25">
      <c r="A2323" t="s">
        <v>33</v>
      </c>
      <c r="D2323" t="s">
        <v>2847</v>
      </c>
      <c r="E2323" t="s">
        <v>2893</v>
      </c>
      <c r="F2323" t="s">
        <v>87</v>
      </c>
      <c r="G2323" t="s">
        <v>4772</v>
      </c>
      <c r="H2323" t="s">
        <v>38</v>
      </c>
      <c r="I2323" t="s">
        <v>25</v>
      </c>
      <c r="J2323" t="s">
        <v>69</v>
      </c>
      <c r="K2323" t="s">
        <v>41</v>
      </c>
      <c r="L2323" t="s">
        <v>4773</v>
      </c>
      <c r="M2323" t="s">
        <v>252</v>
      </c>
      <c r="N2323" t="s">
        <v>4774</v>
      </c>
      <c r="O2323" t="s">
        <v>512</v>
      </c>
      <c r="R2323" t="s">
        <v>5476</v>
      </c>
      <c r="S2323" t="s">
        <v>2864</v>
      </c>
      <c r="V2323" t="s">
        <v>2855</v>
      </c>
      <c r="W2323" t="s">
        <v>2898</v>
      </c>
      <c r="AD2323" t="s">
        <v>5477</v>
      </c>
    </row>
    <row r="2324" spans="1:30" x14ac:dyDescent="0.25">
      <c r="A2324" t="s">
        <v>33</v>
      </c>
      <c r="D2324" t="s">
        <v>2847</v>
      </c>
      <c r="E2324" t="s">
        <v>2893</v>
      </c>
      <c r="F2324" t="s">
        <v>87</v>
      </c>
      <c r="G2324" t="s">
        <v>4772</v>
      </c>
      <c r="H2324" t="s">
        <v>38</v>
      </c>
      <c r="I2324" t="s">
        <v>24</v>
      </c>
      <c r="J2324" t="s">
        <v>69</v>
      </c>
      <c r="K2324" t="s">
        <v>41</v>
      </c>
      <c r="L2324" t="s">
        <v>4773</v>
      </c>
      <c r="M2324" t="s">
        <v>252</v>
      </c>
      <c r="N2324" t="s">
        <v>4774</v>
      </c>
      <c r="O2324" t="s">
        <v>509</v>
      </c>
      <c r="R2324" t="s">
        <v>5478</v>
      </c>
      <c r="S2324" t="s">
        <v>2864</v>
      </c>
      <c r="V2324" t="s">
        <v>2855</v>
      </c>
      <c r="W2324" t="s">
        <v>2898</v>
      </c>
      <c r="AD2324" t="s">
        <v>5479</v>
      </c>
    </row>
    <row r="2325" spans="1:30" x14ac:dyDescent="0.25">
      <c r="A2325" t="s">
        <v>33</v>
      </c>
      <c r="D2325" t="s">
        <v>2847</v>
      </c>
      <c r="E2325" t="s">
        <v>2893</v>
      </c>
      <c r="F2325" t="s">
        <v>87</v>
      </c>
      <c r="G2325" t="s">
        <v>4787</v>
      </c>
      <c r="H2325" t="s">
        <v>38</v>
      </c>
      <c r="I2325" t="s">
        <v>25</v>
      </c>
      <c r="J2325" t="s">
        <v>69</v>
      </c>
      <c r="K2325" t="s">
        <v>41</v>
      </c>
      <c r="L2325" t="s">
        <v>4788</v>
      </c>
      <c r="M2325" t="s">
        <v>252</v>
      </c>
      <c r="N2325" t="s">
        <v>4789</v>
      </c>
      <c r="O2325" t="s">
        <v>512</v>
      </c>
      <c r="R2325" t="s">
        <v>5480</v>
      </c>
      <c r="S2325" t="s">
        <v>2864</v>
      </c>
      <c r="V2325" t="s">
        <v>2855</v>
      </c>
      <c r="W2325" t="s">
        <v>2898</v>
      </c>
      <c r="AD2325" t="s">
        <v>5481</v>
      </c>
    </row>
    <row r="2326" spans="1:30" x14ac:dyDescent="0.25">
      <c r="A2326" t="s">
        <v>33</v>
      </c>
      <c r="D2326" t="s">
        <v>2847</v>
      </c>
      <c r="E2326" t="s">
        <v>2893</v>
      </c>
      <c r="F2326" t="s">
        <v>87</v>
      </c>
      <c r="G2326" t="s">
        <v>4787</v>
      </c>
      <c r="H2326" t="s">
        <v>38</v>
      </c>
      <c r="I2326" t="s">
        <v>24</v>
      </c>
      <c r="J2326" t="s">
        <v>69</v>
      </c>
      <c r="K2326" t="s">
        <v>41</v>
      </c>
      <c r="L2326" t="s">
        <v>4788</v>
      </c>
      <c r="M2326" t="s">
        <v>252</v>
      </c>
      <c r="N2326" t="s">
        <v>4789</v>
      </c>
      <c r="O2326" t="s">
        <v>509</v>
      </c>
      <c r="R2326" t="s">
        <v>5482</v>
      </c>
      <c r="S2326" t="s">
        <v>2864</v>
      </c>
      <c r="V2326" t="s">
        <v>2855</v>
      </c>
      <c r="W2326" t="s">
        <v>2898</v>
      </c>
      <c r="AD2326" t="s">
        <v>5483</v>
      </c>
    </row>
    <row r="2327" spans="1:30" x14ac:dyDescent="0.25">
      <c r="A2327" t="s">
        <v>33</v>
      </c>
      <c r="D2327" t="s">
        <v>2847</v>
      </c>
      <c r="E2327" t="s">
        <v>2893</v>
      </c>
      <c r="F2327" t="s">
        <v>36</v>
      </c>
      <c r="G2327" t="s">
        <v>5441</v>
      </c>
      <c r="H2327" t="s">
        <v>38</v>
      </c>
      <c r="I2327" t="s">
        <v>63</v>
      </c>
      <c r="J2327" t="s">
        <v>40</v>
      </c>
      <c r="K2327" t="s">
        <v>41</v>
      </c>
      <c r="L2327" t="s">
        <v>5442</v>
      </c>
      <c r="M2327" t="s">
        <v>3483</v>
      </c>
      <c r="N2327" t="s">
        <v>5443</v>
      </c>
      <c r="O2327" t="s">
        <v>65</v>
      </c>
      <c r="R2327" t="s">
        <v>5484</v>
      </c>
      <c r="S2327" t="s">
        <v>2864</v>
      </c>
      <c r="V2327" t="s">
        <v>2855</v>
      </c>
      <c r="W2327" t="s">
        <v>2898</v>
      </c>
      <c r="X2327" t="s">
        <v>963</v>
      </c>
      <c r="AD2327" t="s">
        <v>5485</v>
      </c>
    </row>
    <row r="2328" spans="1:30" x14ac:dyDescent="0.25">
      <c r="A2328" t="s">
        <v>33</v>
      </c>
      <c r="D2328" t="s">
        <v>2847</v>
      </c>
      <c r="E2328" t="s">
        <v>2893</v>
      </c>
      <c r="F2328" t="s">
        <v>87</v>
      </c>
      <c r="G2328" t="s">
        <v>3847</v>
      </c>
      <c r="H2328" t="s">
        <v>38</v>
      </c>
      <c r="I2328" t="s">
        <v>25</v>
      </c>
      <c r="J2328" t="s">
        <v>69</v>
      </c>
      <c r="K2328" t="s">
        <v>41</v>
      </c>
      <c r="L2328" t="s">
        <v>3848</v>
      </c>
      <c r="M2328" t="s">
        <v>176</v>
      </c>
      <c r="N2328" t="s">
        <v>3849</v>
      </c>
      <c r="O2328" t="s">
        <v>512</v>
      </c>
      <c r="R2328" t="s">
        <v>5486</v>
      </c>
      <c r="S2328" t="s">
        <v>2864</v>
      </c>
      <c r="V2328" t="s">
        <v>2855</v>
      </c>
      <c r="W2328" t="s">
        <v>2898</v>
      </c>
      <c r="AD2328" t="s">
        <v>5487</v>
      </c>
    </row>
    <row r="2329" spans="1:30" x14ac:dyDescent="0.25">
      <c r="A2329" t="s">
        <v>33</v>
      </c>
      <c r="D2329" t="s">
        <v>2847</v>
      </c>
      <c r="E2329" t="s">
        <v>2893</v>
      </c>
      <c r="F2329" t="s">
        <v>87</v>
      </c>
      <c r="G2329" t="s">
        <v>3847</v>
      </c>
      <c r="H2329" t="s">
        <v>38</v>
      </c>
      <c r="I2329" t="s">
        <v>24</v>
      </c>
      <c r="J2329" t="s">
        <v>69</v>
      </c>
      <c r="K2329" t="s">
        <v>41</v>
      </c>
      <c r="L2329" t="s">
        <v>3848</v>
      </c>
      <c r="M2329" t="s">
        <v>176</v>
      </c>
      <c r="N2329" t="s">
        <v>3849</v>
      </c>
      <c r="O2329" t="s">
        <v>509</v>
      </c>
      <c r="R2329" t="s">
        <v>5488</v>
      </c>
      <c r="S2329" t="s">
        <v>2864</v>
      </c>
      <c r="V2329" t="s">
        <v>2855</v>
      </c>
      <c r="W2329" t="s">
        <v>2898</v>
      </c>
      <c r="AD2329" t="s">
        <v>5489</v>
      </c>
    </row>
    <row r="2330" spans="1:30" x14ac:dyDescent="0.25">
      <c r="A2330" t="s">
        <v>33</v>
      </c>
      <c r="D2330" t="s">
        <v>2847</v>
      </c>
      <c r="E2330" t="s">
        <v>2893</v>
      </c>
      <c r="F2330" t="s">
        <v>87</v>
      </c>
      <c r="G2330" t="s">
        <v>4857</v>
      </c>
      <c r="H2330" t="s">
        <v>38</v>
      </c>
      <c r="I2330" t="s">
        <v>25</v>
      </c>
      <c r="J2330" t="s">
        <v>69</v>
      </c>
      <c r="K2330" t="s">
        <v>41</v>
      </c>
      <c r="L2330" t="s">
        <v>4858</v>
      </c>
      <c r="M2330" t="s">
        <v>252</v>
      </c>
      <c r="N2330" t="s">
        <v>4859</v>
      </c>
      <c r="O2330" t="s">
        <v>512</v>
      </c>
      <c r="R2330" t="s">
        <v>5490</v>
      </c>
      <c r="S2330" t="s">
        <v>2864</v>
      </c>
      <c r="V2330" t="s">
        <v>2855</v>
      </c>
      <c r="W2330" t="s">
        <v>2898</v>
      </c>
      <c r="AD2330" t="s">
        <v>5491</v>
      </c>
    </row>
    <row r="2331" spans="1:30" x14ac:dyDescent="0.25">
      <c r="A2331" t="s">
        <v>33</v>
      </c>
      <c r="D2331" t="s">
        <v>2847</v>
      </c>
      <c r="E2331" t="s">
        <v>2893</v>
      </c>
      <c r="F2331" t="s">
        <v>87</v>
      </c>
      <c r="G2331" t="s">
        <v>4857</v>
      </c>
      <c r="H2331" t="s">
        <v>38</v>
      </c>
      <c r="I2331" t="s">
        <v>24</v>
      </c>
      <c r="J2331" t="s">
        <v>69</v>
      </c>
      <c r="K2331" t="s">
        <v>41</v>
      </c>
      <c r="L2331" t="s">
        <v>4858</v>
      </c>
      <c r="M2331" t="s">
        <v>252</v>
      </c>
      <c r="N2331" t="s">
        <v>4859</v>
      </c>
      <c r="O2331" t="s">
        <v>509</v>
      </c>
      <c r="R2331" t="s">
        <v>5492</v>
      </c>
      <c r="S2331" t="s">
        <v>2864</v>
      </c>
      <c r="V2331" t="s">
        <v>2855</v>
      </c>
      <c r="W2331" t="s">
        <v>2898</v>
      </c>
      <c r="AD2331" t="s">
        <v>5493</v>
      </c>
    </row>
    <row r="2332" spans="1:30" x14ac:dyDescent="0.25">
      <c r="A2332" t="s">
        <v>33</v>
      </c>
      <c r="D2332" t="s">
        <v>2847</v>
      </c>
      <c r="E2332" t="s">
        <v>2893</v>
      </c>
      <c r="F2332" t="s">
        <v>87</v>
      </c>
      <c r="G2332" t="s">
        <v>4903</v>
      </c>
      <c r="H2332" t="s">
        <v>38</v>
      </c>
      <c r="I2332" t="s">
        <v>25</v>
      </c>
      <c r="J2332" t="s">
        <v>69</v>
      </c>
      <c r="K2332" t="s">
        <v>41</v>
      </c>
      <c r="L2332" t="s">
        <v>4904</v>
      </c>
      <c r="M2332" t="s">
        <v>252</v>
      </c>
      <c r="N2332" t="s">
        <v>4905</v>
      </c>
      <c r="O2332" t="s">
        <v>512</v>
      </c>
      <c r="R2332" t="s">
        <v>5494</v>
      </c>
      <c r="S2332" t="s">
        <v>2864</v>
      </c>
      <c r="V2332" t="s">
        <v>2855</v>
      </c>
      <c r="W2332" t="s">
        <v>2898</v>
      </c>
      <c r="AD2332" t="s">
        <v>5495</v>
      </c>
    </row>
    <row r="2333" spans="1:30" x14ac:dyDescent="0.25">
      <c r="A2333" t="s">
        <v>33</v>
      </c>
      <c r="D2333" t="s">
        <v>2847</v>
      </c>
      <c r="E2333" t="s">
        <v>2893</v>
      </c>
      <c r="F2333" t="s">
        <v>87</v>
      </c>
      <c r="G2333" t="s">
        <v>4903</v>
      </c>
      <c r="H2333" t="s">
        <v>38</v>
      </c>
      <c r="I2333" t="s">
        <v>24</v>
      </c>
      <c r="J2333" t="s">
        <v>69</v>
      </c>
      <c r="K2333" t="s">
        <v>41</v>
      </c>
      <c r="L2333" t="s">
        <v>4904</v>
      </c>
      <c r="M2333" t="s">
        <v>252</v>
      </c>
      <c r="N2333" t="s">
        <v>4905</v>
      </c>
      <c r="O2333" t="s">
        <v>509</v>
      </c>
      <c r="R2333" t="s">
        <v>5496</v>
      </c>
      <c r="S2333" t="s">
        <v>2864</v>
      </c>
      <c r="V2333" t="s">
        <v>2855</v>
      </c>
      <c r="W2333" t="s">
        <v>2898</v>
      </c>
      <c r="AD2333" t="s">
        <v>5497</v>
      </c>
    </row>
    <row r="2334" spans="1:30" x14ac:dyDescent="0.25">
      <c r="A2334" t="s">
        <v>33</v>
      </c>
      <c r="D2334" t="s">
        <v>2847</v>
      </c>
      <c r="E2334" t="s">
        <v>2893</v>
      </c>
      <c r="F2334" t="s">
        <v>87</v>
      </c>
      <c r="G2334" t="s">
        <v>4917</v>
      </c>
      <c r="H2334" t="s">
        <v>38</v>
      </c>
      <c r="I2334" t="s">
        <v>25</v>
      </c>
      <c r="J2334" t="s">
        <v>69</v>
      </c>
      <c r="K2334" t="s">
        <v>41</v>
      </c>
      <c r="L2334" t="s">
        <v>4918</v>
      </c>
      <c r="M2334" t="s">
        <v>252</v>
      </c>
      <c r="N2334" t="s">
        <v>4919</v>
      </c>
      <c r="O2334" t="s">
        <v>512</v>
      </c>
      <c r="R2334" t="s">
        <v>5498</v>
      </c>
      <c r="S2334" t="s">
        <v>2864</v>
      </c>
      <c r="V2334" t="s">
        <v>2855</v>
      </c>
      <c r="W2334" t="s">
        <v>2898</v>
      </c>
      <c r="AD2334" t="s">
        <v>5499</v>
      </c>
    </row>
    <row r="2335" spans="1:30" x14ac:dyDescent="0.25">
      <c r="A2335" t="s">
        <v>33</v>
      </c>
      <c r="D2335" t="s">
        <v>2847</v>
      </c>
      <c r="E2335" t="s">
        <v>2893</v>
      </c>
      <c r="F2335" t="s">
        <v>87</v>
      </c>
      <c r="G2335" t="s">
        <v>4917</v>
      </c>
      <c r="H2335" t="s">
        <v>38</v>
      </c>
      <c r="I2335" t="s">
        <v>24</v>
      </c>
      <c r="J2335" t="s">
        <v>69</v>
      </c>
      <c r="K2335" t="s">
        <v>41</v>
      </c>
      <c r="L2335" t="s">
        <v>4918</v>
      </c>
      <c r="M2335" t="s">
        <v>252</v>
      </c>
      <c r="N2335" t="s">
        <v>4919</v>
      </c>
      <c r="O2335" t="s">
        <v>509</v>
      </c>
      <c r="R2335" t="s">
        <v>5500</v>
      </c>
      <c r="S2335" t="s">
        <v>2864</v>
      </c>
      <c r="V2335" t="s">
        <v>2855</v>
      </c>
      <c r="W2335" t="s">
        <v>2898</v>
      </c>
      <c r="AD2335" t="s">
        <v>5501</v>
      </c>
    </row>
    <row r="2336" spans="1:30" x14ac:dyDescent="0.25">
      <c r="A2336" t="s">
        <v>33</v>
      </c>
      <c r="D2336" t="s">
        <v>2847</v>
      </c>
      <c r="E2336" t="s">
        <v>2893</v>
      </c>
      <c r="F2336" t="s">
        <v>87</v>
      </c>
      <c r="G2336" t="s">
        <v>4932</v>
      </c>
      <c r="H2336" t="s">
        <v>38</v>
      </c>
      <c r="I2336" t="s">
        <v>25</v>
      </c>
      <c r="J2336" t="s">
        <v>69</v>
      </c>
      <c r="K2336" t="s">
        <v>41</v>
      </c>
      <c r="L2336" t="s">
        <v>4933</v>
      </c>
      <c r="M2336" t="s">
        <v>252</v>
      </c>
      <c r="N2336" t="s">
        <v>4934</v>
      </c>
      <c r="O2336" t="s">
        <v>512</v>
      </c>
      <c r="R2336" t="s">
        <v>5502</v>
      </c>
      <c r="S2336" t="s">
        <v>2864</v>
      </c>
      <c r="V2336" t="s">
        <v>2855</v>
      </c>
      <c r="W2336" t="s">
        <v>2898</v>
      </c>
      <c r="AD2336" t="s">
        <v>5503</v>
      </c>
    </row>
    <row r="2337" spans="1:30" x14ac:dyDescent="0.25">
      <c r="A2337" t="s">
        <v>33</v>
      </c>
      <c r="D2337" t="s">
        <v>2847</v>
      </c>
      <c r="E2337" t="s">
        <v>2893</v>
      </c>
      <c r="F2337" t="s">
        <v>87</v>
      </c>
      <c r="G2337" t="s">
        <v>4932</v>
      </c>
      <c r="H2337" t="s">
        <v>38</v>
      </c>
      <c r="I2337" t="s">
        <v>24</v>
      </c>
      <c r="J2337" t="s">
        <v>69</v>
      </c>
      <c r="K2337" t="s">
        <v>41</v>
      </c>
      <c r="L2337" t="s">
        <v>4933</v>
      </c>
      <c r="M2337" t="s">
        <v>252</v>
      </c>
      <c r="N2337" t="s">
        <v>4934</v>
      </c>
      <c r="O2337" t="s">
        <v>509</v>
      </c>
      <c r="R2337" t="s">
        <v>5504</v>
      </c>
      <c r="S2337" t="s">
        <v>2864</v>
      </c>
      <c r="V2337" t="s">
        <v>2855</v>
      </c>
      <c r="W2337" t="s">
        <v>2898</v>
      </c>
      <c r="AD2337" t="s">
        <v>5505</v>
      </c>
    </row>
    <row r="2338" spans="1:30" x14ac:dyDescent="0.25">
      <c r="A2338" t="s">
        <v>33</v>
      </c>
      <c r="D2338" t="s">
        <v>2847</v>
      </c>
      <c r="E2338" t="s">
        <v>2893</v>
      </c>
      <c r="F2338" t="s">
        <v>36</v>
      </c>
      <c r="G2338" t="s">
        <v>3524</v>
      </c>
      <c r="H2338" t="s">
        <v>38</v>
      </c>
      <c r="I2338" t="s">
        <v>25</v>
      </c>
      <c r="J2338" t="s">
        <v>69</v>
      </c>
      <c r="K2338" t="s">
        <v>41</v>
      </c>
      <c r="L2338" t="s">
        <v>3525</v>
      </c>
      <c r="M2338" t="s">
        <v>3483</v>
      </c>
      <c r="N2338" t="s">
        <v>3526</v>
      </c>
      <c r="O2338" t="s">
        <v>512</v>
      </c>
      <c r="R2338" t="s">
        <v>5506</v>
      </c>
      <c r="S2338" t="s">
        <v>2864</v>
      </c>
      <c r="V2338" t="s">
        <v>2855</v>
      </c>
      <c r="W2338" t="s">
        <v>2898</v>
      </c>
      <c r="X2338" t="s">
        <v>963</v>
      </c>
      <c r="AD2338" t="s">
        <v>5507</v>
      </c>
    </row>
    <row r="2339" spans="1:30" x14ac:dyDescent="0.25">
      <c r="A2339" t="s">
        <v>33</v>
      </c>
      <c r="D2339" t="s">
        <v>2847</v>
      </c>
      <c r="E2339" t="s">
        <v>2893</v>
      </c>
      <c r="F2339" t="s">
        <v>36</v>
      </c>
      <c r="G2339" t="s">
        <v>3524</v>
      </c>
      <c r="H2339" t="s">
        <v>38</v>
      </c>
      <c r="I2339" t="s">
        <v>24</v>
      </c>
      <c r="J2339" t="s">
        <v>69</v>
      </c>
      <c r="K2339" t="s">
        <v>41</v>
      </c>
      <c r="L2339" t="s">
        <v>3525</v>
      </c>
      <c r="M2339" t="s">
        <v>3483</v>
      </c>
      <c r="N2339" t="s">
        <v>3526</v>
      </c>
      <c r="O2339" t="s">
        <v>509</v>
      </c>
      <c r="R2339" t="s">
        <v>5508</v>
      </c>
      <c r="S2339" t="s">
        <v>2864</v>
      </c>
      <c r="V2339" t="s">
        <v>2855</v>
      </c>
      <c r="W2339" t="s">
        <v>2898</v>
      </c>
      <c r="X2339" t="s">
        <v>963</v>
      </c>
      <c r="AD2339" t="s">
        <v>5509</v>
      </c>
    </row>
    <row r="2340" spans="1:30" x14ac:dyDescent="0.25">
      <c r="A2340" t="s">
        <v>33</v>
      </c>
      <c r="D2340" t="s">
        <v>2847</v>
      </c>
      <c r="E2340" t="s">
        <v>2893</v>
      </c>
      <c r="F2340" t="s">
        <v>36</v>
      </c>
      <c r="G2340" t="s">
        <v>3500</v>
      </c>
      <c r="H2340" t="s">
        <v>38</v>
      </c>
      <c r="I2340" t="s">
        <v>25</v>
      </c>
      <c r="J2340" t="s">
        <v>69</v>
      </c>
      <c r="K2340" t="s">
        <v>41</v>
      </c>
      <c r="L2340" t="s">
        <v>3501</v>
      </c>
      <c r="M2340" t="s">
        <v>3483</v>
      </c>
      <c r="N2340" t="s">
        <v>3502</v>
      </c>
      <c r="O2340" t="s">
        <v>512</v>
      </c>
      <c r="R2340" t="s">
        <v>5510</v>
      </c>
      <c r="S2340" t="s">
        <v>2864</v>
      </c>
      <c r="V2340" t="s">
        <v>2855</v>
      </c>
      <c r="W2340" t="s">
        <v>2898</v>
      </c>
      <c r="X2340" t="s">
        <v>963</v>
      </c>
      <c r="AD2340" t="s">
        <v>5511</v>
      </c>
    </row>
    <row r="2341" spans="1:30" x14ac:dyDescent="0.25">
      <c r="A2341" t="s">
        <v>33</v>
      </c>
      <c r="D2341" t="s">
        <v>2847</v>
      </c>
      <c r="E2341" t="s">
        <v>2893</v>
      </c>
      <c r="F2341" t="s">
        <v>36</v>
      </c>
      <c r="G2341" t="s">
        <v>3500</v>
      </c>
      <c r="H2341" t="s">
        <v>38</v>
      </c>
      <c r="I2341" t="s">
        <v>24</v>
      </c>
      <c r="J2341" t="s">
        <v>69</v>
      </c>
      <c r="K2341" t="s">
        <v>41</v>
      </c>
      <c r="L2341" t="s">
        <v>3501</v>
      </c>
      <c r="M2341" t="s">
        <v>3483</v>
      </c>
      <c r="N2341" t="s">
        <v>3502</v>
      </c>
      <c r="O2341" t="s">
        <v>509</v>
      </c>
      <c r="R2341" t="s">
        <v>5512</v>
      </c>
      <c r="S2341" t="s">
        <v>2864</v>
      </c>
      <c r="V2341" t="s">
        <v>2855</v>
      </c>
      <c r="W2341" t="s">
        <v>2898</v>
      </c>
      <c r="X2341" t="s">
        <v>963</v>
      </c>
      <c r="AD2341" t="s">
        <v>5513</v>
      </c>
    </row>
    <row r="2342" spans="1:30" x14ac:dyDescent="0.25">
      <c r="A2342" t="s">
        <v>33</v>
      </c>
      <c r="D2342" t="s">
        <v>2847</v>
      </c>
      <c r="E2342" t="s">
        <v>2893</v>
      </c>
      <c r="F2342" t="s">
        <v>36</v>
      </c>
      <c r="G2342" t="s">
        <v>3495</v>
      </c>
      <c r="H2342" t="s">
        <v>38</v>
      </c>
      <c r="I2342" t="s">
        <v>25</v>
      </c>
      <c r="J2342" t="s">
        <v>69</v>
      </c>
      <c r="K2342" t="s">
        <v>41</v>
      </c>
      <c r="L2342" t="s">
        <v>3496</v>
      </c>
      <c r="M2342" t="s">
        <v>3483</v>
      </c>
      <c r="N2342" t="s">
        <v>3497</v>
      </c>
      <c r="O2342" t="s">
        <v>512</v>
      </c>
      <c r="R2342" t="s">
        <v>5514</v>
      </c>
      <c r="S2342" t="s">
        <v>2864</v>
      </c>
      <c r="V2342" t="s">
        <v>2855</v>
      </c>
      <c r="W2342" t="s">
        <v>2898</v>
      </c>
      <c r="X2342" t="s">
        <v>963</v>
      </c>
      <c r="AD2342" t="s">
        <v>5515</v>
      </c>
    </row>
    <row r="2343" spans="1:30" x14ac:dyDescent="0.25">
      <c r="A2343" t="s">
        <v>33</v>
      </c>
      <c r="D2343" t="s">
        <v>2847</v>
      </c>
      <c r="E2343" t="s">
        <v>2893</v>
      </c>
      <c r="F2343" t="s">
        <v>36</v>
      </c>
      <c r="G2343" t="s">
        <v>3495</v>
      </c>
      <c r="H2343" t="s">
        <v>38</v>
      </c>
      <c r="I2343" t="s">
        <v>24</v>
      </c>
      <c r="J2343" t="s">
        <v>69</v>
      </c>
      <c r="K2343" t="s">
        <v>41</v>
      </c>
      <c r="L2343" t="s">
        <v>3496</v>
      </c>
      <c r="M2343" t="s">
        <v>3483</v>
      </c>
      <c r="N2343" t="s">
        <v>3497</v>
      </c>
      <c r="O2343" t="s">
        <v>509</v>
      </c>
      <c r="R2343" t="s">
        <v>5516</v>
      </c>
      <c r="S2343" t="s">
        <v>2864</v>
      </c>
      <c r="V2343" t="s">
        <v>2855</v>
      </c>
      <c r="W2343" t="s">
        <v>2898</v>
      </c>
      <c r="X2343" t="s">
        <v>963</v>
      </c>
      <c r="AD2343" t="s">
        <v>5517</v>
      </c>
    </row>
    <row r="2344" spans="1:30" x14ac:dyDescent="0.25">
      <c r="A2344" t="s">
        <v>33</v>
      </c>
      <c r="D2344" t="s">
        <v>2847</v>
      </c>
      <c r="E2344" t="s">
        <v>2893</v>
      </c>
      <c r="F2344" t="s">
        <v>87</v>
      </c>
      <c r="G2344" t="s">
        <v>3810</v>
      </c>
      <c r="H2344" t="s">
        <v>38</v>
      </c>
      <c r="I2344" t="s">
        <v>25</v>
      </c>
      <c r="J2344" t="s">
        <v>69</v>
      </c>
      <c r="K2344" t="s">
        <v>41</v>
      </c>
      <c r="L2344" t="s">
        <v>3811</v>
      </c>
      <c r="M2344" t="s">
        <v>3327</v>
      </c>
      <c r="N2344" t="s">
        <v>3812</v>
      </c>
      <c r="O2344" t="s">
        <v>512</v>
      </c>
      <c r="R2344" t="s">
        <v>5518</v>
      </c>
      <c r="S2344" t="s">
        <v>2864</v>
      </c>
      <c r="V2344" t="s">
        <v>2855</v>
      </c>
      <c r="W2344" t="s">
        <v>2898</v>
      </c>
      <c r="X2344" t="s">
        <v>1193</v>
      </c>
      <c r="AD2344" t="s">
        <v>5519</v>
      </c>
    </row>
    <row r="2345" spans="1:30" x14ac:dyDescent="0.25">
      <c r="A2345" t="s">
        <v>33</v>
      </c>
      <c r="D2345" t="s">
        <v>2847</v>
      </c>
      <c r="E2345" t="s">
        <v>2893</v>
      </c>
      <c r="F2345" t="s">
        <v>87</v>
      </c>
      <c r="G2345" t="s">
        <v>3810</v>
      </c>
      <c r="H2345" t="s">
        <v>38</v>
      </c>
      <c r="I2345" t="s">
        <v>24</v>
      </c>
      <c r="J2345" t="s">
        <v>69</v>
      </c>
      <c r="K2345" t="s">
        <v>41</v>
      </c>
      <c r="L2345" t="s">
        <v>3811</v>
      </c>
      <c r="M2345" t="s">
        <v>3327</v>
      </c>
      <c r="N2345" t="s">
        <v>3812</v>
      </c>
      <c r="O2345" t="s">
        <v>509</v>
      </c>
      <c r="R2345" t="s">
        <v>5520</v>
      </c>
      <c r="S2345" t="s">
        <v>2864</v>
      </c>
      <c r="V2345" t="s">
        <v>2855</v>
      </c>
      <c r="W2345" t="s">
        <v>2898</v>
      </c>
      <c r="X2345" t="s">
        <v>1193</v>
      </c>
      <c r="AD2345" t="s">
        <v>5521</v>
      </c>
    </row>
    <row r="2346" spans="1:30" x14ac:dyDescent="0.25">
      <c r="A2346" t="s">
        <v>33</v>
      </c>
      <c r="D2346" t="s">
        <v>2847</v>
      </c>
      <c r="E2346" t="s">
        <v>2893</v>
      </c>
      <c r="F2346" t="s">
        <v>87</v>
      </c>
      <c r="G2346" t="s">
        <v>3702</v>
      </c>
      <c r="H2346" t="s">
        <v>38</v>
      </c>
      <c r="I2346" t="s">
        <v>25</v>
      </c>
      <c r="J2346" t="s">
        <v>69</v>
      </c>
      <c r="K2346" t="s">
        <v>41</v>
      </c>
      <c r="L2346" t="s">
        <v>3703</v>
      </c>
      <c r="M2346" t="s">
        <v>1191</v>
      </c>
      <c r="N2346" t="s">
        <v>3704</v>
      </c>
      <c r="O2346" t="s">
        <v>512</v>
      </c>
      <c r="R2346" t="s">
        <v>5522</v>
      </c>
      <c r="S2346" t="s">
        <v>2864</v>
      </c>
      <c r="V2346" t="s">
        <v>2855</v>
      </c>
      <c r="W2346" t="s">
        <v>2898</v>
      </c>
      <c r="X2346" t="s">
        <v>1193</v>
      </c>
      <c r="AD2346" t="s">
        <v>5523</v>
      </c>
    </row>
    <row r="2347" spans="1:30" x14ac:dyDescent="0.25">
      <c r="A2347" t="s">
        <v>33</v>
      </c>
      <c r="D2347" t="s">
        <v>2847</v>
      </c>
      <c r="E2347" t="s">
        <v>2893</v>
      </c>
      <c r="F2347" t="s">
        <v>87</v>
      </c>
      <c r="G2347" t="s">
        <v>3702</v>
      </c>
      <c r="H2347" t="s">
        <v>38</v>
      </c>
      <c r="I2347" t="s">
        <v>24</v>
      </c>
      <c r="J2347" t="s">
        <v>69</v>
      </c>
      <c r="K2347" t="s">
        <v>41</v>
      </c>
      <c r="L2347" t="s">
        <v>3703</v>
      </c>
      <c r="M2347" t="s">
        <v>1191</v>
      </c>
      <c r="N2347" t="s">
        <v>3704</v>
      </c>
      <c r="O2347" t="s">
        <v>509</v>
      </c>
      <c r="R2347" t="s">
        <v>5524</v>
      </c>
      <c r="S2347" t="s">
        <v>2864</v>
      </c>
      <c r="V2347" t="s">
        <v>2855</v>
      </c>
      <c r="W2347" t="s">
        <v>2898</v>
      </c>
      <c r="X2347" t="s">
        <v>1193</v>
      </c>
      <c r="AD2347" t="s">
        <v>5525</v>
      </c>
    </row>
    <row r="2348" spans="1:30" x14ac:dyDescent="0.25">
      <c r="A2348" t="s">
        <v>33</v>
      </c>
      <c r="D2348" t="s">
        <v>2847</v>
      </c>
      <c r="E2348" t="s">
        <v>2893</v>
      </c>
      <c r="F2348" t="s">
        <v>87</v>
      </c>
      <c r="G2348" t="s">
        <v>3711</v>
      </c>
      <c r="H2348" t="s">
        <v>38</v>
      </c>
      <c r="I2348" t="s">
        <v>25</v>
      </c>
      <c r="J2348" t="s">
        <v>69</v>
      </c>
      <c r="K2348" t="s">
        <v>41</v>
      </c>
      <c r="L2348" t="s">
        <v>3712</v>
      </c>
      <c r="M2348" t="s">
        <v>1191</v>
      </c>
      <c r="N2348" t="s">
        <v>3713</v>
      </c>
      <c r="O2348" t="s">
        <v>512</v>
      </c>
      <c r="R2348" t="s">
        <v>5526</v>
      </c>
      <c r="S2348" t="s">
        <v>2864</v>
      </c>
      <c r="V2348" t="s">
        <v>2855</v>
      </c>
      <c r="W2348" t="s">
        <v>2898</v>
      </c>
      <c r="X2348" t="s">
        <v>1193</v>
      </c>
      <c r="AD2348" t="s">
        <v>5527</v>
      </c>
    </row>
    <row r="2349" spans="1:30" x14ac:dyDescent="0.25">
      <c r="A2349" t="s">
        <v>33</v>
      </c>
      <c r="D2349" t="s">
        <v>2847</v>
      </c>
      <c r="E2349" t="s">
        <v>2893</v>
      </c>
      <c r="F2349" t="s">
        <v>87</v>
      </c>
      <c r="G2349" t="s">
        <v>3711</v>
      </c>
      <c r="H2349" t="s">
        <v>38</v>
      </c>
      <c r="I2349" t="s">
        <v>24</v>
      </c>
      <c r="J2349" t="s">
        <v>69</v>
      </c>
      <c r="K2349" t="s">
        <v>41</v>
      </c>
      <c r="L2349" t="s">
        <v>3712</v>
      </c>
      <c r="M2349" t="s">
        <v>1191</v>
      </c>
      <c r="N2349" t="s">
        <v>3713</v>
      </c>
      <c r="O2349" t="s">
        <v>509</v>
      </c>
      <c r="R2349" t="s">
        <v>5528</v>
      </c>
      <c r="S2349" t="s">
        <v>2864</v>
      </c>
      <c r="V2349" t="s">
        <v>2855</v>
      </c>
      <c r="W2349" t="s">
        <v>2898</v>
      </c>
      <c r="X2349" t="s">
        <v>1193</v>
      </c>
      <c r="AD2349" t="s">
        <v>5529</v>
      </c>
    </row>
    <row r="2350" spans="1:30" x14ac:dyDescent="0.25">
      <c r="A2350" t="s">
        <v>33</v>
      </c>
      <c r="D2350" t="s">
        <v>2847</v>
      </c>
      <c r="E2350" t="s">
        <v>2893</v>
      </c>
      <c r="F2350" t="s">
        <v>87</v>
      </c>
      <c r="G2350" t="s">
        <v>5054</v>
      </c>
      <c r="H2350" t="s">
        <v>38</v>
      </c>
      <c r="I2350" t="s">
        <v>25</v>
      </c>
      <c r="J2350" t="s">
        <v>69</v>
      </c>
      <c r="K2350" t="s">
        <v>41</v>
      </c>
      <c r="L2350" t="s">
        <v>5055</v>
      </c>
      <c r="M2350" t="s">
        <v>53</v>
      </c>
      <c r="N2350" t="s">
        <v>5056</v>
      </c>
      <c r="O2350" t="s">
        <v>512</v>
      </c>
      <c r="R2350" t="s">
        <v>5530</v>
      </c>
      <c r="S2350" t="s">
        <v>2864</v>
      </c>
      <c r="V2350" t="s">
        <v>2855</v>
      </c>
      <c r="W2350" t="s">
        <v>2898</v>
      </c>
      <c r="X2350" t="s">
        <v>56</v>
      </c>
      <c r="AD2350" t="s">
        <v>5531</v>
      </c>
    </row>
    <row r="2351" spans="1:30" x14ac:dyDescent="0.25">
      <c r="A2351" t="s">
        <v>33</v>
      </c>
      <c r="D2351" t="s">
        <v>2847</v>
      </c>
      <c r="E2351" t="s">
        <v>2893</v>
      </c>
      <c r="F2351" t="s">
        <v>87</v>
      </c>
      <c r="G2351" t="s">
        <v>5054</v>
      </c>
      <c r="H2351" t="s">
        <v>38</v>
      </c>
      <c r="I2351" t="s">
        <v>24</v>
      </c>
      <c r="J2351" t="s">
        <v>69</v>
      </c>
      <c r="K2351" t="s">
        <v>41</v>
      </c>
      <c r="L2351" t="s">
        <v>5055</v>
      </c>
      <c r="M2351" t="s">
        <v>53</v>
      </c>
      <c r="N2351" t="s">
        <v>5056</v>
      </c>
      <c r="O2351" t="s">
        <v>509</v>
      </c>
      <c r="R2351" t="s">
        <v>5532</v>
      </c>
      <c r="S2351" t="s">
        <v>2864</v>
      </c>
      <c r="V2351" t="s">
        <v>2855</v>
      </c>
      <c r="W2351" t="s">
        <v>2898</v>
      </c>
      <c r="X2351" t="s">
        <v>56</v>
      </c>
      <c r="AD2351" t="s">
        <v>5533</v>
      </c>
    </row>
    <row r="2352" spans="1:30" x14ac:dyDescent="0.25">
      <c r="A2352" t="s">
        <v>33</v>
      </c>
      <c r="D2352" t="s">
        <v>2847</v>
      </c>
      <c r="E2352" t="s">
        <v>2893</v>
      </c>
      <c r="F2352" t="s">
        <v>87</v>
      </c>
      <c r="G2352" t="s">
        <v>3837</v>
      </c>
      <c r="H2352" t="s">
        <v>38</v>
      </c>
      <c r="I2352" t="s">
        <v>25</v>
      </c>
      <c r="J2352" t="s">
        <v>69</v>
      </c>
      <c r="K2352" t="s">
        <v>41</v>
      </c>
      <c r="L2352" t="s">
        <v>3838</v>
      </c>
      <c r="M2352" t="s">
        <v>3327</v>
      </c>
      <c r="N2352" t="s">
        <v>3812</v>
      </c>
      <c r="O2352" t="s">
        <v>512</v>
      </c>
      <c r="R2352" t="s">
        <v>5534</v>
      </c>
      <c r="S2352" t="s">
        <v>2864</v>
      </c>
      <c r="V2352" t="s">
        <v>2855</v>
      </c>
      <c r="W2352" t="s">
        <v>2898</v>
      </c>
      <c r="X2352" t="s">
        <v>1193</v>
      </c>
      <c r="AD2352" t="s">
        <v>5519</v>
      </c>
    </row>
    <row r="2353" spans="1:30" x14ac:dyDescent="0.25">
      <c r="A2353" t="s">
        <v>33</v>
      </c>
      <c r="D2353" t="s">
        <v>2847</v>
      </c>
      <c r="E2353" t="s">
        <v>2893</v>
      </c>
      <c r="F2353" t="s">
        <v>87</v>
      </c>
      <c r="G2353" t="s">
        <v>3837</v>
      </c>
      <c r="H2353" t="s">
        <v>38</v>
      </c>
      <c r="I2353" t="s">
        <v>24</v>
      </c>
      <c r="J2353" t="s">
        <v>69</v>
      </c>
      <c r="K2353" t="s">
        <v>41</v>
      </c>
      <c r="L2353" t="s">
        <v>3838</v>
      </c>
      <c r="M2353" t="s">
        <v>3327</v>
      </c>
      <c r="N2353" t="s">
        <v>3812</v>
      </c>
      <c r="O2353" t="s">
        <v>509</v>
      </c>
      <c r="R2353" t="s">
        <v>5535</v>
      </c>
      <c r="S2353" t="s">
        <v>2864</v>
      </c>
      <c r="V2353" t="s">
        <v>2855</v>
      </c>
      <c r="W2353" t="s">
        <v>2898</v>
      </c>
      <c r="X2353" t="s">
        <v>1193</v>
      </c>
      <c r="AD2353" t="s">
        <v>5521</v>
      </c>
    </row>
    <row r="2354" spans="1:30" x14ac:dyDescent="0.25">
      <c r="A2354" t="s">
        <v>33</v>
      </c>
      <c r="D2354" t="s">
        <v>2847</v>
      </c>
      <c r="E2354" t="s">
        <v>2893</v>
      </c>
      <c r="F2354" t="s">
        <v>87</v>
      </c>
      <c r="G2354" t="s">
        <v>3720</v>
      </c>
      <c r="H2354" t="s">
        <v>38</v>
      </c>
      <c r="I2354" t="s">
        <v>25</v>
      </c>
      <c r="J2354" t="s">
        <v>69</v>
      </c>
      <c r="K2354" t="s">
        <v>41</v>
      </c>
      <c r="L2354" t="s">
        <v>3721</v>
      </c>
      <c r="M2354" t="s">
        <v>1191</v>
      </c>
      <c r="N2354" t="s">
        <v>3704</v>
      </c>
      <c r="O2354" t="s">
        <v>512</v>
      </c>
      <c r="R2354" t="s">
        <v>5536</v>
      </c>
      <c r="S2354" t="s">
        <v>2864</v>
      </c>
      <c r="V2354" t="s">
        <v>2855</v>
      </c>
      <c r="W2354" t="s">
        <v>2898</v>
      </c>
      <c r="X2354" t="s">
        <v>1193</v>
      </c>
      <c r="AD2354" t="s">
        <v>5523</v>
      </c>
    </row>
    <row r="2355" spans="1:30" x14ac:dyDescent="0.25">
      <c r="A2355" t="s">
        <v>33</v>
      </c>
      <c r="D2355" t="s">
        <v>2847</v>
      </c>
      <c r="E2355" t="s">
        <v>2893</v>
      </c>
      <c r="F2355" t="s">
        <v>87</v>
      </c>
      <c r="G2355" t="s">
        <v>3720</v>
      </c>
      <c r="H2355" t="s">
        <v>38</v>
      </c>
      <c r="I2355" t="s">
        <v>24</v>
      </c>
      <c r="J2355" t="s">
        <v>69</v>
      </c>
      <c r="K2355" t="s">
        <v>41</v>
      </c>
      <c r="L2355" t="s">
        <v>3721</v>
      </c>
      <c r="M2355" t="s">
        <v>1191</v>
      </c>
      <c r="N2355" t="s">
        <v>3704</v>
      </c>
      <c r="O2355" t="s">
        <v>509</v>
      </c>
      <c r="R2355" t="s">
        <v>5537</v>
      </c>
      <c r="S2355" t="s">
        <v>2864</v>
      </c>
      <c r="V2355" t="s">
        <v>2855</v>
      </c>
      <c r="W2355" t="s">
        <v>2898</v>
      </c>
      <c r="X2355" t="s">
        <v>1193</v>
      </c>
      <c r="AD2355" t="s">
        <v>5525</v>
      </c>
    </row>
    <row r="2356" spans="1:30" x14ac:dyDescent="0.25">
      <c r="A2356" t="s">
        <v>33</v>
      </c>
      <c r="D2356" t="s">
        <v>2847</v>
      </c>
      <c r="E2356" t="s">
        <v>2893</v>
      </c>
      <c r="F2356" t="s">
        <v>87</v>
      </c>
      <c r="G2356" t="s">
        <v>3725</v>
      </c>
      <c r="H2356" t="s">
        <v>38</v>
      </c>
      <c r="I2356" t="s">
        <v>25</v>
      </c>
      <c r="J2356" t="s">
        <v>69</v>
      </c>
      <c r="K2356" t="s">
        <v>41</v>
      </c>
      <c r="L2356" t="s">
        <v>3726</v>
      </c>
      <c r="M2356" t="s">
        <v>1191</v>
      </c>
      <c r="N2356" t="s">
        <v>3713</v>
      </c>
      <c r="O2356" t="s">
        <v>512</v>
      </c>
      <c r="R2356" t="s">
        <v>5538</v>
      </c>
      <c r="S2356" t="s">
        <v>2864</v>
      </c>
      <c r="V2356" t="s">
        <v>2855</v>
      </c>
      <c r="W2356" t="s">
        <v>2898</v>
      </c>
      <c r="X2356" t="s">
        <v>1193</v>
      </c>
      <c r="AD2356" t="s">
        <v>5527</v>
      </c>
    </row>
    <row r="2357" spans="1:30" x14ac:dyDescent="0.25">
      <c r="A2357" t="s">
        <v>33</v>
      </c>
      <c r="D2357" t="s">
        <v>2847</v>
      </c>
      <c r="E2357" t="s">
        <v>2893</v>
      </c>
      <c r="F2357" t="s">
        <v>87</v>
      </c>
      <c r="G2357" t="s">
        <v>3725</v>
      </c>
      <c r="H2357" t="s">
        <v>38</v>
      </c>
      <c r="I2357" t="s">
        <v>24</v>
      </c>
      <c r="J2357" t="s">
        <v>69</v>
      </c>
      <c r="K2357" t="s">
        <v>41</v>
      </c>
      <c r="L2357" t="s">
        <v>3726</v>
      </c>
      <c r="M2357" t="s">
        <v>1191</v>
      </c>
      <c r="N2357" t="s">
        <v>3713</v>
      </c>
      <c r="O2357" t="s">
        <v>509</v>
      </c>
      <c r="R2357" t="s">
        <v>5539</v>
      </c>
      <c r="S2357" t="s">
        <v>2864</v>
      </c>
      <c r="V2357" t="s">
        <v>2855</v>
      </c>
      <c r="W2357" t="s">
        <v>2898</v>
      </c>
      <c r="X2357" t="s">
        <v>1193</v>
      </c>
      <c r="AD2357" t="s">
        <v>5529</v>
      </c>
    </row>
    <row r="2358" spans="1:30" x14ac:dyDescent="0.25">
      <c r="A2358" t="s">
        <v>33</v>
      </c>
      <c r="D2358" t="s">
        <v>2847</v>
      </c>
      <c r="E2358" t="s">
        <v>2893</v>
      </c>
      <c r="F2358" t="s">
        <v>87</v>
      </c>
      <c r="G2358" t="s">
        <v>5067</v>
      </c>
      <c r="H2358" t="s">
        <v>38</v>
      </c>
      <c r="I2358" t="s">
        <v>25</v>
      </c>
      <c r="J2358" t="s">
        <v>69</v>
      </c>
      <c r="K2358" t="s">
        <v>41</v>
      </c>
      <c r="L2358" t="s">
        <v>5068</v>
      </c>
      <c r="M2358" t="s">
        <v>53</v>
      </c>
      <c r="N2358" t="s">
        <v>5056</v>
      </c>
      <c r="O2358" t="s">
        <v>512</v>
      </c>
      <c r="R2358" t="s">
        <v>5540</v>
      </c>
      <c r="S2358" t="s">
        <v>2864</v>
      </c>
      <c r="V2358" t="s">
        <v>2855</v>
      </c>
      <c r="W2358" t="s">
        <v>2898</v>
      </c>
      <c r="X2358" t="s">
        <v>56</v>
      </c>
      <c r="AD2358" t="s">
        <v>5531</v>
      </c>
    </row>
    <row r="2359" spans="1:30" x14ac:dyDescent="0.25">
      <c r="A2359" t="s">
        <v>33</v>
      </c>
      <c r="D2359" t="s">
        <v>2847</v>
      </c>
      <c r="E2359" t="s">
        <v>2893</v>
      </c>
      <c r="F2359" t="s">
        <v>87</v>
      </c>
      <c r="G2359" t="s">
        <v>5067</v>
      </c>
      <c r="H2359" t="s">
        <v>38</v>
      </c>
      <c r="I2359" t="s">
        <v>24</v>
      </c>
      <c r="J2359" t="s">
        <v>69</v>
      </c>
      <c r="K2359" t="s">
        <v>41</v>
      </c>
      <c r="L2359" t="s">
        <v>5068</v>
      </c>
      <c r="M2359" t="s">
        <v>53</v>
      </c>
      <c r="N2359" t="s">
        <v>5056</v>
      </c>
      <c r="O2359" t="s">
        <v>509</v>
      </c>
      <c r="R2359" t="s">
        <v>5541</v>
      </c>
      <c r="S2359" t="s">
        <v>2864</v>
      </c>
      <c r="V2359" t="s">
        <v>2855</v>
      </c>
      <c r="W2359" t="s">
        <v>2898</v>
      </c>
      <c r="X2359" t="s">
        <v>56</v>
      </c>
      <c r="AD2359" t="s">
        <v>5533</v>
      </c>
    </row>
    <row r="2360" spans="1:30" x14ac:dyDescent="0.25">
      <c r="A2360" t="s">
        <v>33</v>
      </c>
      <c r="D2360" t="s">
        <v>2847</v>
      </c>
      <c r="E2360" t="s">
        <v>2893</v>
      </c>
      <c r="F2360" t="s">
        <v>87</v>
      </c>
      <c r="G2360" t="s">
        <v>4946</v>
      </c>
      <c r="H2360" t="s">
        <v>38</v>
      </c>
      <c r="I2360" t="s">
        <v>25</v>
      </c>
      <c r="J2360" t="s">
        <v>69</v>
      </c>
      <c r="K2360" t="s">
        <v>41</v>
      </c>
      <c r="L2360" t="s">
        <v>4947</v>
      </c>
      <c r="M2360" t="s">
        <v>252</v>
      </c>
      <c r="N2360" t="s">
        <v>4948</v>
      </c>
      <c r="O2360" t="s">
        <v>512</v>
      </c>
      <c r="R2360" t="s">
        <v>5542</v>
      </c>
      <c r="S2360" t="s">
        <v>2864</v>
      </c>
      <c r="V2360" t="s">
        <v>2855</v>
      </c>
      <c r="W2360" t="s">
        <v>2898</v>
      </c>
      <c r="AD2360" t="s">
        <v>5543</v>
      </c>
    </row>
    <row r="2361" spans="1:30" x14ac:dyDescent="0.25">
      <c r="A2361" t="s">
        <v>33</v>
      </c>
      <c r="D2361" t="s">
        <v>2847</v>
      </c>
      <c r="E2361" t="s">
        <v>2893</v>
      </c>
      <c r="F2361" t="s">
        <v>87</v>
      </c>
      <c r="G2361" t="s">
        <v>4946</v>
      </c>
      <c r="H2361" t="s">
        <v>38</v>
      </c>
      <c r="I2361" t="s">
        <v>24</v>
      </c>
      <c r="J2361" t="s">
        <v>69</v>
      </c>
      <c r="K2361" t="s">
        <v>41</v>
      </c>
      <c r="L2361" t="s">
        <v>4947</v>
      </c>
      <c r="M2361" t="s">
        <v>252</v>
      </c>
      <c r="N2361" t="s">
        <v>4948</v>
      </c>
      <c r="O2361" t="s">
        <v>509</v>
      </c>
      <c r="R2361" t="s">
        <v>5544</v>
      </c>
      <c r="S2361" t="s">
        <v>2864</v>
      </c>
      <c r="V2361" t="s">
        <v>2855</v>
      </c>
      <c r="W2361" t="s">
        <v>2898</v>
      </c>
      <c r="AD2361" t="s">
        <v>5545</v>
      </c>
    </row>
    <row r="2362" spans="1:30" x14ac:dyDescent="0.25">
      <c r="A2362" t="s">
        <v>33</v>
      </c>
      <c r="D2362" t="s">
        <v>2847</v>
      </c>
      <c r="E2362" t="s">
        <v>2893</v>
      </c>
      <c r="F2362" t="s">
        <v>87</v>
      </c>
      <c r="G2362" t="s">
        <v>3730</v>
      </c>
      <c r="H2362" t="s">
        <v>38</v>
      </c>
      <c r="I2362" t="s">
        <v>25</v>
      </c>
      <c r="J2362" t="s">
        <v>69</v>
      </c>
      <c r="K2362" t="s">
        <v>41</v>
      </c>
      <c r="L2362" t="s">
        <v>3731</v>
      </c>
      <c r="M2362" t="s">
        <v>1191</v>
      </c>
      <c r="N2362" t="s">
        <v>3732</v>
      </c>
      <c r="O2362" t="s">
        <v>512</v>
      </c>
      <c r="R2362" t="s">
        <v>5546</v>
      </c>
      <c r="S2362" t="s">
        <v>2864</v>
      </c>
      <c r="V2362" t="s">
        <v>2855</v>
      </c>
      <c r="W2362" t="s">
        <v>2898</v>
      </c>
      <c r="X2362" t="s">
        <v>1193</v>
      </c>
      <c r="AD2362" t="s">
        <v>5547</v>
      </c>
    </row>
    <row r="2363" spans="1:30" x14ac:dyDescent="0.25">
      <c r="A2363" t="s">
        <v>33</v>
      </c>
      <c r="D2363" t="s">
        <v>2847</v>
      </c>
      <c r="E2363" t="s">
        <v>2893</v>
      </c>
      <c r="F2363" t="s">
        <v>87</v>
      </c>
      <c r="G2363" t="s">
        <v>3730</v>
      </c>
      <c r="H2363" t="s">
        <v>38</v>
      </c>
      <c r="I2363" t="s">
        <v>24</v>
      </c>
      <c r="J2363" t="s">
        <v>69</v>
      </c>
      <c r="K2363" t="s">
        <v>41</v>
      </c>
      <c r="L2363" t="s">
        <v>3731</v>
      </c>
      <c r="M2363" t="s">
        <v>1191</v>
      </c>
      <c r="N2363" t="s">
        <v>3732</v>
      </c>
      <c r="O2363" t="s">
        <v>509</v>
      </c>
      <c r="R2363" t="s">
        <v>5548</v>
      </c>
      <c r="S2363" t="s">
        <v>2864</v>
      </c>
      <c r="V2363" t="s">
        <v>2855</v>
      </c>
      <c r="W2363" t="s">
        <v>2898</v>
      </c>
      <c r="X2363" t="s">
        <v>1193</v>
      </c>
      <c r="AD2363" t="s">
        <v>5549</v>
      </c>
    </row>
    <row r="2364" spans="1:30" x14ac:dyDescent="0.25">
      <c r="A2364" t="s">
        <v>33</v>
      </c>
      <c r="D2364" t="s">
        <v>2847</v>
      </c>
      <c r="E2364" t="s">
        <v>2893</v>
      </c>
      <c r="F2364" t="s">
        <v>87</v>
      </c>
      <c r="G2364" t="s">
        <v>3739</v>
      </c>
      <c r="H2364" t="s">
        <v>38</v>
      </c>
      <c r="I2364" t="s">
        <v>25</v>
      </c>
      <c r="J2364" t="s">
        <v>69</v>
      </c>
      <c r="K2364" t="s">
        <v>41</v>
      </c>
      <c r="L2364" t="s">
        <v>3740</v>
      </c>
      <c r="M2364" t="s">
        <v>1191</v>
      </c>
      <c r="N2364" t="s">
        <v>3741</v>
      </c>
      <c r="O2364" t="s">
        <v>512</v>
      </c>
      <c r="R2364" t="s">
        <v>5550</v>
      </c>
      <c r="S2364" t="s">
        <v>2864</v>
      </c>
      <c r="V2364" t="s">
        <v>2855</v>
      </c>
      <c r="W2364" t="s">
        <v>2898</v>
      </c>
      <c r="X2364" t="s">
        <v>1193</v>
      </c>
      <c r="AD2364" t="s">
        <v>5551</v>
      </c>
    </row>
    <row r="2365" spans="1:30" x14ac:dyDescent="0.25">
      <c r="A2365" t="s">
        <v>33</v>
      </c>
      <c r="D2365" t="s">
        <v>2847</v>
      </c>
      <c r="E2365" t="s">
        <v>2893</v>
      </c>
      <c r="F2365" t="s">
        <v>87</v>
      </c>
      <c r="G2365" t="s">
        <v>3739</v>
      </c>
      <c r="H2365" t="s">
        <v>38</v>
      </c>
      <c r="I2365" t="s">
        <v>24</v>
      </c>
      <c r="J2365" t="s">
        <v>69</v>
      </c>
      <c r="K2365" t="s">
        <v>41</v>
      </c>
      <c r="L2365" t="s">
        <v>3740</v>
      </c>
      <c r="M2365" t="s">
        <v>1191</v>
      </c>
      <c r="N2365" t="s">
        <v>3741</v>
      </c>
      <c r="O2365" t="s">
        <v>509</v>
      </c>
      <c r="R2365" t="s">
        <v>5552</v>
      </c>
      <c r="S2365" t="s">
        <v>2864</v>
      </c>
      <c r="V2365" t="s">
        <v>2855</v>
      </c>
      <c r="W2365" t="s">
        <v>2898</v>
      </c>
      <c r="X2365" t="s">
        <v>1193</v>
      </c>
      <c r="AD2365" t="s">
        <v>5553</v>
      </c>
    </row>
    <row r="2366" spans="1:30" x14ac:dyDescent="0.25">
      <c r="A2366" t="s">
        <v>33</v>
      </c>
      <c r="D2366" t="s">
        <v>2847</v>
      </c>
      <c r="E2366" t="s">
        <v>2893</v>
      </c>
      <c r="F2366" t="s">
        <v>87</v>
      </c>
      <c r="G2366" t="s">
        <v>5074</v>
      </c>
      <c r="H2366" t="s">
        <v>38</v>
      </c>
      <c r="I2366" t="s">
        <v>25</v>
      </c>
      <c r="J2366" t="s">
        <v>69</v>
      </c>
      <c r="K2366" t="s">
        <v>41</v>
      </c>
      <c r="L2366" t="s">
        <v>5075</v>
      </c>
      <c r="M2366" t="s">
        <v>53</v>
      </c>
      <c r="N2366" t="s">
        <v>5076</v>
      </c>
      <c r="O2366" t="s">
        <v>512</v>
      </c>
      <c r="R2366" t="s">
        <v>5554</v>
      </c>
      <c r="S2366" t="s">
        <v>2864</v>
      </c>
      <c r="V2366" t="s">
        <v>2855</v>
      </c>
      <c r="W2366" t="s">
        <v>2898</v>
      </c>
      <c r="X2366" t="s">
        <v>56</v>
      </c>
      <c r="AD2366" t="s">
        <v>5555</v>
      </c>
    </row>
    <row r="2367" spans="1:30" x14ac:dyDescent="0.25">
      <c r="A2367" t="s">
        <v>33</v>
      </c>
      <c r="D2367" t="s">
        <v>2847</v>
      </c>
      <c r="E2367" t="s">
        <v>2893</v>
      </c>
      <c r="F2367" t="s">
        <v>87</v>
      </c>
      <c r="G2367" t="s">
        <v>5074</v>
      </c>
      <c r="H2367" t="s">
        <v>38</v>
      </c>
      <c r="I2367" t="s">
        <v>24</v>
      </c>
      <c r="J2367" t="s">
        <v>69</v>
      </c>
      <c r="K2367" t="s">
        <v>41</v>
      </c>
      <c r="L2367" t="s">
        <v>5075</v>
      </c>
      <c r="M2367" t="s">
        <v>53</v>
      </c>
      <c r="N2367" t="s">
        <v>5076</v>
      </c>
      <c r="O2367" t="s">
        <v>509</v>
      </c>
      <c r="R2367" t="s">
        <v>5556</v>
      </c>
      <c r="S2367" t="s">
        <v>2864</v>
      </c>
      <c r="V2367" t="s">
        <v>2855</v>
      </c>
      <c r="W2367" t="s">
        <v>2898</v>
      </c>
      <c r="X2367" t="s">
        <v>56</v>
      </c>
      <c r="AD2367" t="s">
        <v>5557</v>
      </c>
    </row>
    <row r="2368" spans="1:30" x14ac:dyDescent="0.25">
      <c r="A2368" t="s">
        <v>33</v>
      </c>
      <c r="D2368" t="s">
        <v>2847</v>
      </c>
      <c r="E2368" t="s">
        <v>2893</v>
      </c>
      <c r="F2368" t="s">
        <v>87</v>
      </c>
      <c r="G2368" t="s">
        <v>3881</v>
      </c>
      <c r="H2368" t="s">
        <v>38</v>
      </c>
      <c r="I2368" t="s">
        <v>25</v>
      </c>
      <c r="J2368" t="s">
        <v>69</v>
      </c>
      <c r="K2368" t="s">
        <v>41</v>
      </c>
      <c r="L2368" t="s">
        <v>3882</v>
      </c>
      <c r="M2368" t="s">
        <v>3327</v>
      </c>
      <c r="N2368" t="s">
        <v>3864</v>
      </c>
      <c r="O2368" t="s">
        <v>512</v>
      </c>
      <c r="R2368" t="s">
        <v>5558</v>
      </c>
      <c r="S2368" t="s">
        <v>2864</v>
      </c>
      <c r="V2368" t="s">
        <v>2855</v>
      </c>
      <c r="W2368" t="s">
        <v>2898</v>
      </c>
      <c r="X2368" t="s">
        <v>1193</v>
      </c>
      <c r="AD2368" t="s">
        <v>3870</v>
      </c>
    </row>
    <row r="2369" spans="1:30" x14ac:dyDescent="0.25">
      <c r="A2369" t="s">
        <v>33</v>
      </c>
      <c r="D2369" t="s">
        <v>2847</v>
      </c>
      <c r="E2369" t="s">
        <v>2893</v>
      </c>
      <c r="F2369" t="s">
        <v>87</v>
      </c>
      <c r="G2369" t="s">
        <v>3881</v>
      </c>
      <c r="H2369" t="s">
        <v>38</v>
      </c>
      <c r="I2369" t="s">
        <v>24</v>
      </c>
      <c r="J2369" t="s">
        <v>69</v>
      </c>
      <c r="K2369" t="s">
        <v>41</v>
      </c>
      <c r="L2369" t="s">
        <v>3882</v>
      </c>
      <c r="M2369" t="s">
        <v>3327</v>
      </c>
      <c r="N2369" t="s">
        <v>3864</v>
      </c>
      <c r="O2369" t="s">
        <v>509</v>
      </c>
      <c r="R2369" t="s">
        <v>5559</v>
      </c>
      <c r="S2369" t="s">
        <v>2864</v>
      </c>
      <c r="V2369" t="s">
        <v>2855</v>
      </c>
      <c r="W2369" t="s">
        <v>2898</v>
      </c>
      <c r="X2369" t="s">
        <v>1193</v>
      </c>
      <c r="AD2369" t="s">
        <v>5560</v>
      </c>
    </row>
    <row r="2370" spans="1:30" x14ac:dyDescent="0.25">
      <c r="A2370" t="s">
        <v>33</v>
      </c>
      <c r="D2370" t="s">
        <v>2847</v>
      </c>
      <c r="E2370" t="s">
        <v>2893</v>
      </c>
      <c r="F2370" t="s">
        <v>87</v>
      </c>
      <c r="G2370" t="s">
        <v>3748</v>
      </c>
      <c r="H2370" t="s">
        <v>38</v>
      </c>
      <c r="I2370" t="s">
        <v>25</v>
      </c>
      <c r="J2370" t="s">
        <v>69</v>
      </c>
      <c r="K2370" t="s">
        <v>41</v>
      </c>
      <c r="L2370" t="s">
        <v>3749</v>
      </c>
      <c r="M2370" t="s">
        <v>1191</v>
      </c>
      <c r="N2370" t="s">
        <v>3732</v>
      </c>
      <c r="O2370" t="s">
        <v>512</v>
      </c>
      <c r="R2370" t="s">
        <v>5561</v>
      </c>
      <c r="S2370" t="s">
        <v>2864</v>
      </c>
      <c r="V2370" t="s">
        <v>2855</v>
      </c>
      <c r="W2370" t="s">
        <v>2898</v>
      </c>
      <c r="X2370" t="s">
        <v>1193</v>
      </c>
      <c r="AD2370" t="s">
        <v>5547</v>
      </c>
    </row>
    <row r="2371" spans="1:30" x14ac:dyDescent="0.25">
      <c r="A2371" t="s">
        <v>33</v>
      </c>
      <c r="D2371" t="s">
        <v>2847</v>
      </c>
      <c r="E2371" t="s">
        <v>2893</v>
      </c>
      <c r="F2371" t="s">
        <v>87</v>
      </c>
      <c r="G2371" t="s">
        <v>3748</v>
      </c>
      <c r="H2371" t="s">
        <v>38</v>
      </c>
      <c r="I2371" t="s">
        <v>24</v>
      </c>
      <c r="J2371" t="s">
        <v>69</v>
      </c>
      <c r="K2371" t="s">
        <v>41</v>
      </c>
      <c r="L2371" t="s">
        <v>3749</v>
      </c>
      <c r="M2371" t="s">
        <v>1191</v>
      </c>
      <c r="N2371" t="s">
        <v>3732</v>
      </c>
      <c r="O2371" t="s">
        <v>509</v>
      </c>
      <c r="R2371" t="s">
        <v>5562</v>
      </c>
      <c r="S2371" t="s">
        <v>2864</v>
      </c>
      <c r="V2371" t="s">
        <v>2855</v>
      </c>
      <c r="W2371" t="s">
        <v>2898</v>
      </c>
      <c r="X2371" t="s">
        <v>1193</v>
      </c>
      <c r="AD2371" t="s">
        <v>5549</v>
      </c>
    </row>
    <row r="2372" spans="1:30" x14ac:dyDescent="0.25">
      <c r="A2372" t="s">
        <v>33</v>
      </c>
      <c r="D2372" t="s">
        <v>2847</v>
      </c>
      <c r="E2372" t="s">
        <v>2893</v>
      </c>
      <c r="F2372" t="s">
        <v>87</v>
      </c>
      <c r="G2372" t="s">
        <v>3753</v>
      </c>
      <c r="H2372" t="s">
        <v>38</v>
      </c>
      <c r="I2372" t="s">
        <v>25</v>
      </c>
      <c r="J2372" t="s">
        <v>69</v>
      </c>
      <c r="K2372" t="s">
        <v>41</v>
      </c>
      <c r="L2372" t="s">
        <v>3754</v>
      </c>
      <c r="M2372" t="s">
        <v>1191</v>
      </c>
      <c r="N2372" t="s">
        <v>3741</v>
      </c>
      <c r="O2372" t="s">
        <v>512</v>
      </c>
      <c r="R2372" t="s">
        <v>5563</v>
      </c>
      <c r="S2372" t="s">
        <v>2864</v>
      </c>
      <c r="V2372" t="s">
        <v>2855</v>
      </c>
      <c r="W2372" t="s">
        <v>2898</v>
      </c>
      <c r="X2372" t="s">
        <v>1193</v>
      </c>
      <c r="AD2372" t="s">
        <v>5551</v>
      </c>
    </row>
    <row r="2373" spans="1:30" x14ac:dyDescent="0.25">
      <c r="A2373" t="s">
        <v>33</v>
      </c>
      <c r="D2373" t="s">
        <v>2847</v>
      </c>
      <c r="E2373" t="s">
        <v>2893</v>
      </c>
      <c r="F2373" t="s">
        <v>87</v>
      </c>
      <c r="G2373" t="s">
        <v>3753</v>
      </c>
      <c r="H2373" t="s">
        <v>38</v>
      </c>
      <c r="I2373" t="s">
        <v>24</v>
      </c>
      <c r="J2373" t="s">
        <v>69</v>
      </c>
      <c r="K2373" t="s">
        <v>41</v>
      </c>
      <c r="L2373" t="s">
        <v>3754</v>
      </c>
      <c r="M2373" t="s">
        <v>1191</v>
      </c>
      <c r="N2373" t="s">
        <v>3741</v>
      </c>
      <c r="O2373" t="s">
        <v>509</v>
      </c>
      <c r="R2373" t="s">
        <v>5564</v>
      </c>
      <c r="S2373" t="s">
        <v>2864</v>
      </c>
      <c r="V2373" t="s">
        <v>2855</v>
      </c>
      <c r="W2373" t="s">
        <v>2898</v>
      </c>
      <c r="X2373" t="s">
        <v>1193</v>
      </c>
      <c r="AD2373" t="s">
        <v>5553</v>
      </c>
    </row>
    <row r="2374" spans="1:30" x14ac:dyDescent="0.25">
      <c r="A2374" t="s">
        <v>33</v>
      </c>
      <c r="D2374" t="s">
        <v>2847</v>
      </c>
      <c r="E2374" t="s">
        <v>2893</v>
      </c>
      <c r="F2374" t="s">
        <v>87</v>
      </c>
      <c r="G2374" t="s">
        <v>4960</v>
      </c>
      <c r="H2374" t="s">
        <v>38</v>
      </c>
      <c r="I2374" t="s">
        <v>25</v>
      </c>
      <c r="J2374" t="s">
        <v>69</v>
      </c>
      <c r="K2374" t="s">
        <v>41</v>
      </c>
      <c r="L2374" t="s">
        <v>4961</v>
      </c>
      <c r="M2374" t="s">
        <v>252</v>
      </c>
      <c r="N2374" t="s">
        <v>4962</v>
      </c>
      <c r="O2374" t="s">
        <v>512</v>
      </c>
      <c r="R2374" t="s">
        <v>5565</v>
      </c>
      <c r="S2374" t="s">
        <v>2864</v>
      </c>
      <c r="V2374" t="s">
        <v>2855</v>
      </c>
      <c r="W2374" t="s">
        <v>2898</v>
      </c>
      <c r="AD2374" t="s">
        <v>5566</v>
      </c>
    </row>
    <row r="2375" spans="1:30" x14ac:dyDescent="0.25">
      <c r="A2375" t="s">
        <v>33</v>
      </c>
      <c r="D2375" t="s">
        <v>2847</v>
      </c>
      <c r="E2375" t="s">
        <v>2893</v>
      </c>
      <c r="F2375" t="s">
        <v>87</v>
      </c>
      <c r="G2375" t="s">
        <v>4960</v>
      </c>
      <c r="H2375" t="s">
        <v>38</v>
      </c>
      <c r="I2375" t="s">
        <v>24</v>
      </c>
      <c r="J2375" t="s">
        <v>69</v>
      </c>
      <c r="K2375" t="s">
        <v>41</v>
      </c>
      <c r="L2375" t="s">
        <v>4961</v>
      </c>
      <c r="M2375" t="s">
        <v>252</v>
      </c>
      <c r="N2375" t="s">
        <v>4962</v>
      </c>
      <c r="O2375" t="s">
        <v>509</v>
      </c>
      <c r="R2375" t="s">
        <v>5567</v>
      </c>
      <c r="S2375" t="s">
        <v>2864</v>
      </c>
      <c r="V2375" t="s">
        <v>2855</v>
      </c>
      <c r="W2375" t="s">
        <v>2898</v>
      </c>
      <c r="AD2375" t="s">
        <v>5568</v>
      </c>
    </row>
    <row r="2376" spans="1:30" x14ac:dyDescent="0.25">
      <c r="A2376" t="s">
        <v>33</v>
      </c>
      <c r="D2376" t="s">
        <v>2847</v>
      </c>
      <c r="E2376" t="s">
        <v>2893</v>
      </c>
      <c r="F2376" t="s">
        <v>87</v>
      </c>
      <c r="G2376" t="s">
        <v>5569</v>
      </c>
      <c r="H2376" t="s">
        <v>38</v>
      </c>
      <c r="I2376" t="s">
        <v>25</v>
      </c>
      <c r="J2376" t="s">
        <v>69</v>
      </c>
      <c r="K2376" t="s">
        <v>41</v>
      </c>
      <c r="L2376" t="s">
        <v>5570</v>
      </c>
      <c r="M2376" t="s">
        <v>1879</v>
      </c>
      <c r="N2376" t="s">
        <v>5571</v>
      </c>
      <c r="O2376" t="s">
        <v>512</v>
      </c>
      <c r="R2376" t="s">
        <v>5572</v>
      </c>
      <c r="S2376" t="s">
        <v>2864</v>
      </c>
      <c r="V2376" t="s">
        <v>2855</v>
      </c>
      <c r="W2376" t="s">
        <v>2898</v>
      </c>
      <c r="X2376" t="s">
        <v>1881</v>
      </c>
      <c r="AD2376" t="s">
        <v>5573</v>
      </c>
    </row>
    <row r="2377" spans="1:30" x14ac:dyDescent="0.25">
      <c r="A2377" t="s">
        <v>33</v>
      </c>
      <c r="D2377" t="s">
        <v>2847</v>
      </c>
      <c r="E2377" t="s">
        <v>2893</v>
      </c>
      <c r="F2377" t="s">
        <v>87</v>
      </c>
      <c r="G2377" t="s">
        <v>5569</v>
      </c>
      <c r="H2377" t="s">
        <v>38</v>
      </c>
      <c r="I2377" t="s">
        <v>24</v>
      </c>
      <c r="J2377" t="s">
        <v>69</v>
      </c>
      <c r="K2377" t="s">
        <v>41</v>
      </c>
      <c r="L2377" t="s">
        <v>5570</v>
      </c>
      <c r="M2377" t="s">
        <v>1879</v>
      </c>
      <c r="N2377" t="s">
        <v>5571</v>
      </c>
      <c r="O2377" t="s">
        <v>509</v>
      </c>
      <c r="R2377" t="s">
        <v>5574</v>
      </c>
      <c r="S2377" t="s">
        <v>2864</v>
      </c>
      <c r="V2377" t="s">
        <v>2855</v>
      </c>
      <c r="W2377" t="s">
        <v>2898</v>
      </c>
      <c r="X2377" t="s">
        <v>1881</v>
      </c>
      <c r="AD2377" t="s">
        <v>5575</v>
      </c>
    </row>
    <row r="2378" spans="1:30" x14ac:dyDescent="0.25">
      <c r="A2378" t="s">
        <v>33</v>
      </c>
      <c r="D2378" t="s">
        <v>2847</v>
      </c>
      <c r="E2378" t="s">
        <v>2893</v>
      </c>
      <c r="F2378" t="s">
        <v>87</v>
      </c>
      <c r="G2378" t="s">
        <v>5576</v>
      </c>
      <c r="H2378" t="s">
        <v>38</v>
      </c>
      <c r="I2378" t="s">
        <v>25</v>
      </c>
      <c r="J2378" t="s">
        <v>69</v>
      </c>
      <c r="K2378" t="s">
        <v>41</v>
      </c>
      <c r="L2378" t="s">
        <v>5577</v>
      </c>
      <c r="M2378" t="s">
        <v>1879</v>
      </c>
      <c r="N2378" t="s">
        <v>5578</v>
      </c>
      <c r="O2378" t="s">
        <v>512</v>
      </c>
      <c r="R2378" t="s">
        <v>5579</v>
      </c>
      <c r="S2378" t="s">
        <v>2864</v>
      </c>
      <c r="V2378" t="s">
        <v>2855</v>
      </c>
      <c r="W2378" t="s">
        <v>2898</v>
      </c>
      <c r="X2378" t="s">
        <v>1881</v>
      </c>
      <c r="AD2378" t="s">
        <v>5580</v>
      </c>
    </row>
    <row r="2379" spans="1:30" x14ac:dyDescent="0.25">
      <c r="A2379" t="s">
        <v>33</v>
      </c>
      <c r="D2379" t="s">
        <v>2847</v>
      </c>
      <c r="E2379" t="s">
        <v>2893</v>
      </c>
      <c r="F2379" t="s">
        <v>87</v>
      </c>
      <c r="G2379" t="s">
        <v>5576</v>
      </c>
      <c r="H2379" t="s">
        <v>38</v>
      </c>
      <c r="I2379" t="s">
        <v>24</v>
      </c>
      <c r="J2379" t="s">
        <v>69</v>
      </c>
      <c r="K2379" t="s">
        <v>41</v>
      </c>
      <c r="L2379" t="s">
        <v>5577</v>
      </c>
      <c r="M2379" t="s">
        <v>1879</v>
      </c>
      <c r="N2379" t="s">
        <v>5578</v>
      </c>
      <c r="O2379" t="s">
        <v>509</v>
      </c>
      <c r="R2379" t="s">
        <v>5581</v>
      </c>
      <c r="S2379" t="s">
        <v>2864</v>
      </c>
      <c r="V2379" t="s">
        <v>2855</v>
      </c>
      <c r="W2379" t="s">
        <v>2898</v>
      </c>
      <c r="X2379" t="s">
        <v>1881</v>
      </c>
      <c r="AD2379" t="s">
        <v>5582</v>
      </c>
    </row>
    <row r="2380" spans="1:30" x14ac:dyDescent="0.25">
      <c r="A2380" t="s">
        <v>33</v>
      </c>
      <c r="D2380" t="s">
        <v>2847</v>
      </c>
      <c r="E2380" t="s">
        <v>2893</v>
      </c>
      <c r="F2380" t="s">
        <v>87</v>
      </c>
      <c r="G2380" t="s">
        <v>4978</v>
      </c>
      <c r="H2380" t="s">
        <v>38</v>
      </c>
      <c r="I2380" t="s">
        <v>25</v>
      </c>
      <c r="J2380" t="s">
        <v>69</v>
      </c>
      <c r="K2380" t="s">
        <v>41</v>
      </c>
      <c r="L2380" t="s">
        <v>4979</v>
      </c>
      <c r="M2380" t="s">
        <v>252</v>
      </c>
      <c r="N2380" t="s">
        <v>4962</v>
      </c>
      <c r="O2380" t="s">
        <v>512</v>
      </c>
      <c r="R2380" t="s">
        <v>5583</v>
      </c>
      <c r="S2380" t="s">
        <v>2864</v>
      </c>
      <c r="V2380" t="s">
        <v>2855</v>
      </c>
      <c r="W2380" t="s">
        <v>2898</v>
      </c>
      <c r="AD2380" t="s">
        <v>5566</v>
      </c>
    </row>
    <row r="2381" spans="1:30" x14ac:dyDescent="0.25">
      <c r="A2381" t="s">
        <v>33</v>
      </c>
      <c r="D2381" t="s">
        <v>2847</v>
      </c>
      <c r="E2381" t="s">
        <v>2893</v>
      </c>
      <c r="F2381" t="s">
        <v>87</v>
      </c>
      <c r="G2381" t="s">
        <v>4978</v>
      </c>
      <c r="H2381" t="s">
        <v>38</v>
      </c>
      <c r="I2381" t="s">
        <v>24</v>
      </c>
      <c r="J2381" t="s">
        <v>69</v>
      </c>
      <c r="K2381" t="s">
        <v>41</v>
      </c>
      <c r="L2381" t="s">
        <v>4979</v>
      </c>
      <c r="M2381" t="s">
        <v>252</v>
      </c>
      <c r="N2381" t="s">
        <v>4962</v>
      </c>
      <c r="O2381" t="s">
        <v>509</v>
      </c>
      <c r="R2381" t="s">
        <v>5584</v>
      </c>
      <c r="S2381" t="s">
        <v>2864</v>
      </c>
      <c r="V2381" t="s">
        <v>2855</v>
      </c>
      <c r="W2381" t="s">
        <v>2898</v>
      </c>
      <c r="AD2381" t="s">
        <v>5568</v>
      </c>
    </row>
    <row r="2382" spans="1:30" x14ac:dyDescent="0.25">
      <c r="A2382" t="s">
        <v>33</v>
      </c>
      <c r="D2382" t="s">
        <v>2847</v>
      </c>
      <c r="E2382" t="s">
        <v>2893</v>
      </c>
      <c r="F2382" t="s">
        <v>87</v>
      </c>
      <c r="G2382" t="s">
        <v>4985</v>
      </c>
      <c r="H2382" t="s">
        <v>38</v>
      </c>
      <c r="I2382" t="s">
        <v>25</v>
      </c>
      <c r="J2382" t="s">
        <v>69</v>
      </c>
      <c r="K2382" t="s">
        <v>41</v>
      </c>
      <c r="L2382" t="s">
        <v>4986</v>
      </c>
      <c r="M2382" t="s">
        <v>252</v>
      </c>
      <c r="N2382" t="s">
        <v>4987</v>
      </c>
      <c r="O2382" t="s">
        <v>512</v>
      </c>
      <c r="R2382" t="s">
        <v>5585</v>
      </c>
      <c r="S2382" t="s">
        <v>2864</v>
      </c>
      <c r="V2382" t="s">
        <v>2855</v>
      </c>
      <c r="W2382" t="s">
        <v>2898</v>
      </c>
      <c r="AD2382" t="s">
        <v>5586</v>
      </c>
    </row>
    <row r="2383" spans="1:30" x14ac:dyDescent="0.25">
      <c r="A2383" t="s">
        <v>33</v>
      </c>
      <c r="D2383" t="s">
        <v>2847</v>
      </c>
      <c r="E2383" t="s">
        <v>2893</v>
      </c>
      <c r="F2383" t="s">
        <v>87</v>
      </c>
      <c r="G2383" t="s">
        <v>4985</v>
      </c>
      <c r="H2383" t="s">
        <v>38</v>
      </c>
      <c r="I2383" t="s">
        <v>24</v>
      </c>
      <c r="J2383" t="s">
        <v>69</v>
      </c>
      <c r="K2383" t="s">
        <v>41</v>
      </c>
      <c r="L2383" t="s">
        <v>4986</v>
      </c>
      <c r="M2383" t="s">
        <v>252</v>
      </c>
      <c r="N2383" t="s">
        <v>4987</v>
      </c>
      <c r="O2383" t="s">
        <v>509</v>
      </c>
      <c r="R2383" t="s">
        <v>5587</v>
      </c>
      <c r="S2383" t="s">
        <v>2864</v>
      </c>
      <c r="V2383" t="s">
        <v>2855</v>
      </c>
      <c r="W2383" t="s">
        <v>2898</v>
      </c>
      <c r="AD2383" t="s">
        <v>5588</v>
      </c>
    </row>
    <row r="2384" spans="1:30" x14ac:dyDescent="0.25">
      <c r="A2384" t="s">
        <v>33</v>
      </c>
      <c r="D2384" t="s">
        <v>2847</v>
      </c>
      <c r="E2384" t="s">
        <v>2893</v>
      </c>
      <c r="F2384" t="s">
        <v>87</v>
      </c>
      <c r="G2384" t="s">
        <v>4998</v>
      </c>
      <c r="H2384" t="s">
        <v>38</v>
      </c>
      <c r="I2384" t="s">
        <v>25</v>
      </c>
      <c r="J2384" t="s">
        <v>69</v>
      </c>
      <c r="K2384" t="s">
        <v>41</v>
      </c>
      <c r="L2384" t="s">
        <v>4999</v>
      </c>
      <c r="M2384" t="s">
        <v>252</v>
      </c>
      <c r="N2384" t="s">
        <v>5000</v>
      </c>
      <c r="O2384" t="s">
        <v>512</v>
      </c>
      <c r="R2384" t="s">
        <v>5589</v>
      </c>
      <c r="S2384" t="s">
        <v>2864</v>
      </c>
      <c r="V2384" t="s">
        <v>2855</v>
      </c>
      <c r="W2384" t="s">
        <v>2898</v>
      </c>
      <c r="AD2384" t="s">
        <v>5590</v>
      </c>
    </row>
    <row r="2385" spans="1:30" x14ac:dyDescent="0.25">
      <c r="A2385" t="s">
        <v>33</v>
      </c>
      <c r="D2385" t="s">
        <v>2847</v>
      </c>
      <c r="E2385" t="s">
        <v>2893</v>
      </c>
      <c r="F2385" t="s">
        <v>87</v>
      </c>
      <c r="G2385" t="s">
        <v>4998</v>
      </c>
      <c r="H2385" t="s">
        <v>38</v>
      </c>
      <c r="I2385" t="s">
        <v>24</v>
      </c>
      <c r="J2385" t="s">
        <v>69</v>
      </c>
      <c r="K2385" t="s">
        <v>41</v>
      </c>
      <c r="L2385" t="s">
        <v>4999</v>
      </c>
      <c r="M2385" t="s">
        <v>252</v>
      </c>
      <c r="N2385" t="s">
        <v>5000</v>
      </c>
      <c r="O2385" t="s">
        <v>509</v>
      </c>
      <c r="R2385" t="s">
        <v>5591</v>
      </c>
      <c r="S2385" t="s">
        <v>2864</v>
      </c>
      <c r="V2385" t="s">
        <v>2855</v>
      </c>
      <c r="W2385" t="s">
        <v>2898</v>
      </c>
      <c r="AD2385" t="s">
        <v>5592</v>
      </c>
    </row>
    <row r="2386" spans="1:30" x14ac:dyDescent="0.25">
      <c r="A2386" t="s">
        <v>33</v>
      </c>
      <c r="D2386" t="s">
        <v>2847</v>
      </c>
      <c r="E2386" t="s">
        <v>2893</v>
      </c>
      <c r="F2386" t="s">
        <v>87</v>
      </c>
      <c r="G2386" t="s">
        <v>3862</v>
      </c>
      <c r="H2386" t="s">
        <v>38</v>
      </c>
      <c r="I2386" t="s">
        <v>24</v>
      </c>
      <c r="J2386" t="s">
        <v>69</v>
      </c>
      <c r="K2386" t="s">
        <v>41</v>
      </c>
      <c r="L2386" t="s">
        <v>3863</v>
      </c>
      <c r="M2386" t="s">
        <v>3327</v>
      </c>
      <c r="N2386" t="s">
        <v>3864</v>
      </c>
      <c r="O2386" t="s">
        <v>509</v>
      </c>
      <c r="R2386" t="s">
        <v>5593</v>
      </c>
      <c r="S2386" t="s">
        <v>2864</v>
      </c>
      <c r="V2386" t="s">
        <v>2855</v>
      </c>
      <c r="W2386" t="s">
        <v>2898</v>
      </c>
      <c r="X2386" t="s">
        <v>1193</v>
      </c>
      <c r="AD2386" t="s">
        <v>5560</v>
      </c>
    </row>
    <row r="2387" spans="1:30" x14ac:dyDescent="0.25">
      <c r="A2387" t="s">
        <v>33</v>
      </c>
      <c r="D2387" t="s">
        <v>2847</v>
      </c>
      <c r="E2387" t="s">
        <v>2893</v>
      </c>
      <c r="F2387" t="s">
        <v>866</v>
      </c>
      <c r="G2387" t="s">
        <v>5319</v>
      </c>
      <c r="H2387" t="s">
        <v>280</v>
      </c>
      <c r="I2387" t="s">
        <v>3311</v>
      </c>
      <c r="J2387" t="s">
        <v>282</v>
      </c>
      <c r="K2387" t="s">
        <v>283</v>
      </c>
      <c r="L2387" t="s">
        <v>5320</v>
      </c>
      <c r="N2387" t="s">
        <v>5321</v>
      </c>
      <c r="O2387" t="s">
        <v>3312</v>
      </c>
      <c r="Q2387" t="s">
        <v>3313</v>
      </c>
      <c r="R2387" t="s">
        <v>5594</v>
      </c>
      <c r="S2387" t="s">
        <v>2864</v>
      </c>
      <c r="V2387" t="s">
        <v>2855</v>
      </c>
      <c r="W2387" t="s">
        <v>2865</v>
      </c>
      <c r="AD2387" t="s">
        <v>5595</v>
      </c>
    </row>
    <row r="2388" spans="1:30" x14ac:dyDescent="0.25">
      <c r="A2388" t="s">
        <v>33</v>
      </c>
      <c r="D2388" t="s">
        <v>2847</v>
      </c>
      <c r="E2388" t="s">
        <v>2893</v>
      </c>
      <c r="F2388" t="s">
        <v>87</v>
      </c>
      <c r="G2388" t="s">
        <v>5087</v>
      </c>
      <c r="H2388" t="s">
        <v>38</v>
      </c>
      <c r="I2388" t="s">
        <v>25</v>
      </c>
      <c r="J2388" t="s">
        <v>69</v>
      </c>
      <c r="K2388" t="s">
        <v>41</v>
      </c>
      <c r="L2388" t="s">
        <v>5088</v>
      </c>
      <c r="M2388" t="s">
        <v>53</v>
      </c>
      <c r="N2388" t="s">
        <v>5076</v>
      </c>
      <c r="O2388" t="s">
        <v>512</v>
      </c>
      <c r="R2388" t="s">
        <v>5596</v>
      </c>
      <c r="S2388" t="s">
        <v>2864</v>
      </c>
      <c r="V2388" t="s">
        <v>2855</v>
      </c>
      <c r="W2388" t="s">
        <v>2898</v>
      </c>
      <c r="X2388" t="s">
        <v>56</v>
      </c>
      <c r="AD2388" t="s">
        <v>5555</v>
      </c>
    </row>
    <row r="2389" spans="1:30" x14ac:dyDescent="0.25">
      <c r="A2389" t="s">
        <v>33</v>
      </c>
      <c r="D2389" t="s">
        <v>2847</v>
      </c>
      <c r="E2389" t="s">
        <v>2893</v>
      </c>
      <c r="F2389" t="s">
        <v>87</v>
      </c>
      <c r="G2389" t="s">
        <v>5087</v>
      </c>
      <c r="H2389" t="s">
        <v>38</v>
      </c>
      <c r="I2389" t="s">
        <v>24</v>
      </c>
      <c r="J2389" t="s">
        <v>69</v>
      </c>
      <c r="K2389" t="s">
        <v>41</v>
      </c>
      <c r="L2389" t="s">
        <v>5088</v>
      </c>
      <c r="M2389" t="s">
        <v>53</v>
      </c>
      <c r="N2389" t="s">
        <v>5076</v>
      </c>
      <c r="O2389" t="s">
        <v>509</v>
      </c>
      <c r="R2389" t="s">
        <v>5597</v>
      </c>
      <c r="S2389" t="s">
        <v>2864</v>
      </c>
      <c r="V2389" t="s">
        <v>2855</v>
      </c>
      <c r="W2389" t="s">
        <v>2898</v>
      </c>
      <c r="X2389" t="s">
        <v>56</v>
      </c>
      <c r="AD2389" t="s">
        <v>5557</v>
      </c>
    </row>
    <row r="2390" spans="1:30" x14ac:dyDescent="0.25">
      <c r="A2390" t="s">
        <v>33</v>
      </c>
      <c r="D2390" t="s">
        <v>2847</v>
      </c>
      <c r="E2390" t="s">
        <v>2893</v>
      </c>
      <c r="F2390" t="s">
        <v>87</v>
      </c>
      <c r="G2390" t="s">
        <v>5598</v>
      </c>
      <c r="H2390" t="s">
        <v>38</v>
      </c>
      <c r="I2390" t="s">
        <v>25</v>
      </c>
      <c r="J2390" t="s">
        <v>69</v>
      </c>
      <c r="K2390" t="s">
        <v>41</v>
      </c>
      <c r="L2390" t="s">
        <v>5599</v>
      </c>
      <c r="M2390" t="s">
        <v>176</v>
      </c>
      <c r="N2390" t="s">
        <v>5600</v>
      </c>
      <c r="O2390" t="s">
        <v>512</v>
      </c>
      <c r="R2390" t="s">
        <v>5601</v>
      </c>
      <c r="S2390" t="s">
        <v>2864</v>
      </c>
      <c r="V2390" t="s">
        <v>2855</v>
      </c>
      <c r="W2390" t="s">
        <v>2898</v>
      </c>
      <c r="AD2390" t="s">
        <v>5602</v>
      </c>
    </row>
    <row r="2391" spans="1:30" x14ac:dyDescent="0.25">
      <c r="A2391" t="s">
        <v>33</v>
      </c>
      <c r="D2391" t="s">
        <v>2847</v>
      </c>
      <c r="E2391" t="s">
        <v>2893</v>
      </c>
      <c r="F2391" t="s">
        <v>87</v>
      </c>
      <c r="G2391" t="s">
        <v>5598</v>
      </c>
      <c r="H2391" t="s">
        <v>38</v>
      </c>
      <c r="I2391" t="s">
        <v>24</v>
      </c>
      <c r="J2391" t="s">
        <v>69</v>
      </c>
      <c r="K2391" t="s">
        <v>41</v>
      </c>
      <c r="L2391" t="s">
        <v>5599</v>
      </c>
      <c r="M2391" t="s">
        <v>176</v>
      </c>
      <c r="N2391" t="s">
        <v>5600</v>
      </c>
      <c r="O2391" t="s">
        <v>509</v>
      </c>
      <c r="R2391" t="s">
        <v>5603</v>
      </c>
      <c r="S2391" t="s">
        <v>2864</v>
      </c>
      <c r="V2391" t="s">
        <v>2855</v>
      </c>
      <c r="W2391" t="s">
        <v>2898</v>
      </c>
      <c r="AD2391" t="s">
        <v>5604</v>
      </c>
    </row>
    <row r="2392" spans="1:30" x14ac:dyDescent="0.25">
      <c r="A2392" t="s">
        <v>33</v>
      </c>
      <c r="D2392" t="s">
        <v>2847</v>
      </c>
      <c r="E2392" t="s">
        <v>2893</v>
      </c>
      <c r="F2392" t="s">
        <v>87</v>
      </c>
      <c r="G2392" t="s">
        <v>5605</v>
      </c>
      <c r="H2392" t="s">
        <v>38</v>
      </c>
      <c r="I2392" t="s">
        <v>25</v>
      </c>
      <c r="J2392" t="s">
        <v>69</v>
      </c>
      <c r="K2392" t="s">
        <v>41</v>
      </c>
      <c r="L2392" t="s">
        <v>5606</v>
      </c>
      <c r="M2392" t="s">
        <v>176</v>
      </c>
      <c r="N2392" t="s">
        <v>5600</v>
      </c>
      <c r="O2392" t="s">
        <v>512</v>
      </c>
      <c r="R2392" t="s">
        <v>5607</v>
      </c>
      <c r="S2392" t="s">
        <v>2864</v>
      </c>
      <c r="V2392" t="s">
        <v>2855</v>
      </c>
      <c r="W2392" t="s">
        <v>2898</v>
      </c>
      <c r="AD2392" t="s">
        <v>5602</v>
      </c>
    </row>
    <row r="2393" spans="1:30" x14ac:dyDescent="0.25">
      <c r="A2393" t="s">
        <v>33</v>
      </c>
      <c r="D2393" t="s">
        <v>2847</v>
      </c>
      <c r="E2393" t="s">
        <v>2893</v>
      </c>
      <c r="F2393" t="s">
        <v>87</v>
      </c>
      <c r="G2393" t="s">
        <v>5605</v>
      </c>
      <c r="H2393" t="s">
        <v>38</v>
      </c>
      <c r="I2393" t="s">
        <v>24</v>
      </c>
      <c r="J2393" t="s">
        <v>69</v>
      </c>
      <c r="K2393" t="s">
        <v>41</v>
      </c>
      <c r="L2393" t="s">
        <v>5606</v>
      </c>
      <c r="M2393" t="s">
        <v>176</v>
      </c>
      <c r="N2393" t="s">
        <v>5600</v>
      </c>
      <c r="O2393" t="s">
        <v>509</v>
      </c>
      <c r="R2393" t="s">
        <v>5608</v>
      </c>
      <c r="S2393" t="s">
        <v>2864</v>
      </c>
      <c r="V2393" t="s">
        <v>2855</v>
      </c>
      <c r="W2393" t="s">
        <v>2898</v>
      </c>
      <c r="AD2393" t="s">
        <v>5604</v>
      </c>
    </row>
    <row r="2394" spans="1:30" x14ac:dyDescent="0.25">
      <c r="A2394" t="s">
        <v>33</v>
      </c>
      <c r="D2394" t="s">
        <v>2847</v>
      </c>
      <c r="E2394" t="s">
        <v>2848</v>
      </c>
      <c r="F2394" t="s">
        <v>87</v>
      </c>
      <c r="G2394" t="s">
        <v>5094</v>
      </c>
      <c r="H2394" t="s">
        <v>38</v>
      </c>
      <c r="I2394" t="s">
        <v>25</v>
      </c>
      <c r="J2394" t="s">
        <v>69</v>
      </c>
      <c r="K2394" t="s">
        <v>41</v>
      </c>
      <c r="L2394" t="s">
        <v>5095</v>
      </c>
      <c r="M2394" t="s">
        <v>53</v>
      </c>
      <c r="N2394" t="s">
        <v>5096</v>
      </c>
      <c r="O2394" t="s">
        <v>512</v>
      </c>
      <c r="R2394" t="s">
        <v>5609</v>
      </c>
      <c r="S2394" t="s">
        <v>2864</v>
      </c>
      <c r="V2394" t="s">
        <v>2855</v>
      </c>
      <c r="W2394" t="s">
        <v>2856</v>
      </c>
      <c r="X2394" t="s">
        <v>56</v>
      </c>
      <c r="AD2394" t="s">
        <v>5610</v>
      </c>
    </row>
    <row r="2395" spans="1:30" x14ac:dyDescent="0.25">
      <c r="A2395" t="s">
        <v>33</v>
      </c>
      <c r="D2395" t="s">
        <v>2847</v>
      </c>
      <c r="E2395" t="s">
        <v>2848</v>
      </c>
      <c r="F2395" t="s">
        <v>87</v>
      </c>
      <c r="G2395" t="s">
        <v>5094</v>
      </c>
      <c r="H2395" t="s">
        <v>38</v>
      </c>
      <c r="I2395" t="s">
        <v>24</v>
      </c>
      <c r="J2395" t="s">
        <v>69</v>
      </c>
      <c r="K2395" t="s">
        <v>41</v>
      </c>
      <c r="L2395" t="s">
        <v>5095</v>
      </c>
      <c r="M2395" t="s">
        <v>53</v>
      </c>
      <c r="N2395" t="s">
        <v>5096</v>
      </c>
      <c r="O2395" t="s">
        <v>509</v>
      </c>
      <c r="R2395" t="s">
        <v>5611</v>
      </c>
      <c r="S2395" t="s">
        <v>2864</v>
      </c>
      <c r="V2395" t="s">
        <v>2855</v>
      </c>
      <c r="W2395" t="s">
        <v>2856</v>
      </c>
      <c r="X2395" t="s">
        <v>56</v>
      </c>
      <c r="AD2395" t="s">
        <v>5612</v>
      </c>
    </row>
    <row r="2396" spans="1:30" x14ac:dyDescent="0.25">
      <c r="A2396" t="s">
        <v>33</v>
      </c>
      <c r="D2396" t="s">
        <v>2847</v>
      </c>
      <c r="E2396" t="s">
        <v>2893</v>
      </c>
      <c r="F2396" t="s">
        <v>87</v>
      </c>
      <c r="G2396" t="s">
        <v>4801</v>
      </c>
      <c r="H2396" t="s">
        <v>38</v>
      </c>
      <c r="I2396" t="s">
        <v>25</v>
      </c>
      <c r="J2396" t="s">
        <v>69</v>
      </c>
      <c r="K2396" t="s">
        <v>41</v>
      </c>
      <c r="L2396" t="s">
        <v>4802</v>
      </c>
      <c r="M2396" t="s">
        <v>252</v>
      </c>
      <c r="N2396" t="s">
        <v>4803</v>
      </c>
      <c r="O2396" t="s">
        <v>512</v>
      </c>
      <c r="R2396" t="s">
        <v>5613</v>
      </c>
      <c r="S2396" t="s">
        <v>2864</v>
      </c>
      <c r="V2396" t="s">
        <v>2855</v>
      </c>
      <c r="W2396" t="s">
        <v>2898</v>
      </c>
      <c r="AD2396" t="s">
        <v>5614</v>
      </c>
    </row>
    <row r="2397" spans="1:30" x14ac:dyDescent="0.25">
      <c r="A2397" t="s">
        <v>33</v>
      </c>
      <c r="D2397" t="s">
        <v>2847</v>
      </c>
      <c r="E2397" t="s">
        <v>2893</v>
      </c>
      <c r="F2397" t="s">
        <v>87</v>
      </c>
      <c r="G2397" t="s">
        <v>4801</v>
      </c>
      <c r="H2397" t="s">
        <v>38</v>
      </c>
      <c r="I2397" t="s">
        <v>24</v>
      </c>
      <c r="J2397" t="s">
        <v>69</v>
      </c>
      <c r="K2397" t="s">
        <v>41</v>
      </c>
      <c r="L2397" t="s">
        <v>4802</v>
      </c>
      <c r="M2397" t="s">
        <v>252</v>
      </c>
      <c r="N2397" t="s">
        <v>4803</v>
      </c>
      <c r="O2397" t="s">
        <v>509</v>
      </c>
      <c r="R2397" t="s">
        <v>5615</v>
      </c>
      <c r="S2397" t="s">
        <v>2864</v>
      </c>
      <c r="V2397" t="s">
        <v>2855</v>
      </c>
      <c r="W2397" t="s">
        <v>2898</v>
      </c>
      <c r="AD2397" t="s">
        <v>5616</v>
      </c>
    </row>
    <row r="2398" spans="1:30" x14ac:dyDescent="0.25">
      <c r="A2398" t="s">
        <v>33</v>
      </c>
      <c r="D2398" t="s">
        <v>2847</v>
      </c>
      <c r="E2398" t="s">
        <v>2893</v>
      </c>
      <c r="F2398" t="s">
        <v>87</v>
      </c>
      <c r="G2398" t="s">
        <v>4814</v>
      </c>
      <c r="H2398" t="s">
        <v>38</v>
      </c>
      <c r="I2398" t="s">
        <v>25</v>
      </c>
      <c r="J2398" t="s">
        <v>69</v>
      </c>
      <c r="K2398" t="s">
        <v>41</v>
      </c>
      <c r="L2398" t="s">
        <v>4815</v>
      </c>
      <c r="M2398" t="s">
        <v>252</v>
      </c>
      <c r="N2398" t="s">
        <v>4816</v>
      </c>
      <c r="O2398" t="s">
        <v>512</v>
      </c>
      <c r="R2398" t="s">
        <v>5617</v>
      </c>
      <c r="S2398" t="s">
        <v>2864</v>
      </c>
      <c r="V2398" t="s">
        <v>2855</v>
      </c>
      <c r="W2398" t="s">
        <v>2898</v>
      </c>
      <c r="AD2398" t="s">
        <v>5618</v>
      </c>
    </row>
    <row r="2399" spans="1:30" x14ac:dyDescent="0.25">
      <c r="A2399" t="s">
        <v>33</v>
      </c>
      <c r="D2399" t="s">
        <v>2847</v>
      </c>
      <c r="E2399" t="s">
        <v>2893</v>
      </c>
      <c r="F2399" t="s">
        <v>87</v>
      </c>
      <c r="G2399" t="s">
        <v>4814</v>
      </c>
      <c r="H2399" t="s">
        <v>38</v>
      </c>
      <c r="I2399" t="s">
        <v>24</v>
      </c>
      <c r="J2399" t="s">
        <v>69</v>
      </c>
      <c r="K2399" t="s">
        <v>41</v>
      </c>
      <c r="L2399" t="s">
        <v>4815</v>
      </c>
      <c r="M2399" t="s">
        <v>252</v>
      </c>
      <c r="N2399" t="s">
        <v>4816</v>
      </c>
      <c r="O2399" t="s">
        <v>509</v>
      </c>
      <c r="R2399" t="s">
        <v>5619</v>
      </c>
      <c r="S2399" t="s">
        <v>2864</v>
      </c>
      <c r="V2399" t="s">
        <v>2855</v>
      </c>
      <c r="W2399" t="s">
        <v>2898</v>
      </c>
      <c r="AD2399" t="s">
        <v>5620</v>
      </c>
    </row>
    <row r="2400" spans="1:30" x14ac:dyDescent="0.25">
      <c r="A2400" t="s">
        <v>33</v>
      </c>
      <c r="D2400" t="s">
        <v>2847</v>
      </c>
      <c r="E2400" t="s">
        <v>2893</v>
      </c>
      <c r="F2400" t="s">
        <v>87</v>
      </c>
      <c r="G2400" t="s">
        <v>4827</v>
      </c>
      <c r="H2400" t="s">
        <v>38</v>
      </c>
      <c r="I2400" t="s">
        <v>25</v>
      </c>
      <c r="J2400" t="s">
        <v>69</v>
      </c>
      <c r="K2400" t="s">
        <v>41</v>
      </c>
      <c r="L2400" t="s">
        <v>4828</v>
      </c>
      <c r="M2400" t="s">
        <v>252</v>
      </c>
      <c r="N2400" t="s">
        <v>4829</v>
      </c>
      <c r="O2400" t="s">
        <v>512</v>
      </c>
      <c r="R2400" t="s">
        <v>5621</v>
      </c>
      <c r="S2400" t="s">
        <v>2864</v>
      </c>
      <c r="V2400" t="s">
        <v>2855</v>
      </c>
      <c r="W2400" t="s">
        <v>2898</v>
      </c>
      <c r="AD2400" t="s">
        <v>5622</v>
      </c>
    </row>
    <row r="2401" spans="1:30" x14ac:dyDescent="0.25">
      <c r="A2401" t="s">
        <v>33</v>
      </c>
      <c r="D2401" t="s">
        <v>2847</v>
      </c>
      <c r="E2401" t="s">
        <v>2893</v>
      </c>
      <c r="F2401" t="s">
        <v>87</v>
      </c>
      <c r="G2401" t="s">
        <v>4827</v>
      </c>
      <c r="H2401" t="s">
        <v>38</v>
      </c>
      <c r="I2401" t="s">
        <v>24</v>
      </c>
      <c r="J2401" t="s">
        <v>69</v>
      </c>
      <c r="K2401" t="s">
        <v>41</v>
      </c>
      <c r="L2401" t="s">
        <v>4828</v>
      </c>
      <c r="M2401" t="s">
        <v>252</v>
      </c>
      <c r="N2401" t="s">
        <v>4829</v>
      </c>
      <c r="O2401" t="s">
        <v>509</v>
      </c>
      <c r="R2401" t="s">
        <v>5623</v>
      </c>
      <c r="S2401" t="s">
        <v>2864</v>
      </c>
      <c r="V2401" t="s">
        <v>2855</v>
      </c>
      <c r="W2401" t="s">
        <v>2898</v>
      </c>
      <c r="AD2401" t="s">
        <v>5624</v>
      </c>
    </row>
    <row r="2402" spans="1:30" x14ac:dyDescent="0.25">
      <c r="A2402" t="s">
        <v>33</v>
      </c>
      <c r="D2402" t="s">
        <v>2847</v>
      </c>
      <c r="E2402" t="s">
        <v>2893</v>
      </c>
      <c r="F2402" t="s">
        <v>87</v>
      </c>
      <c r="G2402" t="s">
        <v>4844</v>
      </c>
      <c r="H2402" t="s">
        <v>38</v>
      </c>
      <c r="I2402" t="s">
        <v>25</v>
      </c>
      <c r="J2402" t="s">
        <v>69</v>
      </c>
      <c r="K2402" t="s">
        <v>41</v>
      </c>
      <c r="L2402" t="s">
        <v>4845</v>
      </c>
      <c r="M2402" t="s">
        <v>252</v>
      </c>
      <c r="N2402" t="s">
        <v>4846</v>
      </c>
      <c r="O2402" t="s">
        <v>512</v>
      </c>
      <c r="R2402" t="s">
        <v>5625</v>
      </c>
      <c r="S2402" t="s">
        <v>2864</v>
      </c>
      <c r="V2402" t="s">
        <v>2855</v>
      </c>
      <c r="W2402" t="s">
        <v>2898</v>
      </c>
      <c r="AD2402" t="s">
        <v>5626</v>
      </c>
    </row>
    <row r="2403" spans="1:30" x14ac:dyDescent="0.25">
      <c r="A2403" t="s">
        <v>33</v>
      </c>
      <c r="D2403" t="s">
        <v>2847</v>
      </c>
      <c r="E2403" t="s">
        <v>2893</v>
      </c>
      <c r="F2403" t="s">
        <v>87</v>
      </c>
      <c r="G2403" t="s">
        <v>4844</v>
      </c>
      <c r="H2403" t="s">
        <v>38</v>
      </c>
      <c r="I2403" t="s">
        <v>24</v>
      </c>
      <c r="J2403" t="s">
        <v>69</v>
      </c>
      <c r="K2403" t="s">
        <v>41</v>
      </c>
      <c r="L2403" t="s">
        <v>4845</v>
      </c>
      <c r="M2403" t="s">
        <v>252</v>
      </c>
      <c r="N2403" t="s">
        <v>4846</v>
      </c>
      <c r="O2403" t="s">
        <v>509</v>
      </c>
      <c r="R2403" t="s">
        <v>5627</v>
      </c>
      <c r="S2403" t="s">
        <v>2864</v>
      </c>
      <c r="V2403" t="s">
        <v>2855</v>
      </c>
      <c r="W2403" t="s">
        <v>2898</v>
      </c>
      <c r="AD2403" t="s">
        <v>5628</v>
      </c>
    </row>
    <row r="2404" spans="1:30" x14ac:dyDescent="0.25">
      <c r="A2404" t="s">
        <v>33</v>
      </c>
      <c r="D2404" t="s">
        <v>2847</v>
      </c>
      <c r="E2404" t="s">
        <v>2893</v>
      </c>
      <c r="F2404" t="s">
        <v>36</v>
      </c>
      <c r="G2404" t="s">
        <v>3548</v>
      </c>
      <c r="H2404" t="s">
        <v>38</v>
      </c>
      <c r="I2404" t="s">
        <v>25</v>
      </c>
      <c r="J2404" t="s">
        <v>69</v>
      </c>
      <c r="K2404" t="s">
        <v>41</v>
      </c>
      <c r="L2404" t="s">
        <v>3549</v>
      </c>
      <c r="M2404" t="s">
        <v>3483</v>
      </c>
      <c r="N2404" t="s">
        <v>3550</v>
      </c>
      <c r="O2404" t="s">
        <v>512</v>
      </c>
      <c r="R2404" t="s">
        <v>5629</v>
      </c>
      <c r="S2404" t="s">
        <v>2864</v>
      </c>
      <c r="V2404" t="s">
        <v>2855</v>
      </c>
      <c r="W2404" t="s">
        <v>2898</v>
      </c>
      <c r="X2404" t="s">
        <v>963</v>
      </c>
      <c r="AD2404" t="s">
        <v>5630</v>
      </c>
    </row>
    <row r="2405" spans="1:30" x14ac:dyDescent="0.25">
      <c r="A2405" t="s">
        <v>33</v>
      </c>
      <c r="D2405" t="s">
        <v>2847</v>
      </c>
      <c r="E2405" t="s">
        <v>2893</v>
      </c>
      <c r="F2405" t="s">
        <v>36</v>
      </c>
      <c r="G2405" t="s">
        <v>3548</v>
      </c>
      <c r="H2405" t="s">
        <v>38</v>
      </c>
      <c r="I2405" t="s">
        <v>24</v>
      </c>
      <c r="J2405" t="s">
        <v>69</v>
      </c>
      <c r="K2405" t="s">
        <v>41</v>
      </c>
      <c r="L2405" t="s">
        <v>3549</v>
      </c>
      <c r="M2405" t="s">
        <v>3483</v>
      </c>
      <c r="N2405" t="s">
        <v>3550</v>
      </c>
      <c r="O2405" t="s">
        <v>509</v>
      </c>
      <c r="R2405" t="s">
        <v>5631</v>
      </c>
      <c r="S2405" t="s">
        <v>2864</v>
      </c>
      <c r="V2405" t="s">
        <v>2855</v>
      </c>
      <c r="W2405" t="s">
        <v>2898</v>
      </c>
      <c r="X2405" t="s">
        <v>963</v>
      </c>
      <c r="AD2405" t="s">
        <v>5632</v>
      </c>
    </row>
    <row r="2406" spans="1:30" x14ac:dyDescent="0.25">
      <c r="A2406" t="s">
        <v>33</v>
      </c>
      <c r="D2406" t="s">
        <v>2847</v>
      </c>
      <c r="E2406" t="s">
        <v>2893</v>
      </c>
      <c r="F2406" t="s">
        <v>87</v>
      </c>
      <c r="G2406" t="s">
        <v>5633</v>
      </c>
      <c r="H2406" t="s">
        <v>38</v>
      </c>
      <c r="I2406" t="s">
        <v>25</v>
      </c>
      <c r="J2406" t="s">
        <v>69</v>
      </c>
      <c r="K2406" t="s">
        <v>41</v>
      </c>
      <c r="L2406" t="s">
        <v>5634</v>
      </c>
      <c r="M2406" t="s">
        <v>252</v>
      </c>
      <c r="N2406" t="s">
        <v>5635</v>
      </c>
      <c r="O2406" t="s">
        <v>512</v>
      </c>
      <c r="R2406" t="s">
        <v>5636</v>
      </c>
      <c r="S2406" t="s">
        <v>2864</v>
      </c>
      <c r="V2406" t="s">
        <v>2855</v>
      </c>
      <c r="W2406" t="s">
        <v>2898</v>
      </c>
      <c r="AD2406" t="s">
        <v>5637</v>
      </c>
    </row>
    <row r="2407" spans="1:30" x14ac:dyDescent="0.25">
      <c r="A2407" t="s">
        <v>33</v>
      </c>
      <c r="D2407" t="s">
        <v>2847</v>
      </c>
      <c r="E2407" t="s">
        <v>2893</v>
      </c>
      <c r="F2407" t="s">
        <v>87</v>
      </c>
      <c r="G2407" t="s">
        <v>5633</v>
      </c>
      <c r="H2407" t="s">
        <v>38</v>
      </c>
      <c r="I2407" t="s">
        <v>24</v>
      </c>
      <c r="J2407" t="s">
        <v>69</v>
      </c>
      <c r="K2407" t="s">
        <v>41</v>
      </c>
      <c r="L2407" t="s">
        <v>5634</v>
      </c>
      <c r="M2407" t="s">
        <v>252</v>
      </c>
      <c r="N2407" t="s">
        <v>5635</v>
      </c>
      <c r="O2407" t="s">
        <v>509</v>
      </c>
      <c r="R2407" t="s">
        <v>5638</v>
      </c>
      <c r="S2407" t="s">
        <v>2864</v>
      </c>
      <c r="V2407" t="s">
        <v>2855</v>
      </c>
      <c r="W2407" t="s">
        <v>2898</v>
      </c>
      <c r="AD2407" t="s">
        <v>5639</v>
      </c>
    </row>
    <row r="2408" spans="1:30" x14ac:dyDescent="0.25">
      <c r="A2408" t="s">
        <v>33</v>
      </c>
      <c r="D2408" t="s">
        <v>2847</v>
      </c>
      <c r="E2408" t="s">
        <v>2893</v>
      </c>
      <c r="F2408" t="s">
        <v>87</v>
      </c>
      <c r="G2408" t="s">
        <v>5598</v>
      </c>
      <c r="H2408" t="s">
        <v>38</v>
      </c>
      <c r="I2408" t="s">
        <v>106</v>
      </c>
      <c r="J2408" t="s">
        <v>40</v>
      </c>
      <c r="K2408" t="s">
        <v>41</v>
      </c>
      <c r="L2408" t="s">
        <v>5599</v>
      </c>
      <c r="M2408" t="s">
        <v>176</v>
      </c>
      <c r="N2408" t="s">
        <v>5600</v>
      </c>
      <c r="O2408" t="s">
        <v>109</v>
      </c>
      <c r="R2408" t="s">
        <v>5640</v>
      </c>
      <c r="S2408" t="s">
        <v>2864</v>
      </c>
      <c r="V2408" t="s">
        <v>2855</v>
      </c>
      <c r="W2408" t="s">
        <v>2898</v>
      </c>
      <c r="AD2408" t="s">
        <v>5641</v>
      </c>
    </row>
    <row r="2409" spans="1:30" x14ac:dyDescent="0.25">
      <c r="A2409" t="s">
        <v>33</v>
      </c>
      <c r="D2409" t="s">
        <v>2847</v>
      </c>
      <c r="E2409" t="s">
        <v>2893</v>
      </c>
      <c r="F2409" t="s">
        <v>87</v>
      </c>
      <c r="G2409" t="s">
        <v>5605</v>
      </c>
      <c r="H2409" t="s">
        <v>38</v>
      </c>
      <c r="I2409" t="s">
        <v>106</v>
      </c>
      <c r="J2409" t="s">
        <v>40</v>
      </c>
      <c r="K2409" t="s">
        <v>41</v>
      </c>
      <c r="L2409" t="s">
        <v>5606</v>
      </c>
      <c r="M2409" t="s">
        <v>176</v>
      </c>
      <c r="N2409" t="s">
        <v>5600</v>
      </c>
      <c r="O2409" t="s">
        <v>109</v>
      </c>
      <c r="R2409" t="s">
        <v>5642</v>
      </c>
      <c r="S2409" t="s">
        <v>2864</v>
      </c>
      <c r="V2409" t="s">
        <v>2855</v>
      </c>
      <c r="W2409" t="s">
        <v>2898</v>
      </c>
      <c r="AD2409" t="s">
        <v>5641</v>
      </c>
    </row>
    <row r="2410" spans="1:30" x14ac:dyDescent="0.25">
      <c r="A2410" t="s">
        <v>33</v>
      </c>
      <c r="D2410" t="s">
        <v>2847</v>
      </c>
      <c r="E2410" t="s">
        <v>2893</v>
      </c>
      <c r="F2410" t="s">
        <v>87</v>
      </c>
      <c r="G2410" t="s">
        <v>5633</v>
      </c>
      <c r="H2410" t="s">
        <v>38</v>
      </c>
      <c r="I2410" t="s">
        <v>106</v>
      </c>
      <c r="J2410" t="s">
        <v>40</v>
      </c>
      <c r="K2410" t="s">
        <v>41</v>
      </c>
      <c r="L2410" t="s">
        <v>5634</v>
      </c>
      <c r="M2410" t="s">
        <v>252</v>
      </c>
      <c r="N2410" t="s">
        <v>5635</v>
      </c>
      <c r="O2410" t="s">
        <v>109</v>
      </c>
      <c r="R2410" t="s">
        <v>5643</v>
      </c>
      <c r="S2410" t="s">
        <v>2864</v>
      </c>
      <c r="V2410" t="s">
        <v>2855</v>
      </c>
      <c r="W2410" t="s">
        <v>2898</v>
      </c>
      <c r="AD2410" t="s">
        <v>5644</v>
      </c>
    </row>
    <row r="2411" spans="1:30" x14ac:dyDescent="0.25">
      <c r="A2411" t="s">
        <v>33</v>
      </c>
      <c r="D2411" t="s">
        <v>2847</v>
      </c>
      <c r="E2411" t="s">
        <v>2848</v>
      </c>
      <c r="F2411" t="s">
        <v>87</v>
      </c>
      <c r="G2411" t="s">
        <v>4672</v>
      </c>
      <c r="H2411" t="s">
        <v>143</v>
      </c>
      <c r="I2411" t="s">
        <v>90</v>
      </c>
      <c r="J2411" t="s">
        <v>145</v>
      </c>
      <c r="K2411" t="s">
        <v>262</v>
      </c>
      <c r="L2411" t="s">
        <v>4673</v>
      </c>
      <c r="M2411" t="s">
        <v>493</v>
      </c>
      <c r="N2411" t="s">
        <v>4674</v>
      </c>
      <c r="O2411" t="s">
        <v>380</v>
      </c>
      <c r="R2411" t="s">
        <v>5645</v>
      </c>
      <c r="S2411" t="s">
        <v>2854</v>
      </c>
      <c r="V2411" t="s">
        <v>2855</v>
      </c>
      <c r="W2411" t="s">
        <v>2856</v>
      </c>
      <c r="AD2411" t="s">
        <v>5404</v>
      </c>
    </row>
    <row r="2412" spans="1:30" x14ac:dyDescent="0.25">
      <c r="A2412" t="s">
        <v>33</v>
      </c>
      <c r="D2412" t="s">
        <v>2847</v>
      </c>
      <c r="E2412" t="s">
        <v>2848</v>
      </c>
      <c r="F2412" t="s">
        <v>87</v>
      </c>
      <c r="G2412" t="s">
        <v>4672</v>
      </c>
      <c r="H2412" t="s">
        <v>38</v>
      </c>
      <c r="I2412" t="s">
        <v>106</v>
      </c>
      <c r="J2412" t="s">
        <v>40</v>
      </c>
      <c r="K2412" t="s">
        <v>41</v>
      </c>
      <c r="L2412" t="s">
        <v>4673</v>
      </c>
      <c r="M2412" t="s">
        <v>493</v>
      </c>
      <c r="N2412" t="s">
        <v>4674</v>
      </c>
      <c r="O2412" t="s">
        <v>109</v>
      </c>
      <c r="R2412" t="s">
        <v>5646</v>
      </c>
      <c r="S2412" t="s">
        <v>2854</v>
      </c>
      <c r="V2412" t="s">
        <v>2855</v>
      </c>
      <c r="W2412" t="s">
        <v>2856</v>
      </c>
      <c r="AD2412" t="s">
        <v>5647</v>
      </c>
    </row>
    <row r="2413" spans="1:30" x14ac:dyDescent="0.25">
      <c r="A2413" t="s">
        <v>33</v>
      </c>
      <c r="D2413" t="s">
        <v>2847</v>
      </c>
      <c r="E2413" t="s">
        <v>2848</v>
      </c>
      <c r="F2413" t="s">
        <v>87</v>
      </c>
      <c r="G2413" t="s">
        <v>4672</v>
      </c>
      <c r="H2413" t="s">
        <v>38</v>
      </c>
      <c r="I2413" t="s">
        <v>25</v>
      </c>
      <c r="J2413" t="s">
        <v>69</v>
      </c>
      <c r="K2413" t="s">
        <v>41</v>
      </c>
      <c r="L2413" t="s">
        <v>4673</v>
      </c>
      <c r="M2413" t="s">
        <v>493</v>
      </c>
      <c r="N2413" t="s">
        <v>4674</v>
      </c>
      <c r="O2413" t="s">
        <v>512</v>
      </c>
      <c r="R2413" t="s">
        <v>541</v>
      </c>
      <c r="S2413" t="s">
        <v>2854</v>
      </c>
      <c r="V2413" t="s">
        <v>2855</v>
      </c>
      <c r="W2413" t="s">
        <v>2856</v>
      </c>
      <c r="AD2413" t="s">
        <v>5648</v>
      </c>
    </row>
    <row r="2414" spans="1:30" x14ac:dyDescent="0.25">
      <c r="A2414" t="s">
        <v>33</v>
      </c>
      <c r="D2414" t="s">
        <v>2847</v>
      </c>
      <c r="E2414" t="s">
        <v>2848</v>
      </c>
      <c r="F2414" t="s">
        <v>87</v>
      </c>
      <c r="G2414" t="s">
        <v>4672</v>
      </c>
      <c r="H2414" t="s">
        <v>38</v>
      </c>
      <c r="I2414" t="s">
        <v>24</v>
      </c>
      <c r="J2414" t="s">
        <v>69</v>
      </c>
      <c r="K2414" t="s">
        <v>41</v>
      </c>
      <c r="L2414" t="s">
        <v>4673</v>
      </c>
      <c r="M2414" t="s">
        <v>493</v>
      </c>
      <c r="N2414" t="s">
        <v>4674</v>
      </c>
      <c r="O2414" t="s">
        <v>509</v>
      </c>
      <c r="R2414" t="s">
        <v>539</v>
      </c>
      <c r="S2414" t="s">
        <v>2854</v>
      </c>
      <c r="V2414" t="s">
        <v>2855</v>
      </c>
      <c r="W2414" t="s">
        <v>2856</v>
      </c>
      <c r="AD2414" t="s">
        <v>5649</v>
      </c>
    </row>
    <row r="2415" spans="1:30" x14ac:dyDescent="0.25">
      <c r="A2415" t="s">
        <v>33</v>
      </c>
      <c r="D2415" t="s">
        <v>2847</v>
      </c>
      <c r="E2415" t="s">
        <v>2848</v>
      </c>
      <c r="F2415" t="s">
        <v>87</v>
      </c>
      <c r="G2415" t="s">
        <v>5650</v>
      </c>
      <c r="H2415" t="s">
        <v>153</v>
      </c>
      <c r="I2415" t="s">
        <v>144</v>
      </c>
      <c r="J2415" t="s">
        <v>154</v>
      </c>
      <c r="K2415" t="s">
        <v>155</v>
      </c>
      <c r="L2415" t="s">
        <v>5651</v>
      </c>
      <c r="N2415" t="s">
        <v>5652</v>
      </c>
      <c r="O2415" t="s">
        <v>156</v>
      </c>
      <c r="R2415" t="s">
        <v>5653</v>
      </c>
      <c r="S2415" t="s">
        <v>2854</v>
      </c>
      <c r="V2415" t="s">
        <v>2855</v>
      </c>
      <c r="W2415" t="s">
        <v>2856</v>
      </c>
      <c r="AD2415" t="s">
        <v>5654</v>
      </c>
    </row>
    <row r="2416" spans="1:30" x14ac:dyDescent="0.25">
      <c r="A2416" t="s">
        <v>33</v>
      </c>
      <c r="D2416" t="s">
        <v>2847</v>
      </c>
      <c r="E2416" t="s">
        <v>2848</v>
      </c>
      <c r="F2416" t="s">
        <v>87</v>
      </c>
      <c r="G2416" t="s">
        <v>5650</v>
      </c>
      <c r="H2416" t="s">
        <v>89</v>
      </c>
      <c r="I2416" t="s">
        <v>144</v>
      </c>
      <c r="J2416" t="s">
        <v>91</v>
      </c>
      <c r="K2416" t="s">
        <v>92</v>
      </c>
      <c r="L2416" t="s">
        <v>5651</v>
      </c>
      <c r="M2416" t="s">
        <v>94</v>
      </c>
      <c r="N2416" t="s">
        <v>5652</v>
      </c>
      <c r="O2416" t="s">
        <v>150</v>
      </c>
      <c r="P2416">
        <v>1E-3</v>
      </c>
      <c r="R2416" t="s">
        <v>5655</v>
      </c>
      <c r="S2416" t="s">
        <v>2854</v>
      </c>
      <c r="V2416" t="s">
        <v>2855</v>
      </c>
      <c r="W2416" t="s">
        <v>2856</v>
      </c>
      <c r="AD2416" t="s">
        <v>5656</v>
      </c>
    </row>
    <row r="2417" spans="1:32" x14ac:dyDescent="0.25">
      <c r="A2417" t="s">
        <v>33</v>
      </c>
      <c r="D2417" t="s">
        <v>2847</v>
      </c>
      <c r="E2417" t="s">
        <v>2848</v>
      </c>
      <c r="F2417" t="s">
        <v>87</v>
      </c>
      <c r="G2417" t="s">
        <v>5650</v>
      </c>
      <c r="H2417" t="s">
        <v>143</v>
      </c>
      <c r="I2417" t="s">
        <v>144</v>
      </c>
      <c r="J2417" t="s">
        <v>145</v>
      </c>
      <c r="K2417" t="s">
        <v>146</v>
      </c>
      <c r="L2417" t="s">
        <v>5651</v>
      </c>
      <c r="M2417" t="s">
        <v>493</v>
      </c>
      <c r="N2417" t="s">
        <v>5652</v>
      </c>
      <c r="O2417" t="s">
        <v>147</v>
      </c>
      <c r="R2417" t="s">
        <v>5657</v>
      </c>
      <c r="S2417" t="s">
        <v>2854</v>
      </c>
      <c r="V2417" t="s">
        <v>2855</v>
      </c>
      <c r="W2417" t="s">
        <v>2856</v>
      </c>
      <c r="AD2417" t="s">
        <v>5658</v>
      </c>
    </row>
    <row r="2418" spans="1:32" x14ac:dyDescent="0.25">
      <c r="A2418" t="s">
        <v>33</v>
      </c>
      <c r="D2418" t="s">
        <v>2847</v>
      </c>
      <c r="E2418" t="s">
        <v>2848</v>
      </c>
      <c r="F2418" t="s">
        <v>87</v>
      </c>
      <c r="G2418" t="s">
        <v>5650</v>
      </c>
      <c r="H2418" t="s">
        <v>143</v>
      </c>
      <c r="I2418" t="s">
        <v>144</v>
      </c>
      <c r="J2418" t="s">
        <v>145</v>
      </c>
      <c r="K2418" t="s">
        <v>262</v>
      </c>
      <c r="L2418" t="s">
        <v>5651</v>
      </c>
      <c r="M2418" t="s">
        <v>493</v>
      </c>
      <c r="N2418" t="s">
        <v>5652</v>
      </c>
      <c r="O2418" t="s">
        <v>147</v>
      </c>
      <c r="R2418" t="s">
        <v>5659</v>
      </c>
      <c r="S2418" t="s">
        <v>2854</v>
      </c>
      <c r="V2418" t="s">
        <v>2855</v>
      </c>
      <c r="W2418" t="s">
        <v>2856</v>
      </c>
      <c r="AD2418" t="s">
        <v>5658</v>
      </c>
    </row>
    <row r="2419" spans="1:32" x14ac:dyDescent="0.25">
      <c r="A2419" t="s">
        <v>33</v>
      </c>
      <c r="D2419" t="s">
        <v>2847</v>
      </c>
      <c r="E2419" t="s">
        <v>2848</v>
      </c>
      <c r="F2419" t="s">
        <v>87</v>
      </c>
      <c r="G2419" t="s">
        <v>5650</v>
      </c>
      <c r="H2419" t="s">
        <v>153</v>
      </c>
      <c r="I2419" t="s">
        <v>90</v>
      </c>
      <c r="J2419" t="s">
        <v>154</v>
      </c>
      <c r="K2419" t="s">
        <v>155</v>
      </c>
      <c r="L2419" t="s">
        <v>5651</v>
      </c>
      <c r="N2419" t="s">
        <v>5652</v>
      </c>
      <c r="O2419" t="s">
        <v>386</v>
      </c>
      <c r="R2419" t="s">
        <v>5660</v>
      </c>
      <c r="S2419" t="s">
        <v>2854</v>
      </c>
      <c r="V2419" t="s">
        <v>2855</v>
      </c>
      <c r="W2419" t="s">
        <v>2856</v>
      </c>
      <c r="AC2419" t="s">
        <v>5661</v>
      </c>
      <c r="AD2419" t="s">
        <v>5662</v>
      </c>
      <c r="AE2419" t="s">
        <v>3189</v>
      </c>
      <c r="AF2419">
        <v>8</v>
      </c>
    </row>
    <row r="2420" spans="1:32" x14ac:dyDescent="0.25">
      <c r="A2420" t="s">
        <v>33</v>
      </c>
      <c r="D2420" t="s">
        <v>2847</v>
      </c>
      <c r="E2420" t="s">
        <v>2848</v>
      </c>
      <c r="F2420" t="s">
        <v>87</v>
      </c>
      <c r="G2420" t="s">
        <v>5650</v>
      </c>
      <c r="H2420" t="s">
        <v>89</v>
      </c>
      <c r="I2420" t="s">
        <v>90</v>
      </c>
      <c r="J2420" t="s">
        <v>91</v>
      </c>
      <c r="K2420" t="s">
        <v>92</v>
      </c>
      <c r="L2420" t="s">
        <v>5651</v>
      </c>
      <c r="M2420" t="s">
        <v>94</v>
      </c>
      <c r="N2420" t="s">
        <v>5652</v>
      </c>
      <c r="O2420" t="s">
        <v>383</v>
      </c>
      <c r="P2420">
        <v>1E-3</v>
      </c>
      <c r="R2420" t="s">
        <v>5663</v>
      </c>
      <c r="S2420" t="s">
        <v>2854</v>
      </c>
      <c r="V2420" t="s">
        <v>2855</v>
      </c>
      <c r="W2420" t="s">
        <v>2856</v>
      </c>
      <c r="AD2420" t="s">
        <v>5664</v>
      </c>
    </row>
    <row r="2421" spans="1:32" x14ac:dyDescent="0.25">
      <c r="A2421" t="s">
        <v>33</v>
      </c>
      <c r="D2421" t="s">
        <v>2847</v>
      </c>
      <c r="E2421" t="s">
        <v>2848</v>
      </c>
      <c r="F2421" t="s">
        <v>87</v>
      </c>
      <c r="G2421" t="s">
        <v>5650</v>
      </c>
      <c r="H2421" t="s">
        <v>143</v>
      </c>
      <c r="I2421" t="s">
        <v>90</v>
      </c>
      <c r="J2421" t="s">
        <v>145</v>
      </c>
      <c r="K2421" t="s">
        <v>146</v>
      </c>
      <c r="L2421" t="s">
        <v>5651</v>
      </c>
      <c r="M2421" t="s">
        <v>493</v>
      </c>
      <c r="N2421" t="s">
        <v>5652</v>
      </c>
      <c r="O2421" t="s">
        <v>380</v>
      </c>
      <c r="R2421" t="s">
        <v>5665</v>
      </c>
      <c r="S2421" t="s">
        <v>2854</v>
      </c>
      <c r="V2421" t="s">
        <v>2855</v>
      </c>
      <c r="W2421" t="s">
        <v>2856</v>
      </c>
      <c r="AD2421" t="s">
        <v>5666</v>
      </c>
    </row>
    <row r="2422" spans="1:32" x14ac:dyDescent="0.25">
      <c r="A2422" t="s">
        <v>33</v>
      </c>
      <c r="D2422" t="s">
        <v>2847</v>
      </c>
      <c r="E2422" t="s">
        <v>2848</v>
      </c>
      <c r="F2422" t="s">
        <v>87</v>
      </c>
      <c r="G2422" t="s">
        <v>5650</v>
      </c>
      <c r="H2422" t="s">
        <v>143</v>
      </c>
      <c r="I2422" t="s">
        <v>90</v>
      </c>
      <c r="J2422" t="s">
        <v>145</v>
      </c>
      <c r="K2422" t="s">
        <v>262</v>
      </c>
      <c r="L2422" t="s">
        <v>5651</v>
      </c>
      <c r="M2422" t="s">
        <v>493</v>
      </c>
      <c r="N2422" t="s">
        <v>5652</v>
      </c>
      <c r="O2422" t="s">
        <v>380</v>
      </c>
      <c r="R2422" t="s">
        <v>5667</v>
      </c>
      <c r="S2422" t="s">
        <v>2854</v>
      </c>
      <c r="V2422" t="s">
        <v>2855</v>
      </c>
      <c r="W2422" t="s">
        <v>2856</v>
      </c>
      <c r="AD2422" t="s">
        <v>5666</v>
      </c>
    </row>
    <row r="2423" spans="1:32" x14ac:dyDescent="0.25">
      <c r="A2423" t="s">
        <v>33</v>
      </c>
      <c r="D2423" t="s">
        <v>2847</v>
      </c>
      <c r="E2423" t="s">
        <v>2848</v>
      </c>
      <c r="F2423" t="s">
        <v>87</v>
      </c>
      <c r="G2423" t="s">
        <v>5650</v>
      </c>
      <c r="H2423" t="s">
        <v>38</v>
      </c>
      <c r="I2423" t="s">
        <v>106</v>
      </c>
      <c r="J2423" t="s">
        <v>40</v>
      </c>
      <c r="K2423" t="s">
        <v>41</v>
      </c>
      <c r="L2423" t="s">
        <v>5651</v>
      </c>
      <c r="M2423" t="s">
        <v>493</v>
      </c>
      <c r="N2423" t="s">
        <v>5652</v>
      </c>
      <c r="O2423" t="s">
        <v>109</v>
      </c>
      <c r="R2423" t="s">
        <v>5668</v>
      </c>
      <c r="S2423" t="s">
        <v>2854</v>
      </c>
      <c r="V2423" t="s">
        <v>2855</v>
      </c>
      <c r="W2423" t="s">
        <v>2856</v>
      </c>
      <c r="AD2423" t="s">
        <v>5669</v>
      </c>
    </row>
    <row r="2424" spans="1:32" x14ac:dyDescent="0.25">
      <c r="A2424" t="s">
        <v>33</v>
      </c>
      <c r="D2424" t="s">
        <v>2847</v>
      </c>
      <c r="E2424" t="s">
        <v>2848</v>
      </c>
      <c r="F2424" t="s">
        <v>87</v>
      </c>
      <c r="G2424" t="s">
        <v>5650</v>
      </c>
      <c r="H2424" t="s">
        <v>38</v>
      </c>
      <c r="I2424" t="s">
        <v>25</v>
      </c>
      <c r="J2424" t="s">
        <v>69</v>
      </c>
      <c r="K2424" t="s">
        <v>41</v>
      </c>
      <c r="L2424" t="s">
        <v>5651</v>
      </c>
      <c r="M2424" t="s">
        <v>493</v>
      </c>
      <c r="N2424" t="s">
        <v>5652</v>
      </c>
      <c r="O2424" t="s">
        <v>512</v>
      </c>
      <c r="R2424" t="s">
        <v>4001</v>
      </c>
      <c r="S2424" t="s">
        <v>2854</v>
      </c>
      <c r="V2424" t="s">
        <v>2855</v>
      </c>
      <c r="W2424" t="s">
        <v>2856</v>
      </c>
      <c r="AD2424" t="s">
        <v>5670</v>
      </c>
    </row>
    <row r="2425" spans="1:32" x14ac:dyDescent="0.25">
      <c r="A2425" t="s">
        <v>33</v>
      </c>
      <c r="D2425" t="s">
        <v>2847</v>
      </c>
      <c r="E2425" t="s">
        <v>2848</v>
      </c>
      <c r="F2425" t="s">
        <v>87</v>
      </c>
      <c r="G2425" t="s">
        <v>5650</v>
      </c>
      <c r="H2425" t="s">
        <v>38</v>
      </c>
      <c r="I2425" t="s">
        <v>24</v>
      </c>
      <c r="J2425" t="s">
        <v>69</v>
      </c>
      <c r="K2425" t="s">
        <v>41</v>
      </c>
      <c r="L2425" t="s">
        <v>5651</v>
      </c>
      <c r="M2425" t="s">
        <v>493</v>
      </c>
      <c r="N2425" t="s">
        <v>5652</v>
      </c>
      <c r="O2425" t="s">
        <v>509</v>
      </c>
      <c r="R2425" t="s">
        <v>4008</v>
      </c>
      <c r="S2425" t="s">
        <v>2854</v>
      </c>
      <c r="V2425" t="s">
        <v>2855</v>
      </c>
      <c r="W2425" t="s">
        <v>2856</v>
      </c>
      <c r="AD2425" t="s">
        <v>5671</v>
      </c>
    </row>
    <row r="2426" spans="1:32" x14ac:dyDescent="0.25">
      <c r="A2426" t="s">
        <v>33</v>
      </c>
      <c r="D2426" t="s">
        <v>2847</v>
      </c>
      <c r="E2426" t="s">
        <v>2848</v>
      </c>
      <c r="F2426" t="s">
        <v>87</v>
      </c>
      <c r="G2426" t="s">
        <v>5672</v>
      </c>
      <c r="H2426" t="s">
        <v>153</v>
      </c>
      <c r="I2426" t="s">
        <v>144</v>
      </c>
      <c r="J2426" t="s">
        <v>154</v>
      </c>
      <c r="K2426" t="s">
        <v>155</v>
      </c>
      <c r="L2426" t="s">
        <v>5673</v>
      </c>
      <c r="N2426" t="s">
        <v>5674</v>
      </c>
      <c r="O2426" t="s">
        <v>156</v>
      </c>
      <c r="R2426" t="s">
        <v>5675</v>
      </c>
      <c r="S2426" t="s">
        <v>2854</v>
      </c>
      <c r="V2426" t="s">
        <v>2855</v>
      </c>
      <c r="W2426" t="s">
        <v>2856</v>
      </c>
      <c r="AD2426" t="s">
        <v>5676</v>
      </c>
    </row>
    <row r="2427" spans="1:32" x14ac:dyDescent="0.25">
      <c r="A2427" t="s">
        <v>33</v>
      </c>
      <c r="D2427" t="s">
        <v>2847</v>
      </c>
      <c r="E2427" t="s">
        <v>2848</v>
      </c>
      <c r="F2427" t="s">
        <v>87</v>
      </c>
      <c r="G2427" t="s">
        <v>5672</v>
      </c>
      <c r="H2427" t="s">
        <v>89</v>
      </c>
      <c r="I2427" t="s">
        <v>144</v>
      </c>
      <c r="J2427" t="s">
        <v>91</v>
      </c>
      <c r="K2427" t="s">
        <v>92</v>
      </c>
      <c r="L2427" t="s">
        <v>5673</v>
      </c>
      <c r="M2427" t="s">
        <v>94</v>
      </c>
      <c r="N2427" t="s">
        <v>5674</v>
      </c>
      <c r="O2427" t="s">
        <v>150</v>
      </c>
      <c r="P2427">
        <v>1E-3</v>
      </c>
      <c r="R2427" t="s">
        <v>5677</v>
      </c>
      <c r="S2427" t="s">
        <v>2854</v>
      </c>
      <c r="V2427" t="s">
        <v>2855</v>
      </c>
      <c r="W2427" t="s">
        <v>2856</v>
      </c>
      <c r="AD2427" t="s">
        <v>5678</v>
      </c>
    </row>
    <row r="2428" spans="1:32" x14ac:dyDescent="0.25">
      <c r="A2428" t="s">
        <v>33</v>
      </c>
      <c r="D2428" t="s">
        <v>2847</v>
      </c>
      <c r="E2428" t="s">
        <v>2848</v>
      </c>
      <c r="F2428" t="s">
        <v>87</v>
      </c>
      <c r="G2428" t="s">
        <v>5672</v>
      </c>
      <c r="H2428" t="s">
        <v>143</v>
      </c>
      <c r="I2428" t="s">
        <v>144</v>
      </c>
      <c r="J2428" t="s">
        <v>145</v>
      </c>
      <c r="K2428" t="s">
        <v>146</v>
      </c>
      <c r="L2428" t="s">
        <v>5673</v>
      </c>
      <c r="M2428" t="s">
        <v>493</v>
      </c>
      <c r="N2428" t="s">
        <v>5674</v>
      </c>
      <c r="O2428" t="s">
        <v>147</v>
      </c>
      <c r="R2428" t="s">
        <v>5679</v>
      </c>
      <c r="S2428" t="s">
        <v>2854</v>
      </c>
      <c r="V2428" t="s">
        <v>2855</v>
      </c>
      <c r="W2428" t="s">
        <v>2856</v>
      </c>
      <c r="AD2428" t="s">
        <v>5680</v>
      </c>
    </row>
    <row r="2429" spans="1:32" x14ac:dyDescent="0.25">
      <c r="A2429" t="s">
        <v>33</v>
      </c>
      <c r="D2429" t="s">
        <v>2847</v>
      </c>
      <c r="E2429" t="s">
        <v>2848</v>
      </c>
      <c r="F2429" t="s">
        <v>87</v>
      </c>
      <c r="G2429" t="s">
        <v>5672</v>
      </c>
      <c r="H2429" t="s">
        <v>143</v>
      </c>
      <c r="I2429" t="s">
        <v>144</v>
      </c>
      <c r="J2429" t="s">
        <v>145</v>
      </c>
      <c r="K2429" t="s">
        <v>262</v>
      </c>
      <c r="L2429" t="s">
        <v>5673</v>
      </c>
      <c r="M2429" t="s">
        <v>493</v>
      </c>
      <c r="N2429" t="s">
        <v>5674</v>
      </c>
      <c r="O2429" t="s">
        <v>147</v>
      </c>
      <c r="R2429" t="s">
        <v>5681</v>
      </c>
      <c r="S2429" t="s">
        <v>2854</v>
      </c>
      <c r="V2429" t="s">
        <v>2855</v>
      </c>
      <c r="W2429" t="s">
        <v>2856</v>
      </c>
      <c r="AD2429" t="s">
        <v>5680</v>
      </c>
    </row>
    <row r="2430" spans="1:32" x14ac:dyDescent="0.25">
      <c r="A2430" t="s">
        <v>33</v>
      </c>
      <c r="D2430" t="s">
        <v>2847</v>
      </c>
      <c r="E2430" t="s">
        <v>2848</v>
      </c>
      <c r="F2430" t="s">
        <v>87</v>
      </c>
      <c r="G2430" t="s">
        <v>5672</v>
      </c>
      <c r="H2430" t="s">
        <v>153</v>
      </c>
      <c r="I2430" t="s">
        <v>90</v>
      </c>
      <c r="J2430" t="s">
        <v>154</v>
      </c>
      <c r="K2430" t="s">
        <v>155</v>
      </c>
      <c r="L2430" t="s">
        <v>5673</v>
      </c>
      <c r="N2430" t="s">
        <v>5674</v>
      </c>
      <c r="O2430" t="s">
        <v>386</v>
      </c>
      <c r="R2430" t="s">
        <v>5682</v>
      </c>
      <c r="S2430" t="s">
        <v>2854</v>
      </c>
      <c r="V2430" t="s">
        <v>2855</v>
      </c>
      <c r="W2430" t="s">
        <v>2856</v>
      </c>
      <c r="AC2430" t="s">
        <v>5683</v>
      </c>
      <c r="AD2430" t="s">
        <v>5684</v>
      </c>
      <c r="AE2430" t="s">
        <v>3189</v>
      </c>
      <c r="AF2430">
        <v>9</v>
      </c>
    </row>
    <row r="2431" spans="1:32" x14ac:dyDescent="0.25">
      <c r="A2431" t="s">
        <v>33</v>
      </c>
      <c r="D2431" t="s">
        <v>2847</v>
      </c>
      <c r="E2431" t="s">
        <v>2848</v>
      </c>
      <c r="F2431" t="s">
        <v>87</v>
      </c>
      <c r="G2431" t="s">
        <v>5672</v>
      </c>
      <c r="H2431" t="s">
        <v>89</v>
      </c>
      <c r="I2431" t="s">
        <v>90</v>
      </c>
      <c r="J2431" t="s">
        <v>91</v>
      </c>
      <c r="K2431" t="s">
        <v>92</v>
      </c>
      <c r="L2431" t="s">
        <v>5673</v>
      </c>
      <c r="M2431" t="s">
        <v>94</v>
      </c>
      <c r="N2431" t="s">
        <v>5674</v>
      </c>
      <c r="O2431" t="s">
        <v>383</v>
      </c>
      <c r="P2431">
        <v>1E-3</v>
      </c>
      <c r="R2431" t="s">
        <v>5685</v>
      </c>
      <c r="S2431" t="s">
        <v>2854</v>
      </c>
      <c r="V2431" t="s">
        <v>2855</v>
      </c>
      <c r="W2431" t="s">
        <v>2856</v>
      </c>
      <c r="AD2431" t="s">
        <v>5686</v>
      </c>
    </row>
    <row r="2432" spans="1:32" x14ac:dyDescent="0.25">
      <c r="A2432" t="s">
        <v>33</v>
      </c>
      <c r="D2432" t="s">
        <v>2847</v>
      </c>
      <c r="E2432" t="s">
        <v>2848</v>
      </c>
      <c r="F2432" t="s">
        <v>87</v>
      </c>
      <c r="G2432" t="s">
        <v>5672</v>
      </c>
      <c r="H2432" t="s">
        <v>143</v>
      </c>
      <c r="I2432" t="s">
        <v>90</v>
      </c>
      <c r="J2432" t="s">
        <v>145</v>
      </c>
      <c r="K2432" t="s">
        <v>146</v>
      </c>
      <c r="L2432" t="s">
        <v>5673</v>
      </c>
      <c r="M2432" t="s">
        <v>493</v>
      </c>
      <c r="N2432" t="s">
        <v>5674</v>
      </c>
      <c r="O2432" t="s">
        <v>380</v>
      </c>
      <c r="R2432" t="s">
        <v>5687</v>
      </c>
      <c r="S2432" t="s">
        <v>2854</v>
      </c>
      <c r="V2432" t="s">
        <v>2855</v>
      </c>
      <c r="W2432" t="s">
        <v>2856</v>
      </c>
      <c r="AD2432" t="s">
        <v>5688</v>
      </c>
    </row>
    <row r="2433" spans="1:30" x14ac:dyDescent="0.25">
      <c r="A2433" t="s">
        <v>33</v>
      </c>
      <c r="D2433" t="s">
        <v>2847</v>
      </c>
      <c r="E2433" t="s">
        <v>2848</v>
      </c>
      <c r="F2433" t="s">
        <v>87</v>
      </c>
      <c r="G2433" t="s">
        <v>5672</v>
      </c>
      <c r="H2433" t="s">
        <v>143</v>
      </c>
      <c r="I2433" t="s">
        <v>90</v>
      </c>
      <c r="J2433" t="s">
        <v>145</v>
      </c>
      <c r="K2433" t="s">
        <v>262</v>
      </c>
      <c r="L2433" t="s">
        <v>5673</v>
      </c>
      <c r="M2433" t="s">
        <v>493</v>
      </c>
      <c r="N2433" t="s">
        <v>5674</v>
      </c>
      <c r="O2433" t="s">
        <v>380</v>
      </c>
      <c r="R2433" t="s">
        <v>5689</v>
      </c>
      <c r="S2433" t="s">
        <v>2854</v>
      </c>
      <c r="V2433" t="s">
        <v>2855</v>
      </c>
      <c r="W2433" t="s">
        <v>2856</v>
      </c>
      <c r="AD2433" t="s">
        <v>5688</v>
      </c>
    </row>
    <row r="2434" spans="1:30" x14ac:dyDescent="0.25">
      <c r="A2434" t="s">
        <v>33</v>
      </c>
      <c r="D2434" t="s">
        <v>2847</v>
      </c>
      <c r="E2434" t="s">
        <v>2848</v>
      </c>
      <c r="F2434" t="s">
        <v>87</v>
      </c>
      <c r="G2434" t="s">
        <v>5672</v>
      </c>
      <c r="H2434" t="s">
        <v>38</v>
      </c>
      <c r="I2434" t="s">
        <v>106</v>
      </c>
      <c r="J2434" t="s">
        <v>40</v>
      </c>
      <c r="K2434" t="s">
        <v>41</v>
      </c>
      <c r="L2434" t="s">
        <v>5673</v>
      </c>
      <c r="M2434" t="s">
        <v>493</v>
      </c>
      <c r="N2434" t="s">
        <v>5674</v>
      </c>
      <c r="O2434" t="s">
        <v>109</v>
      </c>
      <c r="R2434" t="s">
        <v>5690</v>
      </c>
      <c r="S2434" t="s">
        <v>2854</v>
      </c>
      <c r="V2434" t="s">
        <v>2855</v>
      </c>
      <c r="W2434" t="s">
        <v>2856</v>
      </c>
      <c r="AD2434" t="s">
        <v>5691</v>
      </c>
    </row>
    <row r="2435" spans="1:30" x14ac:dyDescent="0.25">
      <c r="A2435" t="s">
        <v>33</v>
      </c>
      <c r="D2435" t="s">
        <v>2847</v>
      </c>
      <c r="E2435" t="s">
        <v>2848</v>
      </c>
      <c r="F2435" t="s">
        <v>87</v>
      </c>
      <c r="G2435" t="s">
        <v>5672</v>
      </c>
      <c r="H2435" t="s">
        <v>38</v>
      </c>
      <c r="I2435" t="s">
        <v>25</v>
      </c>
      <c r="J2435" t="s">
        <v>69</v>
      </c>
      <c r="K2435" t="s">
        <v>41</v>
      </c>
      <c r="L2435" t="s">
        <v>5673</v>
      </c>
      <c r="M2435" t="s">
        <v>493</v>
      </c>
      <c r="N2435" t="s">
        <v>5674</v>
      </c>
      <c r="O2435" t="s">
        <v>512</v>
      </c>
      <c r="R2435" t="s">
        <v>529</v>
      </c>
      <c r="S2435" t="s">
        <v>2854</v>
      </c>
      <c r="V2435" t="s">
        <v>2855</v>
      </c>
      <c r="W2435" t="s">
        <v>2856</v>
      </c>
      <c r="AD2435" t="s">
        <v>5692</v>
      </c>
    </row>
    <row r="2436" spans="1:30" x14ac:dyDescent="0.25">
      <c r="A2436" t="s">
        <v>33</v>
      </c>
      <c r="D2436" t="s">
        <v>2847</v>
      </c>
      <c r="E2436" t="s">
        <v>2848</v>
      </c>
      <c r="F2436" t="s">
        <v>87</v>
      </c>
      <c r="G2436" t="s">
        <v>5672</v>
      </c>
      <c r="H2436" t="s">
        <v>38</v>
      </c>
      <c r="I2436" t="s">
        <v>24</v>
      </c>
      <c r="J2436" t="s">
        <v>69</v>
      </c>
      <c r="K2436" t="s">
        <v>41</v>
      </c>
      <c r="L2436" t="s">
        <v>5673</v>
      </c>
      <c r="M2436" t="s">
        <v>493</v>
      </c>
      <c r="N2436" t="s">
        <v>5674</v>
      </c>
      <c r="O2436" t="s">
        <v>509</v>
      </c>
      <c r="R2436" t="s">
        <v>527</v>
      </c>
      <c r="S2436" t="s">
        <v>2854</v>
      </c>
      <c r="V2436" t="s">
        <v>2855</v>
      </c>
      <c r="W2436" t="s">
        <v>2856</v>
      </c>
      <c r="AD2436" t="s">
        <v>5693</v>
      </c>
    </row>
    <row r="2437" spans="1:30" x14ac:dyDescent="0.25">
      <c r="A2437" t="s">
        <v>33</v>
      </c>
      <c r="D2437" t="s">
        <v>2847</v>
      </c>
      <c r="E2437" t="s">
        <v>2848</v>
      </c>
      <c r="F2437" t="s">
        <v>78</v>
      </c>
      <c r="G2437" t="s">
        <v>5694</v>
      </c>
      <c r="H2437" t="s">
        <v>280</v>
      </c>
      <c r="I2437" t="s">
        <v>281</v>
      </c>
      <c r="J2437" t="s">
        <v>282</v>
      </c>
      <c r="K2437" t="s">
        <v>283</v>
      </c>
      <c r="L2437" t="s">
        <v>5695</v>
      </c>
      <c r="N2437" t="s">
        <v>1589</v>
      </c>
      <c r="O2437" t="s">
        <v>284</v>
      </c>
      <c r="Q2437" t="s">
        <v>285</v>
      </c>
      <c r="R2437" t="s">
        <v>5696</v>
      </c>
      <c r="S2437" t="s">
        <v>2854</v>
      </c>
      <c r="V2437" t="s">
        <v>2855</v>
      </c>
      <c r="W2437" t="s">
        <v>2856</v>
      </c>
      <c r="AD2437" t="s">
        <v>1591</v>
      </c>
    </row>
    <row r="2438" spans="1:30" x14ac:dyDescent="0.25">
      <c r="A2438" t="s">
        <v>33</v>
      </c>
      <c r="D2438" t="s">
        <v>2847</v>
      </c>
      <c r="E2438" t="s">
        <v>2848</v>
      </c>
      <c r="F2438" t="s">
        <v>78</v>
      </c>
      <c r="G2438" t="s">
        <v>5694</v>
      </c>
      <c r="H2438" t="s">
        <v>38</v>
      </c>
      <c r="I2438" t="s">
        <v>257</v>
      </c>
      <c r="J2438" t="s">
        <v>40</v>
      </c>
      <c r="K2438" t="s">
        <v>41</v>
      </c>
      <c r="L2438" t="s">
        <v>5695</v>
      </c>
      <c r="M2438" t="s">
        <v>82</v>
      </c>
      <c r="N2438" t="s">
        <v>1589</v>
      </c>
      <c r="O2438" t="s">
        <v>258</v>
      </c>
      <c r="R2438" t="s">
        <v>5697</v>
      </c>
      <c r="S2438" t="s">
        <v>2854</v>
      </c>
      <c r="V2438" t="s">
        <v>2855</v>
      </c>
      <c r="W2438" t="s">
        <v>2856</v>
      </c>
      <c r="AD2438" t="s">
        <v>1593</v>
      </c>
    </row>
    <row r="2439" spans="1:30" x14ac:dyDescent="0.25">
      <c r="A2439" t="s">
        <v>33</v>
      </c>
      <c r="D2439" t="s">
        <v>2847</v>
      </c>
      <c r="E2439" t="s">
        <v>2848</v>
      </c>
      <c r="F2439" t="s">
        <v>78</v>
      </c>
      <c r="G2439" t="s">
        <v>5694</v>
      </c>
      <c r="H2439" t="s">
        <v>143</v>
      </c>
      <c r="I2439" t="s">
        <v>276</v>
      </c>
      <c r="J2439" t="s">
        <v>145</v>
      </c>
      <c r="K2439" t="s">
        <v>146</v>
      </c>
      <c r="L2439" t="s">
        <v>5695</v>
      </c>
      <c r="N2439" t="s">
        <v>1589</v>
      </c>
      <c r="O2439" t="s">
        <v>277</v>
      </c>
      <c r="R2439" t="s">
        <v>5698</v>
      </c>
      <c r="S2439" t="s">
        <v>2854</v>
      </c>
      <c r="V2439" t="s">
        <v>2855</v>
      </c>
      <c r="W2439" t="s">
        <v>2856</v>
      </c>
      <c r="X2439" t="s">
        <v>270</v>
      </c>
      <c r="AD2439" t="s">
        <v>1595</v>
      </c>
    </row>
    <row r="2440" spans="1:30" x14ac:dyDescent="0.25">
      <c r="A2440" t="s">
        <v>33</v>
      </c>
      <c r="D2440" t="s">
        <v>2847</v>
      </c>
      <c r="E2440" t="s">
        <v>2848</v>
      </c>
      <c r="F2440" t="s">
        <v>78</v>
      </c>
      <c r="G2440" t="s">
        <v>5694</v>
      </c>
      <c r="H2440" t="s">
        <v>143</v>
      </c>
      <c r="I2440" t="s">
        <v>272</v>
      </c>
      <c r="J2440" t="s">
        <v>145</v>
      </c>
      <c r="K2440" t="s">
        <v>146</v>
      </c>
      <c r="L2440" t="s">
        <v>5695</v>
      </c>
      <c r="N2440" t="s">
        <v>1589</v>
      </c>
      <c r="O2440" t="s">
        <v>273</v>
      </c>
      <c r="R2440" t="s">
        <v>5699</v>
      </c>
      <c r="S2440" t="s">
        <v>2854</v>
      </c>
      <c r="V2440" t="s">
        <v>2855</v>
      </c>
      <c r="W2440" t="s">
        <v>2856</v>
      </c>
      <c r="X2440" t="s">
        <v>270</v>
      </c>
      <c r="AD2440" t="s">
        <v>1597</v>
      </c>
    </row>
    <row r="2441" spans="1:30" x14ac:dyDescent="0.25">
      <c r="A2441" t="s">
        <v>33</v>
      </c>
      <c r="D2441" t="s">
        <v>2847</v>
      </c>
      <c r="E2441" t="s">
        <v>2848</v>
      </c>
      <c r="F2441" t="s">
        <v>78</v>
      </c>
      <c r="G2441" t="s">
        <v>5694</v>
      </c>
      <c r="H2441" t="s">
        <v>143</v>
      </c>
      <c r="I2441" t="s">
        <v>257</v>
      </c>
      <c r="J2441" t="s">
        <v>145</v>
      </c>
      <c r="K2441" t="s">
        <v>146</v>
      </c>
      <c r="L2441" t="s">
        <v>5695</v>
      </c>
      <c r="M2441" t="s">
        <v>82</v>
      </c>
      <c r="N2441" t="s">
        <v>1589</v>
      </c>
      <c r="O2441" t="s">
        <v>292</v>
      </c>
      <c r="R2441" t="s">
        <v>5700</v>
      </c>
      <c r="S2441" t="s">
        <v>2854</v>
      </c>
      <c r="V2441" t="s">
        <v>2855</v>
      </c>
      <c r="W2441" t="s">
        <v>2856</v>
      </c>
      <c r="AD2441" t="s">
        <v>1599</v>
      </c>
    </row>
    <row r="2442" spans="1:30" x14ac:dyDescent="0.25">
      <c r="A2442" t="s">
        <v>33</v>
      </c>
      <c r="D2442" t="s">
        <v>2847</v>
      </c>
      <c r="E2442" t="s">
        <v>2848</v>
      </c>
      <c r="F2442" t="s">
        <v>78</v>
      </c>
      <c r="G2442" t="s">
        <v>5694</v>
      </c>
      <c r="H2442" t="s">
        <v>143</v>
      </c>
      <c r="I2442" t="s">
        <v>295</v>
      </c>
      <c r="J2442" t="s">
        <v>145</v>
      </c>
      <c r="K2442" t="s">
        <v>146</v>
      </c>
      <c r="L2442" t="s">
        <v>5695</v>
      </c>
      <c r="M2442" t="s">
        <v>82</v>
      </c>
      <c r="N2442" t="s">
        <v>1589</v>
      </c>
      <c r="O2442" t="s">
        <v>296</v>
      </c>
      <c r="R2442" t="s">
        <v>5701</v>
      </c>
      <c r="S2442" t="s">
        <v>2854</v>
      </c>
      <c r="V2442" t="s">
        <v>2855</v>
      </c>
      <c r="W2442" t="s">
        <v>2856</v>
      </c>
      <c r="AD2442" t="s">
        <v>1601</v>
      </c>
    </row>
    <row r="2443" spans="1:30" x14ac:dyDescent="0.25">
      <c r="A2443" t="s">
        <v>33</v>
      </c>
      <c r="D2443" t="s">
        <v>2847</v>
      </c>
      <c r="E2443" t="s">
        <v>2848</v>
      </c>
      <c r="F2443" t="s">
        <v>78</v>
      </c>
      <c r="G2443" t="s">
        <v>5694</v>
      </c>
      <c r="H2443" t="s">
        <v>143</v>
      </c>
      <c r="I2443" t="s">
        <v>299</v>
      </c>
      <c r="J2443" t="s">
        <v>145</v>
      </c>
      <c r="K2443" t="s">
        <v>146</v>
      </c>
      <c r="L2443" t="s">
        <v>5695</v>
      </c>
      <c r="M2443" t="s">
        <v>82</v>
      </c>
      <c r="N2443" t="s">
        <v>1589</v>
      </c>
      <c r="O2443" t="s">
        <v>300</v>
      </c>
      <c r="R2443" t="s">
        <v>5702</v>
      </c>
      <c r="S2443" t="s">
        <v>2854</v>
      </c>
      <c r="V2443" t="s">
        <v>2855</v>
      </c>
      <c r="W2443" t="s">
        <v>2856</v>
      </c>
      <c r="AD2443" t="s">
        <v>1603</v>
      </c>
    </row>
    <row r="2444" spans="1:30" x14ac:dyDescent="0.25">
      <c r="A2444" t="s">
        <v>33</v>
      </c>
      <c r="D2444" t="s">
        <v>2847</v>
      </c>
      <c r="E2444" t="s">
        <v>2848</v>
      </c>
      <c r="F2444" t="s">
        <v>78</v>
      </c>
      <c r="G2444" t="s">
        <v>5694</v>
      </c>
      <c r="H2444" t="s">
        <v>38</v>
      </c>
      <c r="I2444" t="s">
        <v>250</v>
      </c>
      <c r="J2444" t="s">
        <v>40</v>
      </c>
      <c r="K2444" t="s">
        <v>41</v>
      </c>
      <c r="L2444" t="s">
        <v>5695</v>
      </c>
      <c r="M2444" t="s">
        <v>493</v>
      </c>
      <c r="N2444" t="s">
        <v>1589</v>
      </c>
      <c r="O2444" t="s">
        <v>254</v>
      </c>
      <c r="R2444" t="s">
        <v>5703</v>
      </c>
      <c r="S2444" t="s">
        <v>2854</v>
      </c>
      <c r="V2444" t="s">
        <v>2855</v>
      </c>
      <c r="W2444" t="s">
        <v>2856</v>
      </c>
      <c r="AD2444" t="s">
        <v>1605</v>
      </c>
    </row>
    <row r="2445" spans="1:30" x14ac:dyDescent="0.25">
      <c r="A2445" t="s">
        <v>33</v>
      </c>
      <c r="D2445" t="s">
        <v>2847</v>
      </c>
      <c r="E2445" t="s">
        <v>2848</v>
      </c>
      <c r="F2445" t="s">
        <v>78</v>
      </c>
      <c r="G2445" t="s">
        <v>5694</v>
      </c>
      <c r="H2445" t="s">
        <v>143</v>
      </c>
      <c r="I2445" t="s">
        <v>267</v>
      </c>
      <c r="J2445" t="s">
        <v>145</v>
      </c>
      <c r="K2445" t="s">
        <v>146</v>
      </c>
      <c r="L2445" t="s">
        <v>5695</v>
      </c>
      <c r="N2445" t="s">
        <v>1589</v>
      </c>
      <c r="O2445" t="s">
        <v>268</v>
      </c>
      <c r="R2445" t="s">
        <v>5704</v>
      </c>
      <c r="S2445" t="s">
        <v>2854</v>
      </c>
      <c r="V2445" t="s">
        <v>2855</v>
      </c>
      <c r="W2445" t="s">
        <v>2856</v>
      </c>
      <c r="X2445" t="s">
        <v>270</v>
      </c>
      <c r="AD2445" t="s">
        <v>1607</v>
      </c>
    </row>
    <row r="2446" spans="1:30" x14ac:dyDescent="0.25">
      <c r="A2446" t="s">
        <v>33</v>
      </c>
      <c r="D2446" t="s">
        <v>2847</v>
      </c>
      <c r="E2446" t="s">
        <v>2848</v>
      </c>
      <c r="F2446" t="s">
        <v>78</v>
      </c>
      <c r="G2446" t="s">
        <v>5694</v>
      </c>
      <c r="H2446" t="s">
        <v>143</v>
      </c>
      <c r="I2446" t="s">
        <v>261</v>
      </c>
      <c r="J2446" t="s">
        <v>145</v>
      </c>
      <c r="K2446" t="s">
        <v>146</v>
      </c>
      <c r="L2446" t="s">
        <v>5695</v>
      </c>
      <c r="M2446" t="s">
        <v>493</v>
      </c>
      <c r="N2446" t="s">
        <v>1589</v>
      </c>
      <c r="O2446" t="s">
        <v>263</v>
      </c>
      <c r="R2446" t="s">
        <v>5705</v>
      </c>
      <c r="S2446" t="s">
        <v>2854</v>
      </c>
      <c r="V2446" t="s">
        <v>2855</v>
      </c>
      <c r="W2446" t="s">
        <v>2856</v>
      </c>
      <c r="AD2446" t="s">
        <v>1609</v>
      </c>
    </row>
    <row r="2447" spans="1:30" x14ac:dyDescent="0.25">
      <c r="A2447" t="s">
        <v>33</v>
      </c>
      <c r="D2447" t="s">
        <v>2847</v>
      </c>
      <c r="E2447" t="s">
        <v>2848</v>
      </c>
      <c r="F2447" t="s">
        <v>78</v>
      </c>
      <c r="G2447" t="s">
        <v>5706</v>
      </c>
      <c r="H2447" t="s">
        <v>280</v>
      </c>
      <c r="I2447" t="s">
        <v>281</v>
      </c>
      <c r="J2447" t="s">
        <v>282</v>
      </c>
      <c r="K2447" t="s">
        <v>283</v>
      </c>
      <c r="L2447" t="s">
        <v>5707</v>
      </c>
      <c r="N2447" t="s">
        <v>5708</v>
      </c>
      <c r="O2447" t="s">
        <v>284</v>
      </c>
      <c r="Q2447" t="s">
        <v>285</v>
      </c>
      <c r="R2447" t="s">
        <v>5709</v>
      </c>
      <c r="S2447" t="s">
        <v>2854</v>
      </c>
      <c r="V2447" t="s">
        <v>2855</v>
      </c>
      <c r="W2447" t="s">
        <v>2856</v>
      </c>
      <c r="AD2447" t="s">
        <v>5710</v>
      </c>
    </row>
    <row r="2448" spans="1:30" x14ac:dyDescent="0.25">
      <c r="A2448" t="s">
        <v>33</v>
      </c>
      <c r="D2448" t="s">
        <v>2847</v>
      </c>
      <c r="E2448" t="s">
        <v>2848</v>
      </c>
      <c r="F2448" t="s">
        <v>78</v>
      </c>
      <c r="G2448" t="s">
        <v>5706</v>
      </c>
      <c r="H2448" t="s">
        <v>38</v>
      </c>
      <c r="I2448" t="s">
        <v>257</v>
      </c>
      <c r="J2448" t="s">
        <v>40</v>
      </c>
      <c r="K2448" t="s">
        <v>41</v>
      </c>
      <c r="L2448" t="s">
        <v>5707</v>
      </c>
      <c r="M2448" t="s">
        <v>82</v>
      </c>
      <c r="N2448" t="s">
        <v>5708</v>
      </c>
      <c r="O2448" t="s">
        <v>258</v>
      </c>
      <c r="R2448" t="s">
        <v>5711</v>
      </c>
      <c r="S2448" t="s">
        <v>2854</v>
      </c>
      <c r="V2448" t="s">
        <v>2855</v>
      </c>
      <c r="W2448" t="s">
        <v>2856</v>
      </c>
      <c r="AD2448" t="s">
        <v>5712</v>
      </c>
    </row>
    <row r="2449" spans="1:30" x14ac:dyDescent="0.25">
      <c r="A2449" t="s">
        <v>33</v>
      </c>
      <c r="D2449" t="s">
        <v>2847</v>
      </c>
      <c r="E2449" t="s">
        <v>2848</v>
      </c>
      <c r="F2449" t="s">
        <v>78</v>
      </c>
      <c r="G2449" t="s">
        <v>5706</v>
      </c>
      <c r="H2449" t="s">
        <v>143</v>
      </c>
      <c r="I2449" t="s">
        <v>276</v>
      </c>
      <c r="J2449" t="s">
        <v>145</v>
      </c>
      <c r="K2449" t="s">
        <v>146</v>
      </c>
      <c r="L2449" t="s">
        <v>5707</v>
      </c>
      <c r="N2449" t="s">
        <v>5708</v>
      </c>
      <c r="O2449" t="s">
        <v>277</v>
      </c>
      <c r="R2449" t="s">
        <v>5713</v>
      </c>
      <c r="S2449" t="s">
        <v>2854</v>
      </c>
      <c r="V2449" t="s">
        <v>2855</v>
      </c>
      <c r="W2449" t="s">
        <v>2856</v>
      </c>
      <c r="X2449" t="s">
        <v>270</v>
      </c>
      <c r="AD2449" t="s">
        <v>5714</v>
      </c>
    </row>
    <row r="2450" spans="1:30" x14ac:dyDescent="0.25">
      <c r="A2450" t="s">
        <v>33</v>
      </c>
      <c r="D2450" t="s">
        <v>2847</v>
      </c>
      <c r="E2450" t="s">
        <v>2848</v>
      </c>
      <c r="F2450" t="s">
        <v>78</v>
      </c>
      <c r="G2450" t="s">
        <v>5706</v>
      </c>
      <c r="H2450" t="s">
        <v>143</v>
      </c>
      <c r="I2450" t="s">
        <v>272</v>
      </c>
      <c r="J2450" t="s">
        <v>145</v>
      </c>
      <c r="K2450" t="s">
        <v>146</v>
      </c>
      <c r="L2450" t="s">
        <v>5707</v>
      </c>
      <c r="N2450" t="s">
        <v>5708</v>
      </c>
      <c r="O2450" t="s">
        <v>273</v>
      </c>
      <c r="R2450" t="s">
        <v>5715</v>
      </c>
      <c r="S2450" t="s">
        <v>2854</v>
      </c>
      <c r="V2450" t="s">
        <v>2855</v>
      </c>
      <c r="W2450" t="s">
        <v>2856</v>
      </c>
      <c r="X2450" t="s">
        <v>270</v>
      </c>
      <c r="AD2450" t="s">
        <v>5716</v>
      </c>
    </row>
    <row r="2451" spans="1:30" x14ac:dyDescent="0.25">
      <c r="A2451" t="s">
        <v>33</v>
      </c>
      <c r="D2451" t="s">
        <v>2847</v>
      </c>
      <c r="E2451" t="s">
        <v>2848</v>
      </c>
      <c r="F2451" t="s">
        <v>78</v>
      </c>
      <c r="G2451" t="s">
        <v>5706</v>
      </c>
      <c r="H2451" t="s">
        <v>143</v>
      </c>
      <c r="I2451" t="s">
        <v>257</v>
      </c>
      <c r="J2451" t="s">
        <v>145</v>
      </c>
      <c r="K2451" t="s">
        <v>146</v>
      </c>
      <c r="L2451" t="s">
        <v>5707</v>
      </c>
      <c r="M2451" t="s">
        <v>82</v>
      </c>
      <c r="N2451" t="s">
        <v>5708</v>
      </c>
      <c r="O2451" t="s">
        <v>292</v>
      </c>
      <c r="R2451" t="s">
        <v>5717</v>
      </c>
      <c r="S2451" t="s">
        <v>2854</v>
      </c>
      <c r="V2451" t="s">
        <v>2855</v>
      </c>
      <c r="W2451" t="s">
        <v>2856</v>
      </c>
      <c r="AD2451" t="s">
        <v>5718</v>
      </c>
    </row>
    <row r="2452" spans="1:30" x14ac:dyDescent="0.25">
      <c r="A2452" t="s">
        <v>33</v>
      </c>
      <c r="D2452" t="s">
        <v>2847</v>
      </c>
      <c r="E2452" t="s">
        <v>2848</v>
      </c>
      <c r="F2452" t="s">
        <v>78</v>
      </c>
      <c r="G2452" t="s">
        <v>5706</v>
      </c>
      <c r="H2452" t="s">
        <v>143</v>
      </c>
      <c r="I2452" t="s">
        <v>295</v>
      </c>
      <c r="J2452" t="s">
        <v>145</v>
      </c>
      <c r="K2452" t="s">
        <v>146</v>
      </c>
      <c r="L2452" t="s">
        <v>5707</v>
      </c>
      <c r="M2452" t="s">
        <v>82</v>
      </c>
      <c r="N2452" t="s">
        <v>5708</v>
      </c>
      <c r="O2452" t="s">
        <v>296</v>
      </c>
      <c r="R2452" t="s">
        <v>5719</v>
      </c>
      <c r="S2452" t="s">
        <v>2854</v>
      </c>
      <c r="V2452" t="s">
        <v>2855</v>
      </c>
      <c r="W2452" t="s">
        <v>2856</v>
      </c>
      <c r="AD2452" t="s">
        <v>5720</v>
      </c>
    </row>
    <row r="2453" spans="1:30" x14ac:dyDescent="0.25">
      <c r="A2453" t="s">
        <v>33</v>
      </c>
      <c r="D2453" t="s">
        <v>2847</v>
      </c>
      <c r="E2453" t="s">
        <v>2848</v>
      </c>
      <c r="F2453" t="s">
        <v>2849</v>
      </c>
      <c r="G2453" t="s">
        <v>5721</v>
      </c>
      <c r="H2453" t="s">
        <v>153</v>
      </c>
      <c r="I2453" t="s">
        <v>598</v>
      </c>
      <c r="J2453" t="s">
        <v>154</v>
      </c>
      <c r="K2453" t="s">
        <v>155</v>
      </c>
      <c r="L2453" t="s">
        <v>5722</v>
      </c>
      <c r="N2453" t="s">
        <v>5723</v>
      </c>
      <c r="O2453" t="s">
        <v>599</v>
      </c>
      <c r="R2453" t="s">
        <v>5724</v>
      </c>
      <c r="S2453" t="s">
        <v>2882</v>
      </c>
      <c r="V2453" t="s">
        <v>2855</v>
      </c>
      <c r="W2453" t="s">
        <v>2856</v>
      </c>
      <c r="AD2453" t="s">
        <v>5725</v>
      </c>
    </row>
    <row r="2454" spans="1:30" x14ac:dyDescent="0.25">
      <c r="A2454" t="s">
        <v>33</v>
      </c>
      <c r="D2454" t="s">
        <v>2847</v>
      </c>
      <c r="E2454" t="s">
        <v>2859</v>
      </c>
      <c r="F2454" t="s">
        <v>87</v>
      </c>
      <c r="G2454" t="s">
        <v>2860</v>
      </c>
      <c r="H2454" t="s">
        <v>38</v>
      </c>
      <c r="I2454" t="s">
        <v>106</v>
      </c>
      <c r="J2454" t="s">
        <v>40</v>
      </c>
      <c r="K2454" t="s">
        <v>41</v>
      </c>
      <c r="L2454" t="s">
        <v>2861</v>
      </c>
      <c r="M2454" t="s">
        <v>82</v>
      </c>
      <c r="N2454" t="s">
        <v>2862</v>
      </c>
      <c r="O2454" t="s">
        <v>109</v>
      </c>
      <c r="R2454" t="s">
        <v>5726</v>
      </c>
      <c r="S2454" t="s">
        <v>2864</v>
      </c>
      <c r="V2454" t="s">
        <v>2855</v>
      </c>
      <c r="W2454" t="s">
        <v>2865</v>
      </c>
      <c r="AD2454" t="s">
        <v>5727</v>
      </c>
    </row>
    <row r="2455" spans="1:30" x14ac:dyDescent="0.25">
      <c r="A2455" t="s">
        <v>33</v>
      </c>
      <c r="D2455" t="s">
        <v>2847</v>
      </c>
      <c r="E2455" t="s">
        <v>2848</v>
      </c>
      <c r="F2455" t="s">
        <v>78</v>
      </c>
      <c r="G2455" t="s">
        <v>5706</v>
      </c>
      <c r="H2455" t="s">
        <v>143</v>
      </c>
      <c r="I2455" t="s">
        <v>299</v>
      </c>
      <c r="J2455" t="s">
        <v>145</v>
      </c>
      <c r="K2455" t="s">
        <v>146</v>
      </c>
      <c r="L2455" t="s">
        <v>5707</v>
      </c>
      <c r="M2455" t="s">
        <v>82</v>
      </c>
      <c r="N2455" t="s">
        <v>5708</v>
      </c>
      <c r="O2455" t="s">
        <v>300</v>
      </c>
      <c r="R2455" t="s">
        <v>5728</v>
      </c>
      <c r="S2455" t="s">
        <v>2854</v>
      </c>
      <c r="V2455" t="s">
        <v>2855</v>
      </c>
      <c r="W2455" t="s">
        <v>2856</v>
      </c>
      <c r="AD2455" t="s">
        <v>5729</v>
      </c>
    </row>
    <row r="2456" spans="1:30" x14ac:dyDescent="0.25">
      <c r="A2456" t="s">
        <v>33</v>
      </c>
      <c r="D2456" t="s">
        <v>2847</v>
      </c>
      <c r="E2456" t="s">
        <v>2869</v>
      </c>
      <c r="F2456" t="s">
        <v>2870</v>
      </c>
      <c r="G2456" t="s">
        <v>5730</v>
      </c>
      <c r="H2456" t="s">
        <v>166</v>
      </c>
      <c r="I2456" t="s">
        <v>479</v>
      </c>
      <c r="J2456" t="s">
        <v>167</v>
      </c>
      <c r="K2456" t="s">
        <v>41</v>
      </c>
      <c r="L2456" t="s">
        <v>5731</v>
      </c>
      <c r="N2456" t="s">
        <v>5732</v>
      </c>
      <c r="O2456" t="s">
        <v>487</v>
      </c>
      <c r="Q2456" t="s">
        <v>488</v>
      </c>
      <c r="R2456" t="s">
        <v>5733</v>
      </c>
      <c r="S2456" t="s">
        <v>2882</v>
      </c>
      <c r="V2456" t="s">
        <v>2855</v>
      </c>
      <c r="W2456" t="s">
        <v>2856</v>
      </c>
      <c r="AD2456" t="s">
        <v>5734</v>
      </c>
    </row>
    <row r="2457" spans="1:30" x14ac:dyDescent="0.25">
      <c r="A2457" t="s">
        <v>33</v>
      </c>
      <c r="D2457" t="s">
        <v>2847</v>
      </c>
      <c r="E2457" t="s">
        <v>2848</v>
      </c>
      <c r="F2457" t="s">
        <v>2849</v>
      </c>
      <c r="G2457" t="s">
        <v>5721</v>
      </c>
      <c r="H2457" t="s">
        <v>166</v>
      </c>
      <c r="I2457" t="s">
        <v>1105</v>
      </c>
      <c r="J2457" t="s">
        <v>167</v>
      </c>
      <c r="K2457" t="s">
        <v>41</v>
      </c>
      <c r="L2457" t="s">
        <v>5722</v>
      </c>
      <c r="N2457" t="s">
        <v>5723</v>
      </c>
      <c r="O2457" t="s">
        <v>1106</v>
      </c>
      <c r="Q2457" t="s">
        <v>1107</v>
      </c>
      <c r="R2457" t="s">
        <v>5735</v>
      </c>
      <c r="S2457" t="s">
        <v>2882</v>
      </c>
      <c r="V2457" t="s">
        <v>2855</v>
      </c>
      <c r="W2457" t="s">
        <v>2856</v>
      </c>
      <c r="AD2457" t="s">
        <v>5736</v>
      </c>
    </row>
    <row r="2458" spans="1:30" x14ac:dyDescent="0.25">
      <c r="A2458" t="s">
        <v>947</v>
      </c>
      <c r="B2458" t="s">
        <v>1948</v>
      </c>
      <c r="C2458" t="s">
        <v>949</v>
      </c>
      <c r="D2458" t="s">
        <v>2847</v>
      </c>
      <c r="E2458" t="s">
        <v>2848</v>
      </c>
      <c r="F2458" t="s">
        <v>2849</v>
      </c>
      <c r="G2458" t="s">
        <v>5721</v>
      </c>
      <c r="H2458" t="s">
        <v>153</v>
      </c>
      <c r="I2458" t="s">
        <v>5737</v>
      </c>
      <c r="J2458" t="s">
        <v>154</v>
      </c>
      <c r="K2458" t="s">
        <v>155</v>
      </c>
      <c r="L2458" t="s">
        <v>5722</v>
      </c>
      <c r="N2458" t="s">
        <v>5723</v>
      </c>
      <c r="O2458" t="s">
        <v>5738</v>
      </c>
      <c r="R2458" t="s">
        <v>5739</v>
      </c>
      <c r="S2458" t="s">
        <v>2882</v>
      </c>
      <c r="V2458" t="s">
        <v>2855</v>
      </c>
      <c r="W2458" t="s">
        <v>2856</v>
      </c>
      <c r="AD2458" t="s">
        <v>5740</v>
      </c>
    </row>
    <row r="2459" spans="1:30" x14ac:dyDescent="0.25">
      <c r="A2459" t="s">
        <v>947</v>
      </c>
      <c r="B2459" t="s">
        <v>2843</v>
      </c>
      <c r="C2459" t="s">
        <v>949</v>
      </c>
      <c r="D2459" t="s">
        <v>2847</v>
      </c>
      <c r="E2459" t="s">
        <v>2869</v>
      </c>
      <c r="F2459" t="s">
        <v>87</v>
      </c>
      <c r="G2459" t="s">
        <v>2937</v>
      </c>
      <c r="H2459" t="s">
        <v>166</v>
      </c>
      <c r="I2459" t="s">
        <v>216</v>
      </c>
      <c r="J2459" t="s">
        <v>167</v>
      </c>
      <c r="K2459" t="s">
        <v>41</v>
      </c>
      <c r="L2459" t="s">
        <v>2938</v>
      </c>
      <c r="N2459" t="s">
        <v>2939</v>
      </c>
      <c r="O2459" t="s">
        <v>217</v>
      </c>
      <c r="Q2459" t="s">
        <v>5325</v>
      </c>
      <c r="R2459" t="s">
        <v>5741</v>
      </c>
      <c r="S2459" t="s">
        <v>2864</v>
      </c>
      <c r="V2459" t="s">
        <v>2855</v>
      </c>
      <c r="W2459" t="s">
        <v>2865</v>
      </c>
      <c r="AD2459" t="s">
        <v>5742</v>
      </c>
    </row>
    <row r="2460" spans="1:30" x14ac:dyDescent="0.25">
      <c r="A2460" t="s">
        <v>33</v>
      </c>
      <c r="D2460" t="s">
        <v>2847</v>
      </c>
      <c r="E2460" t="s">
        <v>2848</v>
      </c>
      <c r="F2460" t="s">
        <v>87</v>
      </c>
      <c r="G2460" t="s">
        <v>2973</v>
      </c>
      <c r="H2460" t="s">
        <v>166</v>
      </c>
      <c r="I2460" t="s">
        <v>216</v>
      </c>
      <c r="J2460" t="s">
        <v>167</v>
      </c>
      <c r="K2460" t="s">
        <v>41</v>
      </c>
      <c r="L2460" t="s">
        <v>2974</v>
      </c>
      <c r="N2460" t="s">
        <v>2975</v>
      </c>
      <c r="O2460" t="s">
        <v>217</v>
      </c>
      <c r="Q2460" t="s">
        <v>1199</v>
      </c>
      <c r="R2460" t="s">
        <v>5743</v>
      </c>
      <c r="S2460" t="s">
        <v>2882</v>
      </c>
      <c r="V2460" t="s">
        <v>2855</v>
      </c>
      <c r="W2460" t="s">
        <v>2856</v>
      </c>
      <c r="AD2460" t="s">
        <v>5744</v>
      </c>
    </row>
    <row r="2461" spans="1:30" x14ac:dyDescent="0.25">
      <c r="A2461" t="s">
        <v>33</v>
      </c>
      <c r="D2461" t="s">
        <v>2847</v>
      </c>
      <c r="E2461" t="s">
        <v>2848</v>
      </c>
      <c r="F2461" t="s">
        <v>87</v>
      </c>
      <c r="G2461" t="s">
        <v>2978</v>
      </c>
      <c r="H2461" t="s">
        <v>166</v>
      </c>
      <c r="I2461" t="s">
        <v>216</v>
      </c>
      <c r="J2461" t="s">
        <v>167</v>
      </c>
      <c r="K2461" t="s">
        <v>41</v>
      </c>
      <c r="L2461" t="s">
        <v>2979</v>
      </c>
      <c r="N2461" t="s">
        <v>2980</v>
      </c>
      <c r="O2461" t="s">
        <v>217</v>
      </c>
      <c r="Q2461" t="s">
        <v>1199</v>
      </c>
      <c r="R2461" t="s">
        <v>5745</v>
      </c>
      <c r="S2461" t="s">
        <v>2882</v>
      </c>
      <c r="V2461" t="s">
        <v>2855</v>
      </c>
      <c r="W2461" t="s">
        <v>2856</v>
      </c>
      <c r="AD2461" t="s">
        <v>5746</v>
      </c>
    </row>
    <row r="2462" spans="1:30" x14ac:dyDescent="0.25">
      <c r="A2462" t="s">
        <v>33</v>
      </c>
      <c r="D2462" t="s">
        <v>2847</v>
      </c>
      <c r="E2462" t="s">
        <v>2848</v>
      </c>
      <c r="F2462" t="s">
        <v>87</v>
      </c>
      <c r="G2462" t="s">
        <v>2954</v>
      </c>
      <c r="H2462" t="s">
        <v>166</v>
      </c>
      <c r="I2462" t="s">
        <v>216</v>
      </c>
      <c r="J2462" t="s">
        <v>167</v>
      </c>
      <c r="K2462" t="s">
        <v>41</v>
      </c>
      <c r="L2462" t="s">
        <v>2955</v>
      </c>
      <c r="N2462" t="s">
        <v>2956</v>
      </c>
      <c r="O2462" t="s">
        <v>217</v>
      </c>
      <c r="Q2462" t="s">
        <v>1917</v>
      </c>
      <c r="R2462" t="s">
        <v>5747</v>
      </c>
      <c r="S2462" t="s">
        <v>2882</v>
      </c>
      <c r="V2462" t="s">
        <v>2855</v>
      </c>
      <c r="W2462" t="s">
        <v>2856</v>
      </c>
      <c r="AD2462" t="s">
        <v>5748</v>
      </c>
    </row>
    <row r="2463" spans="1:30" x14ac:dyDescent="0.25">
      <c r="A2463" t="s">
        <v>33</v>
      </c>
      <c r="D2463" t="s">
        <v>2847</v>
      </c>
      <c r="E2463" t="s">
        <v>2848</v>
      </c>
      <c r="F2463" t="s">
        <v>2849</v>
      </c>
      <c r="G2463" t="s">
        <v>5721</v>
      </c>
      <c r="H2463" t="s">
        <v>166</v>
      </c>
      <c r="I2463" t="s">
        <v>216</v>
      </c>
      <c r="J2463" t="s">
        <v>167</v>
      </c>
      <c r="K2463" t="s">
        <v>41</v>
      </c>
      <c r="L2463" t="s">
        <v>5722</v>
      </c>
      <c r="N2463" t="s">
        <v>5723</v>
      </c>
      <c r="O2463" t="s">
        <v>872</v>
      </c>
      <c r="Q2463" t="s">
        <v>1275</v>
      </c>
      <c r="R2463" t="s">
        <v>5749</v>
      </c>
      <c r="S2463" t="s">
        <v>2882</v>
      </c>
      <c r="V2463" t="s">
        <v>2855</v>
      </c>
      <c r="W2463" t="s">
        <v>2856</v>
      </c>
      <c r="AD2463" t="s">
        <v>5750</v>
      </c>
    </row>
    <row r="2464" spans="1:30" x14ac:dyDescent="0.25">
      <c r="A2464" t="s">
        <v>33</v>
      </c>
      <c r="D2464" t="s">
        <v>2847</v>
      </c>
      <c r="E2464" t="s">
        <v>2848</v>
      </c>
      <c r="F2464" t="s">
        <v>87</v>
      </c>
      <c r="G2464" t="s">
        <v>2966</v>
      </c>
      <c r="H2464" t="s">
        <v>166</v>
      </c>
      <c r="I2464" t="s">
        <v>216</v>
      </c>
      <c r="J2464" t="s">
        <v>167</v>
      </c>
      <c r="K2464" t="s">
        <v>41</v>
      </c>
      <c r="L2464" t="s">
        <v>2967</v>
      </c>
      <c r="N2464" t="s">
        <v>2968</v>
      </c>
      <c r="O2464" t="s">
        <v>217</v>
      </c>
      <c r="Q2464" t="s">
        <v>1917</v>
      </c>
      <c r="R2464" t="s">
        <v>5751</v>
      </c>
      <c r="S2464" t="s">
        <v>2882</v>
      </c>
      <c r="V2464" t="s">
        <v>2855</v>
      </c>
      <c r="W2464" t="s">
        <v>2856</v>
      </c>
      <c r="AD2464" t="s">
        <v>5752</v>
      </c>
    </row>
    <row r="2465" spans="1:30" x14ac:dyDescent="0.25">
      <c r="A2465" t="s">
        <v>33</v>
      </c>
      <c r="D2465" t="s">
        <v>2847</v>
      </c>
      <c r="E2465" t="s">
        <v>2848</v>
      </c>
      <c r="F2465" t="s">
        <v>87</v>
      </c>
      <c r="G2465" t="s">
        <v>2942</v>
      </c>
      <c r="H2465" t="s">
        <v>166</v>
      </c>
      <c r="I2465" t="s">
        <v>216</v>
      </c>
      <c r="J2465" t="s">
        <v>167</v>
      </c>
      <c r="K2465" t="s">
        <v>41</v>
      </c>
      <c r="L2465" t="s">
        <v>2943</v>
      </c>
      <c r="N2465" t="s">
        <v>2944</v>
      </c>
      <c r="O2465" t="s">
        <v>217</v>
      </c>
      <c r="Q2465" t="s">
        <v>1917</v>
      </c>
      <c r="R2465" t="s">
        <v>5753</v>
      </c>
      <c r="S2465" t="s">
        <v>2882</v>
      </c>
      <c r="V2465" t="s">
        <v>2855</v>
      </c>
      <c r="W2465" t="s">
        <v>2856</v>
      </c>
      <c r="AD2465" t="s">
        <v>5754</v>
      </c>
    </row>
    <row r="2466" spans="1:30" x14ac:dyDescent="0.25">
      <c r="A2466" t="s">
        <v>33</v>
      </c>
      <c r="D2466" t="s">
        <v>2847</v>
      </c>
      <c r="E2466" t="s">
        <v>2848</v>
      </c>
      <c r="F2466" t="s">
        <v>87</v>
      </c>
      <c r="G2466" t="s">
        <v>2949</v>
      </c>
      <c r="H2466" t="s">
        <v>166</v>
      </c>
      <c r="I2466" t="s">
        <v>216</v>
      </c>
      <c r="J2466" t="s">
        <v>167</v>
      </c>
      <c r="K2466" t="s">
        <v>41</v>
      </c>
      <c r="L2466" t="s">
        <v>2950</v>
      </c>
      <c r="N2466" t="s">
        <v>2951</v>
      </c>
      <c r="O2466" t="s">
        <v>217</v>
      </c>
      <c r="Q2466" t="s">
        <v>5755</v>
      </c>
      <c r="R2466" t="s">
        <v>5756</v>
      </c>
      <c r="S2466" t="s">
        <v>2882</v>
      </c>
      <c r="V2466" t="s">
        <v>2855</v>
      </c>
      <c r="W2466" t="s">
        <v>2856</v>
      </c>
      <c r="AD2466" t="s">
        <v>5757</v>
      </c>
    </row>
    <row r="2467" spans="1:30" x14ac:dyDescent="0.25">
      <c r="A2467" t="s">
        <v>33</v>
      </c>
      <c r="D2467" t="s">
        <v>2847</v>
      </c>
      <c r="E2467" t="s">
        <v>2848</v>
      </c>
      <c r="F2467" t="s">
        <v>87</v>
      </c>
      <c r="G2467" t="s">
        <v>2961</v>
      </c>
      <c r="H2467" t="s">
        <v>166</v>
      </c>
      <c r="I2467" t="s">
        <v>216</v>
      </c>
      <c r="J2467" t="s">
        <v>167</v>
      </c>
      <c r="K2467" t="s">
        <v>41</v>
      </c>
      <c r="L2467" t="s">
        <v>2962</v>
      </c>
      <c r="N2467" t="s">
        <v>2963</v>
      </c>
      <c r="O2467" t="s">
        <v>217</v>
      </c>
      <c r="Q2467" t="s">
        <v>5755</v>
      </c>
      <c r="R2467" t="s">
        <v>5758</v>
      </c>
      <c r="S2467" t="s">
        <v>2882</v>
      </c>
      <c r="V2467" t="s">
        <v>2855</v>
      </c>
      <c r="W2467" t="s">
        <v>2856</v>
      </c>
      <c r="AD2467" t="s">
        <v>5759</v>
      </c>
    </row>
    <row r="2468" spans="1:30" x14ac:dyDescent="0.25">
      <c r="A2468" t="s">
        <v>947</v>
      </c>
      <c r="B2468" t="s">
        <v>2843</v>
      </c>
      <c r="C2468" t="s">
        <v>949</v>
      </c>
      <c r="D2468" t="s">
        <v>2847</v>
      </c>
      <c r="E2468" t="s">
        <v>2848</v>
      </c>
      <c r="F2468" t="s">
        <v>87</v>
      </c>
      <c r="G2468" t="s">
        <v>3000</v>
      </c>
      <c r="H2468" t="s">
        <v>166</v>
      </c>
      <c r="I2468" t="s">
        <v>216</v>
      </c>
      <c r="J2468" t="s">
        <v>167</v>
      </c>
      <c r="K2468" t="s">
        <v>41</v>
      </c>
      <c r="L2468" t="s">
        <v>3001</v>
      </c>
      <c r="N2468" t="s">
        <v>3002</v>
      </c>
      <c r="O2468" t="s">
        <v>217</v>
      </c>
      <c r="Q2468" t="s">
        <v>5760</v>
      </c>
      <c r="R2468" t="s">
        <v>5761</v>
      </c>
      <c r="S2468" t="s">
        <v>2882</v>
      </c>
      <c r="V2468" t="s">
        <v>2855</v>
      </c>
      <c r="W2468" t="s">
        <v>2856</v>
      </c>
      <c r="AD2468" t="s">
        <v>5762</v>
      </c>
    </row>
    <row r="2469" spans="1:30" x14ac:dyDescent="0.25">
      <c r="A2469" t="s">
        <v>947</v>
      </c>
      <c r="B2469" t="s">
        <v>1948</v>
      </c>
      <c r="C2469" t="s">
        <v>949</v>
      </c>
      <c r="D2469" t="s">
        <v>2847</v>
      </c>
      <c r="E2469" t="s">
        <v>2848</v>
      </c>
      <c r="F2469" t="s">
        <v>2849</v>
      </c>
      <c r="G2469" t="s">
        <v>5721</v>
      </c>
      <c r="H2469" t="s">
        <v>166</v>
      </c>
      <c r="I2469" t="s">
        <v>5737</v>
      </c>
      <c r="J2469" t="s">
        <v>167</v>
      </c>
      <c r="K2469" t="s">
        <v>41</v>
      </c>
      <c r="L2469" t="s">
        <v>5722</v>
      </c>
      <c r="N2469" t="s">
        <v>5723</v>
      </c>
      <c r="O2469" t="s">
        <v>5763</v>
      </c>
      <c r="Q2469" t="s">
        <v>5764</v>
      </c>
      <c r="R2469" t="s">
        <v>5765</v>
      </c>
      <c r="S2469" t="s">
        <v>2882</v>
      </c>
      <c r="V2469" t="s">
        <v>2855</v>
      </c>
      <c r="W2469" t="s">
        <v>2856</v>
      </c>
      <c r="AD2469" t="s">
        <v>5766</v>
      </c>
    </row>
    <row r="2470" spans="1:30" x14ac:dyDescent="0.25">
      <c r="A2470" t="s">
        <v>33</v>
      </c>
      <c r="D2470" t="s">
        <v>2847</v>
      </c>
      <c r="E2470" t="s">
        <v>2848</v>
      </c>
      <c r="F2470" t="s">
        <v>854</v>
      </c>
      <c r="G2470" t="s">
        <v>2988</v>
      </c>
      <c r="H2470" t="s">
        <v>166</v>
      </c>
      <c r="I2470" t="s">
        <v>216</v>
      </c>
      <c r="J2470" t="s">
        <v>167</v>
      </c>
      <c r="K2470" t="s">
        <v>41</v>
      </c>
      <c r="L2470" t="s">
        <v>2989</v>
      </c>
      <c r="N2470" t="s">
        <v>2990</v>
      </c>
      <c r="O2470" t="s">
        <v>872</v>
      </c>
      <c r="Q2470" t="s">
        <v>1275</v>
      </c>
      <c r="R2470" t="s">
        <v>5767</v>
      </c>
      <c r="S2470" t="s">
        <v>2882</v>
      </c>
      <c r="V2470" t="s">
        <v>2855</v>
      </c>
      <c r="W2470" t="s">
        <v>2856</v>
      </c>
      <c r="AD2470" t="s">
        <v>5768</v>
      </c>
    </row>
    <row r="2471" spans="1:30" x14ac:dyDescent="0.25">
      <c r="A2471" t="s">
        <v>33</v>
      </c>
      <c r="D2471" t="s">
        <v>2847</v>
      </c>
      <c r="E2471" t="s">
        <v>2848</v>
      </c>
      <c r="F2471" t="s">
        <v>78</v>
      </c>
      <c r="G2471" t="s">
        <v>5706</v>
      </c>
      <c r="H2471" t="s">
        <v>38</v>
      </c>
      <c r="I2471" t="s">
        <v>250</v>
      </c>
      <c r="J2471" t="s">
        <v>40</v>
      </c>
      <c r="K2471" t="s">
        <v>41</v>
      </c>
      <c r="L2471" t="s">
        <v>5707</v>
      </c>
      <c r="M2471" t="s">
        <v>493</v>
      </c>
      <c r="N2471" t="s">
        <v>5708</v>
      </c>
      <c r="O2471" t="s">
        <v>254</v>
      </c>
      <c r="R2471" t="s">
        <v>5769</v>
      </c>
      <c r="S2471" t="s">
        <v>2854</v>
      </c>
      <c r="V2471" t="s">
        <v>2855</v>
      </c>
      <c r="W2471" t="s">
        <v>2856</v>
      </c>
      <c r="AD2471" t="s">
        <v>5770</v>
      </c>
    </row>
    <row r="2472" spans="1:30" x14ac:dyDescent="0.25">
      <c r="A2472" t="s">
        <v>33</v>
      </c>
      <c r="D2472" t="s">
        <v>2847</v>
      </c>
      <c r="E2472" t="s">
        <v>2848</v>
      </c>
      <c r="F2472" t="s">
        <v>78</v>
      </c>
      <c r="G2472" t="s">
        <v>5706</v>
      </c>
      <c r="H2472" t="s">
        <v>143</v>
      </c>
      <c r="I2472" t="s">
        <v>267</v>
      </c>
      <c r="J2472" t="s">
        <v>145</v>
      </c>
      <c r="K2472" t="s">
        <v>146</v>
      </c>
      <c r="L2472" t="s">
        <v>5707</v>
      </c>
      <c r="N2472" t="s">
        <v>5708</v>
      </c>
      <c r="O2472" t="s">
        <v>268</v>
      </c>
      <c r="R2472" t="s">
        <v>5771</v>
      </c>
      <c r="S2472" t="s">
        <v>2854</v>
      </c>
      <c r="V2472" t="s">
        <v>2855</v>
      </c>
      <c r="W2472" t="s">
        <v>2856</v>
      </c>
      <c r="X2472" t="s">
        <v>270</v>
      </c>
      <c r="AD2472" t="s">
        <v>5772</v>
      </c>
    </row>
    <row r="2473" spans="1:30" x14ac:dyDescent="0.25">
      <c r="A2473" t="s">
        <v>33</v>
      </c>
      <c r="D2473" t="s">
        <v>2847</v>
      </c>
      <c r="E2473" t="s">
        <v>2848</v>
      </c>
      <c r="F2473" t="s">
        <v>78</v>
      </c>
      <c r="G2473" t="s">
        <v>5706</v>
      </c>
      <c r="H2473" t="s">
        <v>143</v>
      </c>
      <c r="I2473" t="s">
        <v>261</v>
      </c>
      <c r="J2473" t="s">
        <v>145</v>
      </c>
      <c r="K2473" t="s">
        <v>146</v>
      </c>
      <c r="L2473" t="s">
        <v>5707</v>
      </c>
      <c r="M2473" t="s">
        <v>493</v>
      </c>
      <c r="N2473" t="s">
        <v>5708</v>
      </c>
      <c r="O2473" t="s">
        <v>263</v>
      </c>
      <c r="R2473" t="s">
        <v>5773</v>
      </c>
      <c r="S2473" t="s">
        <v>2854</v>
      </c>
      <c r="V2473" t="s">
        <v>2855</v>
      </c>
      <c r="W2473" t="s">
        <v>2856</v>
      </c>
      <c r="AD2473" t="s">
        <v>5774</v>
      </c>
    </row>
    <row r="2474" spans="1:30" x14ac:dyDescent="0.25">
      <c r="A2474" t="s">
        <v>33</v>
      </c>
      <c r="D2474" t="s">
        <v>2847</v>
      </c>
      <c r="E2474" t="s">
        <v>2848</v>
      </c>
      <c r="F2474" t="s">
        <v>2849</v>
      </c>
      <c r="G2474" t="s">
        <v>5721</v>
      </c>
      <c r="H2474" t="s">
        <v>166</v>
      </c>
      <c r="I2474" t="s">
        <v>80</v>
      </c>
      <c r="J2474" t="s">
        <v>167</v>
      </c>
      <c r="K2474" t="s">
        <v>41</v>
      </c>
      <c r="L2474" t="s">
        <v>5722</v>
      </c>
      <c r="N2474" t="s">
        <v>5723</v>
      </c>
      <c r="O2474" t="s">
        <v>862</v>
      </c>
      <c r="Q2474" t="s">
        <v>863</v>
      </c>
      <c r="R2474" t="s">
        <v>5775</v>
      </c>
      <c r="S2474" t="s">
        <v>2882</v>
      </c>
      <c r="V2474" t="s">
        <v>2855</v>
      </c>
      <c r="W2474" t="s">
        <v>2856</v>
      </c>
      <c r="AD2474" t="s">
        <v>5776</v>
      </c>
    </row>
    <row r="2475" spans="1:30" x14ac:dyDescent="0.25">
      <c r="A2475" t="s">
        <v>33</v>
      </c>
      <c r="D2475" t="s">
        <v>2847</v>
      </c>
      <c r="E2475" t="s">
        <v>2848</v>
      </c>
      <c r="F2475" t="s">
        <v>2849</v>
      </c>
      <c r="G2475" t="s">
        <v>5721</v>
      </c>
      <c r="H2475" t="s">
        <v>280</v>
      </c>
      <c r="I2475" t="s">
        <v>3311</v>
      </c>
      <c r="J2475" t="s">
        <v>282</v>
      </c>
      <c r="K2475" t="s">
        <v>283</v>
      </c>
      <c r="L2475" t="s">
        <v>5722</v>
      </c>
      <c r="N2475" t="s">
        <v>5723</v>
      </c>
      <c r="O2475" t="s">
        <v>3312</v>
      </c>
      <c r="Q2475" t="s">
        <v>3313</v>
      </c>
      <c r="R2475" t="s">
        <v>5777</v>
      </c>
      <c r="S2475" t="s">
        <v>2882</v>
      </c>
      <c r="V2475" t="s">
        <v>2855</v>
      </c>
      <c r="W2475" t="s">
        <v>2856</v>
      </c>
      <c r="AD2475" t="s">
        <v>5778</v>
      </c>
    </row>
    <row r="2476" spans="1:30" x14ac:dyDescent="0.25">
      <c r="A2476" t="s">
        <v>33</v>
      </c>
      <c r="D2476" t="s">
        <v>2847</v>
      </c>
      <c r="E2476" t="s">
        <v>2848</v>
      </c>
      <c r="F2476" t="s">
        <v>854</v>
      </c>
      <c r="G2476" t="s">
        <v>2988</v>
      </c>
      <c r="H2476" t="s">
        <v>166</v>
      </c>
      <c r="I2476" t="s">
        <v>80</v>
      </c>
      <c r="J2476" t="s">
        <v>167</v>
      </c>
      <c r="K2476" t="s">
        <v>41</v>
      </c>
      <c r="L2476" t="s">
        <v>2989</v>
      </c>
      <c r="N2476" t="s">
        <v>2990</v>
      </c>
      <c r="O2476" t="s">
        <v>862</v>
      </c>
      <c r="Q2476" t="s">
        <v>863</v>
      </c>
      <c r="R2476" t="s">
        <v>5779</v>
      </c>
      <c r="S2476" t="s">
        <v>2882</v>
      </c>
      <c r="V2476" t="s">
        <v>2855</v>
      </c>
      <c r="W2476" t="s">
        <v>2856</v>
      </c>
      <c r="AD2476" t="s">
        <v>5780</v>
      </c>
    </row>
    <row r="2477" spans="1:30" x14ac:dyDescent="0.25">
      <c r="A2477" t="s">
        <v>33</v>
      </c>
      <c r="D2477" t="s">
        <v>2847</v>
      </c>
      <c r="E2477" t="s">
        <v>2893</v>
      </c>
      <c r="F2477" t="s">
        <v>248</v>
      </c>
      <c r="G2477" t="s">
        <v>5781</v>
      </c>
      <c r="H2477" t="s">
        <v>143</v>
      </c>
      <c r="I2477" t="s">
        <v>276</v>
      </c>
      <c r="J2477" t="s">
        <v>145</v>
      </c>
      <c r="K2477" t="s">
        <v>146</v>
      </c>
      <c r="L2477" t="s">
        <v>5782</v>
      </c>
      <c r="N2477" t="s">
        <v>5783</v>
      </c>
      <c r="O2477" t="s">
        <v>277</v>
      </c>
      <c r="R2477" t="s">
        <v>5784</v>
      </c>
      <c r="S2477" t="s">
        <v>2864</v>
      </c>
      <c r="V2477" t="s">
        <v>2855</v>
      </c>
      <c r="W2477" t="s">
        <v>2898</v>
      </c>
      <c r="X2477" t="s">
        <v>270</v>
      </c>
      <c r="AD2477" t="s">
        <v>5785</v>
      </c>
    </row>
    <row r="2478" spans="1:30" x14ac:dyDescent="0.25">
      <c r="A2478" t="s">
        <v>33</v>
      </c>
      <c r="D2478" t="s">
        <v>2847</v>
      </c>
      <c r="E2478" t="s">
        <v>2893</v>
      </c>
      <c r="F2478" t="s">
        <v>248</v>
      </c>
      <c r="G2478" t="s">
        <v>5781</v>
      </c>
      <c r="H2478" t="s">
        <v>143</v>
      </c>
      <c r="I2478" t="s">
        <v>272</v>
      </c>
      <c r="J2478" t="s">
        <v>145</v>
      </c>
      <c r="K2478" t="s">
        <v>146</v>
      </c>
      <c r="L2478" t="s">
        <v>5782</v>
      </c>
      <c r="N2478" t="s">
        <v>5783</v>
      </c>
      <c r="O2478" t="s">
        <v>273</v>
      </c>
      <c r="R2478" t="s">
        <v>5786</v>
      </c>
      <c r="S2478" t="s">
        <v>2864</v>
      </c>
      <c r="V2478" t="s">
        <v>2855</v>
      </c>
      <c r="W2478" t="s">
        <v>2898</v>
      </c>
      <c r="X2478" t="s">
        <v>270</v>
      </c>
      <c r="AD2478" t="s">
        <v>5787</v>
      </c>
    </row>
    <row r="2479" spans="1:30" x14ac:dyDescent="0.25">
      <c r="A2479" t="s">
        <v>33</v>
      </c>
      <c r="D2479" t="s">
        <v>2847</v>
      </c>
      <c r="E2479" t="s">
        <v>2893</v>
      </c>
      <c r="F2479" t="s">
        <v>248</v>
      </c>
      <c r="G2479" t="s">
        <v>5781</v>
      </c>
      <c r="H2479" t="s">
        <v>143</v>
      </c>
      <c r="I2479" t="s">
        <v>267</v>
      </c>
      <c r="J2479" t="s">
        <v>145</v>
      </c>
      <c r="K2479" t="s">
        <v>146</v>
      </c>
      <c r="L2479" t="s">
        <v>5782</v>
      </c>
      <c r="N2479" t="s">
        <v>5783</v>
      </c>
      <c r="O2479" t="s">
        <v>268</v>
      </c>
      <c r="R2479" t="s">
        <v>5788</v>
      </c>
      <c r="S2479" t="s">
        <v>2864</v>
      </c>
      <c r="V2479" t="s">
        <v>2855</v>
      </c>
      <c r="W2479" t="s">
        <v>2898</v>
      </c>
      <c r="X2479" t="s">
        <v>270</v>
      </c>
      <c r="AD2479" t="s">
        <v>5789</v>
      </c>
    </row>
    <row r="2480" spans="1:30" x14ac:dyDescent="0.25">
      <c r="A2480" t="s">
        <v>33</v>
      </c>
      <c r="D2480" t="s">
        <v>2847</v>
      </c>
      <c r="E2480" t="s">
        <v>2893</v>
      </c>
      <c r="F2480" t="s">
        <v>248</v>
      </c>
      <c r="G2480" t="s">
        <v>5781</v>
      </c>
      <c r="H2480" t="s">
        <v>143</v>
      </c>
      <c r="I2480" t="s">
        <v>295</v>
      </c>
      <c r="J2480" t="s">
        <v>145</v>
      </c>
      <c r="K2480" t="s">
        <v>146</v>
      </c>
      <c r="L2480" t="s">
        <v>5782</v>
      </c>
      <c r="M2480" t="s">
        <v>82</v>
      </c>
      <c r="N2480" t="s">
        <v>5783</v>
      </c>
      <c r="O2480" t="s">
        <v>296</v>
      </c>
      <c r="R2480" t="s">
        <v>5790</v>
      </c>
      <c r="S2480" t="s">
        <v>2864</v>
      </c>
      <c r="V2480" t="s">
        <v>2855</v>
      </c>
      <c r="W2480" t="s">
        <v>2898</v>
      </c>
      <c r="AD2480" t="s">
        <v>5791</v>
      </c>
    </row>
    <row r="2481" spans="1:30" x14ac:dyDescent="0.25">
      <c r="A2481" t="s">
        <v>33</v>
      </c>
      <c r="D2481" t="s">
        <v>2847</v>
      </c>
      <c r="E2481" t="s">
        <v>2893</v>
      </c>
      <c r="F2481" t="s">
        <v>248</v>
      </c>
      <c r="G2481" t="s">
        <v>5781</v>
      </c>
      <c r="H2481" t="s">
        <v>143</v>
      </c>
      <c r="I2481" t="s">
        <v>299</v>
      </c>
      <c r="J2481" t="s">
        <v>145</v>
      </c>
      <c r="K2481" t="s">
        <v>146</v>
      </c>
      <c r="L2481" t="s">
        <v>5782</v>
      </c>
      <c r="M2481" t="s">
        <v>82</v>
      </c>
      <c r="N2481" t="s">
        <v>5783</v>
      </c>
      <c r="O2481" t="s">
        <v>300</v>
      </c>
      <c r="R2481" t="s">
        <v>5792</v>
      </c>
      <c r="S2481" t="s">
        <v>2864</v>
      </c>
      <c r="V2481" t="s">
        <v>2855</v>
      </c>
      <c r="W2481" t="s">
        <v>2898</v>
      </c>
      <c r="AD2481" t="s">
        <v>5793</v>
      </c>
    </row>
    <row r="2482" spans="1:30" x14ac:dyDescent="0.25">
      <c r="A2482" t="s">
        <v>33</v>
      </c>
      <c r="D2482" t="s">
        <v>2847</v>
      </c>
      <c r="E2482" t="s">
        <v>2893</v>
      </c>
      <c r="F2482" t="s">
        <v>248</v>
      </c>
      <c r="G2482" t="s">
        <v>5781</v>
      </c>
      <c r="H2482" t="s">
        <v>38</v>
      </c>
      <c r="I2482" t="s">
        <v>257</v>
      </c>
      <c r="J2482" t="s">
        <v>40</v>
      </c>
      <c r="K2482" t="s">
        <v>41</v>
      </c>
      <c r="L2482" t="s">
        <v>5782</v>
      </c>
      <c r="M2482" t="s">
        <v>82</v>
      </c>
      <c r="N2482" t="s">
        <v>5783</v>
      </c>
      <c r="O2482" t="s">
        <v>258</v>
      </c>
      <c r="R2482" t="s">
        <v>5794</v>
      </c>
      <c r="S2482" t="s">
        <v>2864</v>
      </c>
      <c r="V2482" t="s">
        <v>2855</v>
      </c>
      <c r="W2482" t="s">
        <v>2898</v>
      </c>
      <c r="AD2482" t="s">
        <v>5795</v>
      </c>
    </row>
    <row r="2483" spans="1:30" x14ac:dyDescent="0.25">
      <c r="A2483" t="s">
        <v>33</v>
      </c>
      <c r="D2483" t="s">
        <v>2847</v>
      </c>
      <c r="E2483" t="s">
        <v>2893</v>
      </c>
      <c r="F2483" t="s">
        <v>248</v>
      </c>
      <c r="G2483" t="s">
        <v>5781</v>
      </c>
      <c r="H2483" t="s">
        <v>38</v>
      </c>
      <c r="I2483" t="s">
        <v>250</v>
      </c>
      <c r="J2483" t="s">
        <v>40</v>
      </c>
      <c r="K2483" t="s">
        <v>41</v>
      </c>
      <c r="L2483" t="s">
        <v>5782</v>
      </c>
      <c r="M2483" t="s">
        <v>3327</v>
      </c>
      <c r="N2483" t="s">
        <v>5783</v>
      </c>
      <c r="O2483" t="s">
        <v>254</v>
      </c>
      <c r="R2483" t="s">
        <v>5796</v>
      </c>
      <c r="S2483" t="s">
        <v>2864</v>
      </c>
      <c r="V2483" t="s">
        <v>2855</v>
      </c>
      <c r="W2483" t="s">
        <v>2898</v>
      </c>
      <c r="X2483" t="s">
        <v>1193</v>
      </c>
      <c r="AD2483" t="s">
        <v>5797</v>
      </c>
    </row>
    <row r="2484" spans="1:30" x14ac:dyDescent="0.25">
      <c r="A2484" t="s">
        <v>33</v>
      </c>
      <c r="D2484" t="s">
        <v>2847</v>
      </c>
      <c r="E2484" t="s">
        <v>2893</v>
      </c>
      <c r="F2484" t="s">
        <v>248</v>
      </c>
      <c r="G2484" t="s">
        <v>5781</v>
      </c>
      <c r="H2484" t="s">
        <v>143</v>
      </c>
      <c r="I2484" t="s">
        <v>257</v>
      </c>
      <c r="J2484" t="s">
        <v>145</v>
      </c>
      <c r="K2484" t="s">
        <v>146</v>
      </c>
      <c r="L2484" t="s">
        <v>5782</v>
      </c>
      <c r="M2484" t="s">
        <v>82</v>
      </c>
      <c r="N2484" t="s">
        <v>5783</v>
      </c>
      <c r="O2484" t="s">
        <v>292</v>
      </c>
      <c r="R2484" t="s">
        <v>5798</v>
      </c>
      <c r="S2484" t="s">
        <v>2864</v>
      </c>
      <c r="V2484" t="s">
        <v>2855</v>
      </c>
      <c r="W2484" t="s">
        <v>2898</v>
      </c>
      <c r="AD2484" t="s">
        <v>5799</v>
      </c>
    </row>
    <row r="2485" spans="1:30" x14ac:dyDescent="0.25">
      <c r="A2485" t="s">
        <v>33</v>
      </c>
      <c r="D2485" t="s">
        <v>2847</v>
      </c>
      <c r="E2485" t="s">
        <v>2893</v>
      </c>
      <c r="F2485" t="s">
        <v>248</v>
      </c>
      <c r="G2485" t="s">
        <v>5781</v>
      </c>
      <c r="H2485" t="s">
        <v>143</v>
      </c>
      <c r="I2485" t="s">
        <v>261</v>
      </c>
      <c r="J2485" t="s">
        <v>145</v>
      </c>
      <c r="K2485" t="s">
        <v>262</v>
      </c>
      <c r="L2485" t="s">
        <v>5782</v>
      </c>
      <c r="M2485" t="s">
        <v>3327</v>
      </c>
      <c r="N2485" t="s">
        <v>5783</v>
      </c>
      <c r="O2485" t="s">
        <v>263</v>
      </c>
      <c r="R2485" t="s">
        <v>5800</v>
      </c>
      <c r="S2485" t="s">
        <v>2864</v>
      </c>
      <c r="V2485" t="s">
        <v>2855</v>
      </c>
      <c r="W2485" t="s">
        <v>2898</v>
      </c>
      <c r="X2485" t="s">
        <v>1193</v>
      </c>
      <c r="AD2485" t="s">
        <v>5801</v>
      </c>
    </row>
    <row r="2486" spans="1:30" x14ac:dyDescent="0.25">
      <c r="A2486" t="s">
        <v>33</v>
      </c>
      <c r="D2486" t="s">
        <v>2847</v>
      </c>
      <c r="E2486" t="s">
        <v>2893</v>
      </c>
      <c r="F2486" t="s">
        <v>248</v>
      </c>
      <c r="G2486" t="s">
        <v>5781</v>
      </c>
      <c r="H2486" t="s">
        <v>280</v>
      </c>
      <c r="I2486" t="s">
        <v>281</v>
      </c>
      <c r="J2486" t="s">
        <v>282</v>
      </c>
      <c r="K2486" t="s">
        <v>283</v>
      </c>
      <c r="L2486" t="s">
        <v>5782</v>
      </c>
      <c r="N2486" t="s">
        <v>5783</v>
      </c>
      <c r="O2486" t="s">
        <v>284</v>
      </c>
      <c r="Q2486" t="s">
        <v>285</v>
      </c>
      <c r="R2486" t="s">
        <v>5802</v>
      </c>
      <c r="S2486" t="s">
        <v>2864</v>
      </c>
      <c r="V2486" t="s">
        <v>2855</v>
      </c>
      <c r="W2486" t="s">
        <v>2898</v>
      </c>
      <c r="AD2486" t="s">
        <v>5803</v>
      </c>
    </row>
    <row r="2487" spans="1:30" x14ac:dyDescent="0.25">
      <c r="A2487" t="s">
        <v>33</v>
      </c>
      <c r="D2487" t="s">
        <v>2847</v>
      </c>
      <c r="E2487" t="s">
        <v>2848</v>
      </c>
      <c r="F2487" t="s">
        <v>78</v>
      </c>
      <c r="G2487" t="s">
        <v>5804</v>
      </c>
      <c r="H2487" t="s">
        <v>280</v>
      </c>
      <c r="I2487" t="s">
        <v>281</v>
      </c>
      <c r="J2487" t="s">
        <v>282</v>
      </c>
      <c r="K2487" t="s">
        <v>283</v>
      </c>
      <c r="L2487" t="s">
        <v>5805</v>
      </c>
      <c r="N2487" t="s">
        <v>5806</v>
      </c>
      <c r="O2487" t="s">
        <v>284</v>
      </c>
      <c r="Q2487" t="s">
        <v>285</v>
      </c>
      <c r="R2487" t="s">
        <v>5807</v>
      </c>
      <c r="S2487" t="s">
        <v>2854</v>
      </c>
      <c r="V2487" t="s">
        <v>2855</v>
      </c>
      <c r="W2487" t="s">
        <v>2856</v>
      </c>
      <c r="AD2487" t="s">
        <v>5808</v>
      </c>
    </row>
    <row r="2488" spans="1:30" x14ac:dyDescent="0.25">
      <c r="A2488" t="s">
        <v>33</v>
      </c>
      <c r="D2488" t="s">
        <v>2847</v>
      </c>
      <c r="E2488" t="s">
        <v>2848</v>
      </c>
      <c r="F2488" t="s">
        <v>78</v>
      </c>
      <c r="G2488" t="s">
        <v>5804</v>
      </c>
      <c r="H2488" t="s">
        <v>38</v>
      </c>
      <c r="I2488" t="s">
        <v>257</v>
      </c>
      <c r="J2488" t="s">
        <v>40</v>
      </c>
      <c r="K2488" t="s">
        <v>41</v>
      </c>
      <c r="L2488" t="s">
        <v>5805</v>
      </c>
      <c r="M2488" t="s">
        <v>82</v>
      </c>
      <c r="N2488" t="s">
        <v>5806</v>
      </c>
      <c r="O2488" t="s">
        <v>258</v>
      </c>
      <c r="R2488" t="s">
        <v>5809</v>
      </c>
      <c r="S2488" t="s">
        <v>2854</v>
      </c>
      <c r="V2488" t="s">
        <v>2855</v>
      </c>
      <c r="W2488" t="s">
        <v>2856</v>
      </c>
      <c r="AD2488" t="s">
        <v>5810</v>
      </c>
    </row>
    <row r="2489" spans="1:30" x14ac:dyDescent="0.25">
      <c r="A2489" t="s">
        <v>33</v>
      </c>
      <c r="D2489" t="s">
        <v>2847</v>
      </c>
      <c r="E2489" t="s">
        <v>2848</v>
      </c>
      <c r="F2489" t="s">
        <v>78</v>
      </c>
      <c r="G2489" t="s">
        <v>5804</v>
      </c>
      <c r="H2489" t="s">
        <v>143</v>
      </c>
      <c r="I2489" t="s">
        <v>276</v>
      </c>
      <c r="J2489" t="s">
        <v>145</v>
      </c>
      <c r="K2489" t="s">
        <v>146</v>
      </c>
      <c r="L2489" t="s">
        <v>5805</v>
      </c>
      <c r="N2489" t="s">
        <v>5806</v>
      </c>
      <c r="O2489" t="s">
        <v>277</v>
      </c>
      <c r="R2489" t="s">
        <v>5811</v>
      </c>
      <c r="S2489" t="s">
        <v>2854</v>
      </c>
      <c r="V2489" t="s">
        <v>2855</v>
      </c>
      <c r="W2489" t="s">
        <v>2856</v>
      </c>
      <c r="X2489" t="s">
        <v>270</v>
      </c>
      <c r="AD2489" t="s">
        <v>5812</v>
      </c>
    </row>
    <row r="2490" spans="1:30" x14ac:dyDescent="0.25">
      <c r="A2490" t="s">
        <v>33</v>
      </c>
      <c r="D2490" t="s">
        <v>2847</v>
      </c>
      <c r="E2490" t="s">
        <v>2859</v>
      </c>
      <c r="F2490" t="s">
        <v>78</v>
      </c>
      <c r="G2490" t="s">
        <v>5813</v>
      </c>
      <c r="H2490" t="s">
        <v>143</v>
      </c>
      <c r="I2490" t="s">
        <v>160</v>
      </c>
      <c r="J2490" t="s">
        <v>145</v>
      </c>
      <c r="K2490" t="s">
        <v>146</v>
      </c>
      <c r="L2490" t="s">
        <v>5814</v>
      </c>
      <c r="M2490" t="s">
        <v>3327</v>
      </c>
      <c r="N2490" t="s">
        <v>5815</v>
      </c>
      <c r="O2490" t="s">
        <v>1158</v>
      </c>
      <c r="R2490" t="s">
        <v>5816</v>
      </c>
      <c r="S2490" t="s">
        <v>2864</v>
      </c>
      <c r="V2490" t="s">
        <v>2855</v>
      </c>
      <c r="W2490" t="s">
        <v>2865</v>
      </c>
      <c r="X2490" t="s">
        <v>1193</v>
      </c>
      <c r="AD2490" t="s">
        <v>5817</v>
      </c>
    </row>
    <row r="2491" spans="1:30" x14ac:dyDescent="0.25">
      <c r="A2491" t="s">
        <v>33</v>
      </c>
      <c r="D2491" t="s">
        <v>2847</v>
      </c>
      <c r="E2491" t="s">
        <v>2859</v>
      </c>
      <c r="F2491" t="s">
        <v>78</v>
      </c>
      <c r="G2491" t="s">
        <v>5813</v>
      </c>
      <c r="H2491" t="s">
        <v>143</v>
      </c>
      <c r="I2491" t="s">
        <v>909</v>
      </c>
      <c r="J2491" t="s">
        <v>145</v>
      </c>
      <c r="K2491" t="s">
        <v>146</v>
      </c>
      <c r="L2491" t="s">
        <v>5814</v>
      </c>
      <c r="M2491" t="s">
        <v>3327</v>
      </c>
      <c r="N2491" t="s">
        <v>5815</v>
      </c>
      <c r="O2491" t="s">
        <v>1155</v>
      </c>
      <c r="R2491" t="s">
        <v>5818</v>
      </c>
      <c r="S2491" t="s">
        <v>2864</v>
      </c>
      <c r="V2491" t="s">
        <v>2855</v>
      </c>
      <c r="W2491" t="s">
        <v>2865</v>
      </c>
      <c r="X2491" t="s">
        <v>1193</v>
      </c>
      <c r="AD2491" t="s">
        <v>5819</v>
      </c>
    </row>
    <row r="2492" spans="1:30" x14ac:dyDescent="0.25">
      <c r="A2492" t="s">
        <v>33</v>
      </c>
      <c r="D2492" t="s">
        <v>2847</v>
      </c>
      <c r="E2492" t="s">
        <v>2859</v>
      </c>
      <c r="F2492" t="s">
        <v>78</v>
      </c>
      <c r="G2492" t="s">
        <v>5820</v>
      </c>
      <c r="H2492" t="s">
        <v>38</v>
      </c>
      <c r="I2492" t="s">
        <v>80</v>
      </c>
      <c r="J2492" t="s">
        <v>69</v>
      </c>
      <c r="K2492" t="s">
        <v>41</v>
      </c>
      <c r="L2492" t="s">
        <v>5821</v>
      </c>
      <c r="M2492" t="s">
        <v>82</v>
      </c>
      <c r="N2492" t="s">
        <v>5822</v>
      </c>
      <c r="O2492" t="s">
        <v>84</v>
      </c>
      <c r="R2492" t="s">
        <v>5823</v>
      </c>
      <c r="S2492" t="s">
        <v>2864</v>
      </c>
      <c r="V2492" t="s">
        <v>2855</v>
      </c>
      <c r="W2492" t="s">
        <v>2865</v>
      </c>
      <c r="AD2492" t="s">
        <v>5824</v>
      </c>
    </row>
    <row r="2493" spans="1:30" x14ac:dyDescent="0.25">
      <c r="A2493" t="s">
        <v>947</v>
      </c>
      <c r="B2493" t="s">
        <v>1948</v>
      </c>
      <c r="C2493" t="s">
        <v>949</v>
      </c>
      <c r="D2493" t="s">
        <v>2847</v>
      </c>
      <c r="E2493" t="s">
        <v>2859</v>
      </c>
      <c r="F2493" t="s">
        <v>78</v>
      </c>
      <c r="G2493" t="s">
        <v>5825</v>
      </c>
      <c r="H2493" t="s">
        <v>166</v>
      </c>
      <c r="I2493" t="s">
        <v>5826</v>
      </c>
      <c r="J2493" t="s">
        <v>167</v>
      </c>
      <c r="K2493" t="s">
        <v>41</v>
      </c>
      <c r="L2493" t="s">
        <v>5827</v>
      </c>
      <c r="N2493" t="s">
        <v>5828</v>
      </c>
      <c r="O2493" t="s">
        <v>5829</v>
      </c>
      <c r="Q2493" t="s">
        <v>5830</v>
      </c>
      <c r="R2493" t="s">
        <v>5831</v>
      </c>
      <c r="S2493" t="s">
        <v>2864</v>
      </c>
      <c r="V2493" t="s">
        <v>2855</v>
      </c>
      <c r="W2493" t="s">
        <v>2865</v>
      </c>
      <c r="AD2493" t="s">
        <v>5832</v>
      </c>
    </row>
    <row r="2494" spans="1:30" x14ac:dyDescent="0.25">
      <c r="A2494" t="s">
        <v>947</v>
      </c>
      <c r="B2494" t="s">
        <v>1948</v>
      </c>
      <c r="C2494" t="s">
        <v>949</v>
      </c>
      <c r="D2494" t="s">
        <v>2847</v>
      </c>
      <c r="E2494" t="s">
        <v>2859</v>
      </c>
      <c r="F2494" t="s">
        <v>78</v>
      </c>
      <c r="G2494" t="s">
        <v>5825</v>
      </c>
      <c r="H2494" t="s">
        <v>143</v>
      </c>
      <c r="I2494" t="s">
        <v>5833</v>
      </c>
      <c r="J2494" t="s">
        <v>745</v>
      </c>
      <c r="K2494" t="s">
        <v>262</v>
      </c>
      <c r="L2494" t="s">
        <v>5827</v>
      </c>
      <c r="M2494" t="s">
        <v>3327</v>
      </c>
      <c r="N2494" t="s">
        <v>5828</v>
      </c>
      <c r="O2494" t="s">
        <v>5834</v>
      </c>
      <c r="R2494" t="s">
        <v>5835</v>
      </c>
      <c r="S2494" t="s">
        <v>2864</v>
      </c>
      <c r="V2494" t="s">
        <v>2855</v>
      </c>
      <c r="W2494" t="s">
        <v>2865</v>
      </c>
      <c r="X2494" t="s">
        <v>1193</v>
      </c>
      <c r="AD2494" t="s">
        <v>5836</v>
      </c>
    </row>
    <row r="2495" spans="1:30" x14ac:dyDescent="0.25">
      <c r="A2495" t="s">
        <v>947</v>
      </c>
      <c r="B2495" t="s">
        <v>1948</v>
      </c>
      <c r="C2495" t="s">
        <v>949</v>
      </c>
      <c r="D2495" t="s">
        <v>2847</v>
      </c>
      <c r="E2495" t="s">
        <v>2859</v>
      </c>
      <c r="F2495" t="s">
        <v>78</v>
      </c>
      <c r="G2495" t="s">
        <v>5825</v>
      </c>
      <c r="H2495" t="s">
        <v>143</v>
      </c>
      <c r="I2495" t="s">
        <v>5837</v>
      </c>
      <c r="J2495" t="s">
        <v>745</v>
      </c>
      <c r="K2495" t="s">
        <v>262</v>
      </c>
      <c r="L2495" t="s">
        <v>5827</v>
      </c>
      <c r="M2495" t="s">
        <v>3327</v>
      </c>
      <c r="N2495" t="s">
        <v>5828</v>
      </c>
      <c r="O2495" t="s">
        <v>5838</v>
      </c>
      <c r="R2495" t="s">
        <v>5839</v>
      </c>
      <c r="S2495" t="s">
        <v>2864</v>
      </c>
      <c r="V2495" t="s">
        <v>2855</v>
      </c>
      <c r="W2495" t="s">
        <v>2865</v>
      </c>
      <c r="X2495" t="s">
        <v>1193</v>
      </c>
      <c r="AD2495" t="s">
        <v>5840</v>
      </c>
    </row>
    <row r="2496" spans="1:30" x14ac:dyDescent="0.25">
      <c r="A2496" t="s">
        <v>33</v>
      </c>
      <c r="D2496" t="s">
        <v>2847</v>
      </c>
      <c r="E2496" t="s">
        <v>2859</v>
      </c>
      <c r="F2496" t="s">
        <v>78</v>
      </c>
      <c r="G2496" t="s">
        <v>5825</v>
      </c>
      <c r="H2496" t="s">
        <v>38</v>
      </c>
      <c r="I2496" t="s">
        <v>80</v>
      </c>
      <c r="J2496" t="s">
        <v>69</v>
      </c>
      <c r="K2496" t="s">
        <v>41</v>
      </c>
      <c r="L2496" t="s">
        <v>5827</v>
      </c>
      <c r="M2496" t="s">
        <v>82</v>
      </c>
      <c r="N2496" t="s">
        <v>5828</v>
      </c>
      <c r="O2496" t="s">
        <v>84</v>
      </c>
      <c r="R2496" t="s">
        <v>5841</v>
      </c>
      <c r="S2496" t="s">
        <v>2864</v>
      </c>
      <c r="V2496" t="s">
        <v>2855</v>
      </c>
      <c r="W2496" t="s">
        <v>2865</v>
      </c>
      <c r="AD2496" t="s">
        <v>5842</v>
      </c>
    </row>
    <row r="2497" spans="1:30" x14ac:dyDescent="0.25">
      <c r="A2497" t="s">
        <v>33</v>
      </c>
      <c r="D2497" t="s">
        <v>2847</v>
      </c>
      <c r="E2497" t="s">
        <v>2848</v>
      </c>
      <c r="F2497" t="s">
        <v>87</v>
      </c>
      <c r="G2497" t="s">
        <v>4015</v>
      </c>
      <c r="H2497" t="s">
        <v>143</v>
      </c>
      <c r="I2497" t="s">
        <v>90</v>
      </c>
      <c r="J2497" t="s">
        <v>145</v>
      </c>
      <c r="K2497" t="s">
        <v>262</v>
      </c>
      <c r="L2497" t="s">
        <v>4016</v>
      </c>
      <c r="M2497" t="s">
        <v>493</v>
      </c>
      <c r="N2497" t="s">
        <v>4017</v>
      </c>
      <c r="O2497" t="s">
        <v>380</v>
      </c>
      <c r="R2497" t="s">
        <v>5843</v>
      </c>
      <c r="S2497" t="s">
        <v>2882</v>
      </c>
      <c r="V2497" t="s">
        <v>2855</v>
      </c>
      <c r="W2497" t="s">
        <v>2856</v>
      </c>
      <c r="AD2497" t="s">
        <v>5844</v>
      </c>
    </row>
    <row r="2498" spans="1:30" x14ac:dyDescent="0.25">
      <c r="A2498" t="s">
        <v>33</v>
      </c>
      <c r="D2498" t="s">
        <v>2847</v>
      </c>
      <c r="E2498" t="s">
        <v>2848</v>
      </c>
      <c r="F2498" t="s">
        <v>87</v>
      </c>
      <c r="G2498" t="s">
        <v>4015</v>
      </c>
      <c r="H2498" t="s">
        <v>153</v>
      </c>
      <c r="I2498" t="s">
        <v>144</v>
      </c>
      <c r="J2498" t="s">
        <v>154</v>
      </c>
      <c r="K2498" t="s">
        <v>155</v>
      </c>
      <c r="L2498" t="s">
        <v>4016</v>
      </c>
      <c r="N2498" t="s">
        <v>4017</v>
      </c>
      <c r="O2498" t="s">
        <v>156</v>
      </c>
      <c r="R2498" t="s">
        <v>5845</v>
      </c>
      <c r="S2498" t="s">
        <v>2882</v>
      </c>
      <c r="V2498" t="s">
        <v>2855</v>
      </c>
      <c r="W2498" t="s">
        <v>2856</v>
      </c>
      <c r="AD2498" t="s">
        <v>5846</v>
      </c>
    </row>
    <row r="2499" spans="1:30" x14ac:dyDescent="0.25">
      <c r="A2499" t="s">
        <v>33</v>
      </c>
      <c r="D2499" t="s">
        <v>2847</v>
      </c>
      <c r="E2499" t="s">
        <v>2848</v>
      </c>
      <c r="F2499" t="s">
        <v>87</v>
      </c>
      <c r="G2499" t="s">
        <v>4015</v>
      </c>
      <c r="H2499" t="s">
        <v>153</v>
      </c>
      <c r="I2499" t="s">
        <v>90</v>
      </c>
      <c r="J2499" t="s">
        <v>154</v>
      </c>
      <c r="K2499" t="s">
        <v>155</v>
      </c>
      <c r="L2499" t="s">
        <v>4016</v>
      </c>
      <c r="N2499" t="s">
        <v>4017</v>
      </c>
      <c r="O2499" t="s">
        <v>386</v>
      </c>
      <c r="R2499" t="s">
        <v>5847</v>
      </c>
      <c r="S2499" t="s">
        <v>2882</v>
      </c>
      <c r="V2499" t="s">
        <v>2855</v>
      </c>
      <c r="W2499" t="s">
        <v>2856</v>
      </c>
      <c r="AD2499" t="s">
        <v>5848</v>
      </c>
    </row>
    <row r="2500" spans="1:30" x14ac:dyDescent="0.25">
      <c r="A2500" t="s">
        <v>33</v>
      </c>
      <c r="D2500" t="s">
        <v>2847</v>
      </c>
      <c r="E2500" t="s">
        <v>2848</v>
      </c>
      <c r="F2500" t="s">
        <v>87</v>
      </c>
      <c r="G2500" t="s">
        <v>4015</v>
      </c>
      <c r="H2500" t="s">
        <v>89</v>
      </c>
      <c r="I2500" t="s">
        <v>90</v>
      </c>
      <c r="J2500" t="s">
        <v>91</v>
      </c>
      <c r="K2500" t="s">
        <v>92</v>
      </c>
      <c r="L2500" t="s">
        <v>4016</v>
      </c>
      <c r="M2500" t="s">
        <v>94</v>
      </c>
      <c r="N2500" t="s">
        <v>4017</v>
      </c>
      <c r="O2500" t="s">
        <v>383</v>
      </c>
      <c r="P2500">
        <v>1E-3</v>
      </c>
      <c r="R2500" t="s">
        <v>5849</v>
      </c>
      <c r="S2500" t="s">
        <v>2882</v>
      </c>
      <c r="V2500" t="s">
        <v>2855</v>
      </c>
      <c r="W2500" t="s">
        <v>2856</v>
      </c>
      <c r="AD2500" t="s">
        <v>5850</v>
      </c>
    </row>
    <row r="2501" spans="1:30" x14ac:dyDescent="0.25">
      <c r="A2501" t="s">
        <v>33</v>
      </c>
      <c r="D2501" t="s">
        <v>2847</v>
      </c>
      <c r="E2501" t="s">
        <v>2848</v>
      </c>
      <c r="F2501" t="s">
        <v>87</v>
      </c>
      <c r="G2501" t="s">
        <v>4015</v>
      </c>
      <c r="H2501" t="s">
        <v>143</v>
      </c>
      <c r="I2501" t="s">
        <v>144</v>
      </c>
      <c r="J2501" t="s">
        <v>145</v>
      </c>
      <c r="K2501" t="s">
        <v>262</v>
      </c>
      <c r="L2501" t="s">
        <v>4016</v>
      </c>
      <c r="M2501" t="s">
        <v>493</v>
      </c>
      <c r="N2501" t="s">
        <v>4017</v>
      </c>
      <c r="O2501" t="s">
        <v>147</v>
      </c>
      <c r="R2501" t="s">
        <v>5851</v>
      </c>
      <c r="S2501" t="s">
        <v>2882</v>
      </c>
      <c r="V2501" t="s">
        <v>2855</v>
      </c>
      <c r="W2501" t="s">
        <v>2856</v>
      </c>
      <c r="AD2501" t="s">
        <v>5852</v>
      </c>
    </row>
    <row r="2502" spans="1:30" x14ac:dyDescent="0.25">
      <c r="A2502" t="s">
        <v>33</v>
      </c>
      <c r="D2502" t="s">
        <v>2847</v>
      </c>
      <c r="E2502" t="s">
        <v>2848</v>
      </c>
      <c r="F2502" t="s">
        <v>87</v>
      </c>
      <c r="G2502" t="s">
        <v>4015</v>
      </c>
      <c r="H2502" t="s">
        <v>89</v>
      </c>
      <c r="I2502" t="s">
        <v>144</v>
      </c>
      <c r="J2502" t="s">
        <v>91</v>
      </c>
      <c r="K2502" t="s">
        <v>92</v>
      </c>
      <c r="L2502" t="s">
        <v>4016</v>
      </c>
      <c r="M2502" t="s">
        <v>94</v>
      </c>
      <c r="N2502" t="s">
        <v>4017</v>
      </c>
      <c r="O2502" t="s">
        <v>150</v>
      </c>
      <c r="P2502">
        <v>1E-3</v>
      </c>
      <c r="R2502" t="s">
        <v>5853</v>
      </c>
      <c r="S2502" t="s">
        <v>2882</v>
      </c>
      <c r="V2502" t="s">
        <v>2855</v>
      </c>
      <c r="W2502" t="s">
        <v>2856</v>
      </c>
      <c r="AD2502" t="s">
        <v>5854</v>
      </c>
    </row>
    <row r="2503" spans="1:30" x14ac:dyDescent="0.25">
      <c r="A2503" t="s">
        <v>33</v>
      </c>
      <c r="D2503" t="s">
        <v>2847</v>
      </c>
      <c r="E2503" t="s">
        <v>2848</v>
      </c>
      <c r="F2503" t="s">
        <v>87</v>
      </c>
      <c r="G2503" t="s">
        <v>4015</v>
      </c>
      <c r="H2503" t="s">
        <v>153</v>
      </c>
      <c r="I2503" t="s">
        <v>180</v>
      </c>
      <c r="J2503" t="s">
        <v>154</v>
      </c>
      <c r="K2503" t="s">
        <v>155</v>
      </c>
      <c r="L2503" t="s">
        <v>4016</v>
      </c>
      <c r="N2503" t="s">
        <v>4017</v>
      </c>
      <c r="O2503" t="s">
        <v>187</v>
      </c>
      <c r="R2503" t="s">
        <v>5855</v>
      </c>
      <c r="S2503" t="s">
        <v>2882</v>
      </c>
      <c r="V2503" t="s">
        <v>2855</v>
      </c>
      <c r="W2503" t="s">
        <v>2856</v>
      </c>
      <c r="AD2503" t="s">
        <v>5856</v>
      </c>
    </row>
    <row r="2504" spans="1:30" x14ac:dyDescent="0.25">
      <c r="A2504" t="s">
        <v>33</v>
      </c>
      <c r="D2504" t="s">
        <v>2847</v>
      </c>
      <c r="E2504" t="s">
        <v>2848</v>
      </c>
      <c r="F2504" t="s">
        <v>87</v>
      </c>
      <c r="G2504" t="s">
        <v>4015</v>
      </c>
      <c r="H2504" t="s">
        <v>153</v>
      </c>
      <c r="I2504" t="s">
        <v>100</v>
      </c>
      <c r="J2504" t="s">
        <v>154</v>
      </c>
      <c r="K2504" t="s">
        <v>155</v>
      </c>
      <c r="L2504" t="s">
        <v>4016</v>
      </c>
      <c r="N2504" t="s">
        <v>4017</v>
      </c>
      <c r="O2504" t="s">
        <v>448</v>
      </c>
      <c r="R2504" t="s">
        <v>5857</v>
      </c>
      <c r="S2504" t="s">
        <v>2882</v>
      </c>
      <c r="V2504" t="s">
        <v>2855</v>
      </c>
      <c r="W2504" t="s">
        <v>2856</v>
      </c>
      <c r="AD2504" t="s">
        <v>5858</v>
      </c>
    </row>
    <row r="2505" spans="1:30" x14ac:dyDescent="0.25">
      <c r="A2505" t="s">
        <v>33</v>
      </c>
      <c r="D2505" t="s">
        <v>2847</v>
      </c>
      <c r="E2505" t="s">
        <v>2848</v>
      </c>
      <c r="F2505" t="s">
        <v>87</v>
      </c>
      <c r="G2505" t="s">
        <v>4015</v>
      </c>
      <c r="H2505" t="s">
        <v>143</v>
      </c>
      <c r="I2505" t="s">
        <v>100</v>
      </c>
      <c r="J2505" t="s">
        <v>145</v>
      </c>
      <c r="K2505" t="s">
        <v>262</v>
      </c>
      <c r="L2505" t="s">
        <v>4016</v>
      </c>
      <c r="M2505" t="s">
        <v>493</v>
      </c>
      <c r="N2505" t="s">
        <v>4017</v>
      </c>
      <c r="O2505" t="s">
        <v>442</v>
      </c>
      <c r="R2505" t="s">
        <v>5859</v>
      </c>
      <c r="S2505" t="s">
        <v>2882</v>
      </c>
      <c r="V2505" t="s">
        <v>2855</v>
      </c>
      <c r="W2505" t="s">
        <v>2856</v>
      </c>
      <c r="AD2505" t="s">
        <v>5860</v>
      </c>
    </row>
    <row r="2506" spans="1:30" x14ac:dyDescent="0.25">
      <c r="A2506" t="s">
        <v>33</v>
      </c>
      <c r="D2506" t="s">
        <v>2847</v>
      </c>
      <c r="E2506" t="s">
        <v>2848</v>
      </c>
      <c r="F2506" t="s">
        <v>87</v>
      </c>
      <c r="G2506" t="s">
        <v>4015</v>
      </c>
      <c r="H2506" t="s">
        <v>89</v>
      </c>
      <c r="I2506" t="s">
        <v>100</v>
      </c>
      <c r="J2506" t="s">
        <v>91</v>
      </c>
      <c r="K2506" t="s">
        <v>92</v>
      </c>
      <c r="L2506" t="s">
        <v>4016</v>
      </c>
      <c r="M2506" t="s">
        <v>94</v>
      </c>
      <c r="N2506" t="s">
        <v>4017</v>
      </c>
      <c r="O2506" t="s">
        <v>445</v>
      </c>
      <c r="P2506">
        <v>1E-3</v>
      </c>
      <c r="R2506" t="s">
        <v>5861</v>
      </c>
      <c r="S2506" t="s">
        <v>2882</v>
      </c>
      <c r="V2506" t="s">
        <v>2855</v>
      </c>
      <c r="W2506" t="s">
        <v>2856</v>
      </c>
      <c r="AD2506" t="s">
        <v>5862</v>
      </c>
    </row>
    <row r="2507" spans="1:30" x14ac:dyDescent="0.25">
      <c r="A2507" t="s">
        <v>33</v>
      </c>
      <c r="D2507" t="s">
        <v>2847</v>
      </c>
      <c r="E2507" t="s">
        <v>2848</v>
      </c>
      <c r="F2507" t="s">
        <v>87</v>
      </c>
      <c r="G2507" t="s">
        <v>4015</v>
      </c>
      <c r="H2507" t="s">
        <v>143</v>
      </c>
      <c r="I2507" t="s">
        <v>180</v>
      </c>
      <c r="J2507" t="s">
        <v>145</v>
      </c>
      <c r="K2507" t="s">
        <v>262</v>
      </c>
      <c r="L2507" t="s">
        <v>4016</v>
      </c>
      <c r="M2507" t="s">
        <v>493</v>
      </c>
      <c r="N2507" t="s">
        <v>4017</v>
      </c>
      <c r="O2507" t="s">
        <v>181</v>
      </c>
      <c r="R2507" t="s">
        <v>5863</v>
      </c>
      <c r="S2507" t="s">
        <v>2882</v>
      </c>
      <c r="V2507" t="s">
        <v>2855</v>
      </c>
      <c r="W2507" t="s">
        <v>2856</v>
      </c>
      <c r="AD2507" t="s">
        <v>5864</v>
      </c>
    </row>
    <row r="2508" spans="1:30" x14ac:dyDescent="0.25">
      <c r="A2508" t="s">
        <v>33</v>
      </c>
      <c r="D2508" t="s">
        <v>2847</v>
      </c>
      <c r="E2508" t="s">
        <v>2848</v>
      </c>
      <c r="F2508" t="s">
        <v>87</v>
      </c>
      <c r="G2508" t="s">
        <v>4015</v>
      </c>
      <c r="H2508" t="s">
        <v>89</v>
      </c>
      <c r="I2508" t="s">
        <v>180</v>
      </c>
      <c r="J2508" t="s">
        <v>91</v>
      </c>
      <c r="K2508" t="s">
        <v>92</v>
      </c>
      <c r="L2508" t="s">
        <v>4016</v>
      </c>
      <c r="M2508" t="s">
        <v>94</v>
      </c>
      <c r="N2508" t="s">
        <v>4017</v>
      </c>
      <c r="O2508" t="s">
        <v>184</v>
      </c>
      <c r="P2508">
        <v>1E-3</v>
      </c>
      <c r="R2508" t="s">
        <v>5865</v>
      </c>
      <c r="S2508" t="s">
        <v>2882</v>
      </c>
      <c r="V2508" t="s">
        <v>2855</v>
      </c>
      <c r="W2508" t="s">
        <v>2856</v>
      </c>
      <c r="AD2508" t="s">
        <v>5866</v>
      </c>
    </row>
    <row r="2509" spans="1:30" x14ac:dyDescent="0.25">
      <c r="A2509" t="s">
        <v>33</v>
      </c>
      <c r="D2509" t="s">
        <v>2847</v>
      </c>
      <c r="E2509" t="s">
        <v>2848</v>
      </c>
      <c r="F2509" t="s">
        <v>87</v>
      </c>
      <c r="G2509" t="s">
        <v>4015</v>
      </c>
      <c r="H2509" t="s">
        <v>38</v>
      </c>
      <c r="I2509" t="s">
        <v>106</v>
      </c>
      <c r="J2509" t="s">
        <v>40</v>
      </c>
      <c r="K2509" t="s">
        <v>41</v>
      </c>
      <c r="L2509" t="s">
        <v>4016</v>
      </c>
      <c r="M2509" t="s">
        <v>493</v>
      </c>
      <c r="N2509" t="s">
        <v>4017</v>
      </c>
      <c r="O2509" t="s">
        <v>109</v>
      </c>
      <c r="R2509" t="s">
        <v>5867</v>
      </c>
      <c r="S2509" t="s">
        <v>2882</v>
      </c>
      <c r="V2509" t="s">
        <v>2855</v>
      </c>
      <c r="W2509" t="s">
        <v>2856</v>
      </c>
      <c r="AD2509" t="s">
        <v>5868</v>
      </c>
    </row>
    <row r="2510" spans="1:30" x14ac:dyDescent="0.25">
      <c r="A2510" t="s">
        <v>33</v>
      </c>
      <c r="D2510" t="s">
        <v>2847</v>
      </c>
      <c r="E2510" t="s">
        <v>2848</v>
      </c>
      <c r="F2510" t="s">
        <v>87</v>
      </c>
      <c r="G2510" t="s">
        <v>4024</v>
      </c>
      <c r="H2510" t="s">
        <v>143</v>
      </c>
      <c r="I2510" t="s">
        <v>90</v>
      </c>
      <c r="J2510" t="s">
        <v>145</v>
      </c>
      <c r="K2510" t="s">
        <v>262</v>
      </c>
      <c r="L2510" t="s">
        <v>4025</v>
      </c>
      <c r="M2510" t="s">
        <v>493</v>
      </c>
      <c r="N2510" t="s">
        <v>4026</v>
      </c>
      <c r="O2510" t="s">
        <v>380</v>
      </c>
      <c r="R2510" t="s">
        <v>5869</v>
      </c>
      <c r="S2510" t="s">
        <v>2882</v>
      </c>
      <c r="V2510" t="s">
        <v>2855</v>
      </c>
      <c r="W2510" t="s">
        <v>2856</v>
      </c>
      <c r="AD2510" t="s">
        <v>5870</v>
      </c>
    </row>
    <row r="2511" spans="1:30" x14ac:dyDescent="0.25">
      <c r="A2511" t="s">
        <v>33</v>
      </c>
      <c r="D2511" t="s">
        <v>2847</v>
      </c>
      <c r="E2511" t="s">
        <v>2848</v>
      </c>
      <c r="F2511" t="s">
        <v>87</v>
      </c>
      <c r="G2511" t="s">
        <v>4024</v>
      </c>
      <c r="H2511" t="s">
        <v>153</v>
      </c>
      <c r="I2511" t="s">
        <v>144</v>
      </c>
      <c r="J2511" t="s">
        <v>154</v>
      </c>
      <c r="K2511" t="s">
        <v>155</v>
      </c>
      <c r="L2511" t="s">
        <v>4025</v>
      </c>
      <c r="N2511" t="s">
        <v>4026</v>
      </c>
      <c r="O2511" t="s">
        <v>156</v>
      </c>
      <c r="R2511" t="s">
        <v>5871</v>
      </c>
      <c r="S2511" t="s">
        <v>2882</v>
      </c>
      <c r="V2511" t="s">
        <v>2855</v>
      </c>
      <c r="W2511" t="s">
        <v>2856</v>
      </c>
      <c r="AD2511" t="s">
        <v>5872</v>
      </c>
    </row>
    <row r="2512" spans="1:30" x14ac:dyDescent="0.25">
      <c r="A2512" t="s">
        <v>33</v>
      </c>
      <c r="D2512" t="s">
        <v>2847</v>
      </c>
      <c r="E2512" t="s">
        <v>2848</v>
      </c>
      <c r="F2512" t="s">
        <v>87</v>
      </c>
      <c r="G2512" t="s">
        <v>4024</v>
      </c>
      <c r="H2512" t="s">
        <v>153</v>
      </c>
      <c r="I2512" t="s">
        <v>90</v>
      </c>
      <c r="J2512" t="s">
        <v>154</v>
      </c>
      <c r="K2512" t="s">
        <v>155</v>
      </c>
      <c r="L2512" t="s">
        <v>4025</v>
      </c>
      <c r="N2512" t="s">
        <v>4026</v>
      </c>
      <c r="O2512" t="s">
        <v>386</v>
      </c>
      <c r="R2512" t="s">
        <v>5873</v>
      </c>
      <c r="S2512" t="s">
        <v>2882</v>
      </c>
      <c r="V2512" t="s">
        <v>2855</v>
      </c>
      <c r="W2512" t="s">
        <v>2856</v>
      </c>
      <c r="AD2512" t="s">
        <v>5874</v>
      </c>
    </row>
    <row r="2513" spans="1:30" x14ac:dyDescent="0.25">
      <c r="A2513" t="s">
        <v>33</v>
      </c>
      <c r="D2513" t="s">
        <v>2847</v>
      </c>
      <c r="E2513" t="s">
        <v>2848</v>
      </c>
      <c r="F2513" t="s">
        <v>87</v>
      </c>
      <c r="G2513" t="s">
        <v>4024</v>
      </c>
      <c r="H2513" t="s">
        <v>89</v>
      </c>
      <c r="I2513" t="s">
        <v>90</v>
      </c>
      <c r="J2513" t="s">
        <v>91</v>
      </c>
      <c r="K2513" t="s">
        <v>92</v>
      </c>
      <c r="L2513" t="s">
        <v>4025</v>
      </c>
      <c r="M2513" t="s">
        <v>94</v>
      </c>
      <c r="N2513" t="s">
        <v>4026</v>
      </c>
      <c r="O2513" t="s">
        <v>383</v>
      </c>
      <c r="P2513">
        <v>1E-3</v>
      </c>
      <c r="R2513" t="s">
        <v>5875</v>
      </c>
      <c r="S2513" t="s">
        <v>2882</v>
      </c>
      <c r="V2513" t="s">
        <v>2855</v>
      </c>
      <c r="W2513" t="s">
        <v>2856</v>
      </c>
      <c r="AD2513" t="s">
        <v>5876</v>
      </c>
    </row>
    <row r="2514" spans="1:30" x14ac:dyDescent="0.25">
      <c r="A2514" t="s">
        <v>33</v>
      </c>
      <c r="D2514" t="s">
        <v>2847</v>
      </c>
      <c r="E2514" t="s">
        <v>2848</v>
      </c>
      <c r="F2514" t="s">
        <v>87</v>
      </c>
      <c r="G2514" t="s">
        <v>4024</v>
      </c>
      <c r="H2514" t="s">
        <v>143</v>
      </c>
      <c r="I2514" t="s">
        <v>144</v>
      </c>
      <c r="J2514" t="s">
        <v>145</v>
      </c>
      <c r="K2514" t="s">
        <v>262</v>
      </c>
      <c r="L2514" t="s">
        <v>4025</v>
      </c>
      <c r="M2514" t="s">
        <v>493</v>
      </c>
      <c r="N2514" t="s">
        <v>4026</v>
      </c>
      <c r="O2514" t="s">
        <v>147</v>
      </c>
      <c r="R2514" t="s">
        <v>5877</v>
      </c>
      <c r="S2514" t="s">
        <v>2882</v>
      </c>
      <c r="V2514" t="s">
        <v>2855</v>
      </c>
      <c r="W2514" t="s">
        <v>2856</v>
      </c>
      <c r="AD2514" t="s">
        <v>5878</v>
      </c>
    </row>
    <row r="2515" spans="1:30" x14ac:dyDescent="0.25">
      <c r="A2515" t="s">
        <v>33</v>
      </c>
      <c r="D2515" t="s">
        <v>2847</v>
      </c>
      <c r="E2515" t="s">
        <v>2848</v>
      </c>
      <c r="F2515" t="s">
        <v>87</v>
      </c>
      <c r="G2515" t="s">
        <v>4024</v>
      </c>
      <c r="H2515" t="s">
        <v>89</v>
      </c>
      <c r="I2515" t="s">
        <v>144</v>
      </c>
      <c r="J2515" t="s">
        <v>91</v>
      </c>
      <c r="K2515" t="s">
        <v>92</v>
      </c>
      <c r="L2515" t="s">
        <v>4025</v>
      </c>
      <c r="M2515" t="s">
        <v>94</v>
      </c>
      <c r="N2515" t="s">
        <v>4026</v>
      </c>
      <c r="O2515" t="s">
        <v>150</v>
      </c>
      <c r="P2515">
        <v>1E-3</v>
      </c>
      <c r="R2515" t="s">
        <v>5879</v>
      </c>
      <c r="S2515" t="s">
        <v>2882</v>
      </c>
      <c r="V2515" t="s">
        <v>2855</v>
      </c>
      <c r="W2515" t="s">
        <v>2856</v>
      </c>
      <c r="AD2515" t="s">
        <v>5880</v>
      </c>
    </row>
    <row r="2516" spans="1:30" x14ac:dyDescent="0.25">
      <c r="A2516" t="s">
        <v>33</v>
      </c>
      <c r="D2516" t="s">
        <v>2847</v>
      </c>
      <c r="E2516" t="s">
        <v>2848</v>
      </c>
      <c r="F2516" t="s">
        <v>87</v>
      </c>
      <c r="G2516" t="s">
        <v>4024</v>
      </c>
      <c r="H2516" t="s">
        <v>153</v>
      </c>
      <c r="I2516" t="s">
        <v>180</v>
      </c>
      <c r="J2516" t="s">
        <v>154</v>
      </c>
      <c r="K2516" t="s">
        <v>155</v>
      </c>
      <c r="L2516" t="s">
        <v>4025</v>
      </c>
      <c r="N2516" t="s">
        <v>4026</v>
      </c>
      <c r="O2516" t="s">
        <v>187</v>
      </c>
      <c r="R2516" t="s">
        <v>5881</v>
      </c>
      <c r="S2516" t="s">
        <v>2882</v>
      </c>
      <c r="V2516" t="s">
        <v>2855</v>
      </c>
      <c r="W2516" t="s">
        <v>2856</v>
      </c>
      <c r="AD2516" t="s">
        <v>5882</v>
      </c>
    </row>
    <row r="2517" spans="1:30" x14ac:dyDescent="0.25">
      <c r="A2517" t="s">
        <v>33</v>
      </c>
      <c r="D2517" t="s">
        <v>2847</v>
      </c>
      <c r="E2517" t="s">
        <v>2848</v>
      </c>
      <c r="F2517" t="s">
        <v>87</v>
      </c>
      <c r="G2517" t="s">
        <v>4024</v>
      </c>
      <c r="H2517" t="s">
        <v>153</v>
      </c>
      <c r="I2517" t="s">
        <v>100</v>
      </c>
      <c r="J2517" t="s">
        <v>154</v>
      </c>
      <c r="K2517" t="s">
        <v>155</v>
      </c>
      <c r="L2517" t="s">
        <v>4025</v>
      </c>
      <c r="N2517" t="s">
        <v>4026</v>
      </c>
      <c r="O2517" t="s">
        <v>448</v>
      </c>
      <c r="R2517" t="s">
        <v>5883</v>
      </c>
      <c r="S2517" t="s">
        <v>2882</v>
      </c>
      <c r="V2517" t="s">
        <v>2855</v>
      </c>
      <c r="W2517" t="s">
        <v>2856</v>
      </c>
      <c r="AD2517" t="s">
        <v>5884</v>
      </c>
    </row>
    <row r="2518" spans="1:30" x14ac:dyDescent="0.25">
      <c r="A2518" t="s">
        <v>33</v>
      </c>
      <c r="D2518" t="s">
        <v>2847</v>
      </c>
      <c r="E2518" t="s">
        <v>2848</v>
      </c>
      <c r="F2518" t="s">
        <v>87</v>
      </c>
      <c r="G2518" t="s">
        <v>4024</v>
      </c>
      <c r="H2518" t="s">
        <v>143</v>
      </c>
      <c r="I2518" t="s">
        <v>100</v>
      </c>
      <c r="J2518" t="s">
        <v>145</v>
      </c>
      <c r="K2518" t="s">
        <v>262</v>
      </c>
      <c r="L2518" t="s">
        <v>4025</v>
      </c>
      <c r="M2518" t="s">
        <v>493</v>
      </c>
      <c r="N2518" t="s">
        <v>4026</v>
      </c>
      <c r="O2518" t="s">
        <v>442</v>
      </c>
      <c r="R2518" t="s">
        <v>5885</v>
      </c>
      <c r="S2518" t="s">
        <v>2882</v>
      </c>
      <c r="V2518" t="s">
        <v>2855</v>
      </c>
      <c r="W2518" t="s">
        <v>2856</v>
      </c>
      <c r="AD2518" t="s">
        <v>5886</v>
      </c>
    </row>
    <row r="2519" spans="1:30" x14ac:dyDescent="0.25">
      <c r="A2519" t="s">
        <v>33</v>
      </c>
      <c r="D2519" t="s">
        <v>2847</v>
      </c>
      <c r="E2519" t="s">
        <v>2848</v>
      </c>
      <c r="F2519" t="s">
        <v>87</v>
      </c>
      <c r="G2519" t="s">
        <v>4024</v>
      </c>
      <c r="H2519" t="s">
        <v>89</v>
      </c>
      <c r="I2519" t="s">
        <v>100</v>
      </c>
      <c r="J2519" t="s">
        <v>91</v>
      </c>
      <c r="K2519" t="s">
        <v>92</v>
      </c>
      <c r="L2519" t="s">
        <v>4025</v>
      </c>
      <c r="M2519" t="s">
        <v>94</v>
      </c>
      <c r="N2519" t="s">
        <v>4026</v>
      </c>
      <c r="O2519" t="s">
        <v>445</v>
      </c>
      <c r="P2519">
        <v>1E-3</v>
      </c>
      <c r="R2519" t="s">
        <v>5887</v>
      </c>
      <c r="S2519" t="s">
        <v>2882</v>
      </c>
      <c r="V2519" t="s">
        <v>2855</v>
      </c>
      <c r="W2519" t="s">
        <v>2856</v>
      </c>
      <c r="AD2519" t="s">
        <v>5888</v>
      </c>
    </row>
    <row r="2520" spans="1:30" x14ac:dyDescent="0.25">
      <c r="A2520" t="s">
        <v>33</v>
      </c>
      <c r="D2520" t="s">
        <v>2847</v>
      </c>
      <c r="E2520" t="s">
        <v>2848</v>
      </c>
      <c r="F2520" t="s">
        <v>87</v>
      </c>
      <c r="G2520" t="s">
        <v>4024</v>
      </c>
      <c r="H2520" t="s">
        <v>143</v>
      </c>
      <c r="I2520" t="s">
        <v>180</v>
      </c>
      <c r="J2520" t="s">
        <v>145</v>
      </c>
      <c r="K2520" t="s">
        <v>262</v>
      </c>
      <c r="L2520" t="s">
        <v>4025</v>
      </c>
      <c r="M2520" t="s">
        <v>493</v>
      </c>
      <c r="N2520" t="s">
        <v>4026</v>
      </c>
      <c r="O2520" t="s">
        <v>181</v>
      </c>
      <c r="R2520" t="s">
        <v>5889</v>
      </c>
      <c r="S2520" t="s">
        <v>2882</v>
      </c>
      <c r="V2520" t="s">
        <v>2855</v>
      </c>
      <c r="W2520" t="s">
        <v>2856</v>
      </c>
      <c r="AD2520" t="s">
        <v>5890</v>
      </c>
    </row>
    <row r="2521" spans="1:30" x14ac:dyDescent="0.25">
      <c r="A2521" t="s">
        <v>33</v>
      </c>
      <c r="D2521" t="s">
        <v>2847</v>
      </c>
      <c r="E2521" t="s">
        <v>2848</v>
      </c>
      <c r="F2521" t="s">
        <v>87</v>
      </c>
      <c r="G2521" t="s">
        <v>4024</v>
      </c>
      <c r="H2521" t="s">
        <v>89</v>
      </c>
      <c r="I2521" t="s">
        <v>180</v>
      </c>
      <c r="J2521" t="s">
        <v>91</v>
      </c>
      <c r="K2521" t="s">
        <v>92</v>
      </c>
      <c r="L2521" t="s">
        <v>4025</v>
      </c>
      <c r="M2521" t="s">
        <v>94</v>
      </c>
      <c r="N2521" t="s">
        <v>4026</v>
      </c>
      <c r="O2521" t="s">
        <v>184</v>
      </c>
      <c r="P2521">
        <v>1E-3</v>
      </c>
      <c r="R2521" t="s">
        <v>5891</v>
      </c>
      <c r="S2521" t="s">
        <v>2882</v>
      </c>
      <c r="V2521" t="s">
        <v>2855</v>
      </c>
      <c r="W2521" t="s">
        <v>2856</v>
      </c>
      <c r="AD2521" t="s">
        <v>5892</v>
      </c>
    </row>
    <row r="2522" spans="1:30" x14ac:dyDescent="0.25">
      <c r="A2522" t="s">
        <v>33</v>
      </c>
      <c r="D2522" t="s">
        <v>2847</v>
      </c>
      <c r="E2522" t="s">
        <v>2848</v>
      </c>
      <c r="F2522" t="s">
        <v>87</v>
      </c>
      <c r="G2522" t="s">
        <v>4024</v>
      </c>
      <c r="H2522" t="s">
        <v>38</v>
      </c>
      <c r="I2522" t="s">
        <v>106</v>
      </c>
      <c r="J2522" t="s">
        <v>40</v>
      </c>
      <c r="K2522" t="s">
        <v>41</v>
      </c>
      <c r="L2522" t="s">
        <v>4025</v>
      </c>
      <c r="M2522" t="s">
        <v>493</v>
      </c>
      <c r="N2522" t="s">
        <v>4026</v>
      </c>
      <c r="O2522" t="s">
        <v>109</v>
      </c>
      <c r="R2522" t="s">
        <v>5893</v>
      </c>
      <c r="S2522" t="s">
        <v>2882</v>
      </c>
      <c r="V2522" t="s">
        <v>2855</v>
      </c>
      <c r="W2522" t="s">
        <v>2856</v>
      </c>
      <c r="AD2522" t="s">
        <v>5894</v>
      </c>
    </row>
    <row r="2523" spans="1:30" x14ac:dyDescent="0.25">
      <c r="A2523" t="s">
        <v>33</v>
      </c>
      <c r="D2523" t="s">
        <v>2847</v>
      </c>
      <c r="E2523" t="s">
        <v>2848</v>
      </c>
      <c r="F2523" t="s">
        <v>87</v>
      </c>
      <c r="G2523" t="s">
        <v>4049</v>
      </c>
      <c r="H2523" t="s">
        <v>143</v>
      </c>
      <c r="I2523" t="s">
        <v>90</v>
      </c>
      <c r="J2523" t="s">
        <v>145</v>
      </c>
      <c r="K2523" t="s">
        <v>262</v>
      </c>
      <c r="L2523" t="s">
        <v>4050</v>
      </c>
      <c r="M2523" t="s">
        <v>493</v>
      </c>
      <c r="N2523" t="s">
        <v>4051</v>
      </c>
      <c r="O2523" t="s">
        <v>380</v>
      </c>
      <c r="R2523" t="s">
        <v>5895</v>
      </c>
      <c r="S2523" t="s">
        <v>2882</v>
      </c>
      <c r="V2523" t="s">
        <v>2855</v>
      </c>
      <c r="W2523" t="s">
        <v>2856</v>
      </c>
      <c r="AD2523" t="s">
        <v>5896</v>
      </c>
    </row>
    <row r="2524" spans="1:30" x14ac:dyDescent="0.25">
      <c r="A2524" t="s">
        <v>33</v>
      </c>
      <c r="D2524" t="s">
        <v>2847</v>
      </c>
      <c r="E2524" t="s">
        <v>2848</v>
      </c>
      <c r="F2524" t="s">
        <v>87</v>
      </c>
      <c r="G2524" t="s">
        <v>4049</v>
      </c>
      <c r="H2524" t="s">
        <v>153</v>
      </c>
      <c r="I2524" t="s">
        <v>144</v>
      </c>
      <c r="J2524" t="s">
        <v>154</v>
      </c>
      <c r="K2524" t="s">
        <v>155</v>
      </c>
      <c r="L2524" t="s">
        <v>4050</v>
      </c>
      <c r="N2524" t="s">
        <v>4051</v>
      </c>
      <c r="O2524" t="s">
        <v>156</v>
      </c>
      <c r="R2524" t="s">
        <v>5897</v>
      </c>
      <c r="S2524" t="s">
        <v>2882</v>
      </c>
      <c r="V2524" t="s">
        <v>2855</v>
      </c>
      <c r="W2524" t="s">
        <v>2856</v>
      </c>
      <c r="AD2524" t="s">
        <v>5898</v>
      </c>
    </row>
    <row r="2525" spans="1:30" x14ac:dyDescent="0.25">
      <c r="A2525" t="s">
        <v>33</v>
      </c>
      <c r="D2525" t="s">
        <v>2847</v>
      </c>
      <c r="E2525" t="s">
        <v>2848</v>
      </c>
      <c r="F2525" t="s">
        <v>87</v>
      </c>
      <c r="G2525" t="s">
        <v>4049</v>
      </c>
      <c r="H2525" t="s">
        <v>153</v>
      </c>
      <c r="I2525" t="s">
        <v>90</v>
      </c>
      <c r="J2525" t="s">
        <v>154</v>
      </c>
      <c r="K2525" t="s">
        <v>155</v>
      </c>
      <c r="L2525" t="s">
        <v>4050</v>
      </c>
      <c r="N2525" t="s">
        <v>4051</v>
      </c>
      <c r="O2525" t="s">
        <v>386</v>
      </c>
      <c r="R2525" t="s">
        <v>5899</v>
      </c>
      <c r="S2525" t="s">
        <v>2882</v>
      </c>
      <c r="V2525" t="s">
        <v>2855</v>
      </c>
      <c r="W2525" t="s">
        <v>2856</v>
      </c>
      <c r="AD2525" t="s">
        <v>5900</v>
      </c>
    </row>
    <row r="2526" spans="1:30" x14ac:dyDescent="0.25">
      <c r="A2526" t="s">
        <v>33</v>
      </c>
      <c r="D2526" t="s">
        <v>2847</v>
      </c>
      <c r="E2526" t="s">
        <v>2848</v>
      </c>
      <c r="F2526" t="s">
        <v>87</v>
      </c>
      <c r="G2526" t="s">
        <v>4049</v>
      </c>
      <c r="H2526" t="s">
        <v>89</v>
      </c>
      <c r="I2526" t="s">
        <v>90</v>
      </c>
      <c r="J2526" t="s">
        <v>91</v>
      </c>
      <c r="K2526" t="s">
        <v>92</v>
      </c>
      <c r="L2526" t="s">
        <v>4050</v>
      </c>
      <c r="M2526" t="s">
        <v>94</v>
      </c>
      <c r="N2526" t="s">
        <v>4051</v>
      </c>
      <c r="O2526" t="s">
        <v>383</v>
      </c>
      <c r="P2526">
        <v>1E-3</v>
      </c>
      <c r="R2526" t="s">
        <v>5901</v>
      </c>
      <c r="S2526" t="s">
        <v>2882</v>
      </c>
      <c r="V2526" t="s">
        <v>2855</v>
      </c>
      <c r="W2526" t="s">
        <v>2856</v>
      </c>
      <c r="AD2526" t="s">
        <v>5902</v>
      </c>
    </row>
    <row r="2527" spans="1:30" x14ac:dyDescent="0.25">
      <c r="A2527" t="s">
        <v>33</v>
      </c>
      <c r="D2527" t="s">
        <v>2847</v>
      </c>
      <c r="E2527" t="s">
        <v>2848</v>
      </c>
      <c r="F2527" t="s">
        <v>87</v>
      </c>
      <c r="G2527" t="s">
        <v>4049</v>
      </c>
      <c r="H2527" t="s">
        <v>143</v>
      </c>
      <c r="I2527" t="s">
        <v>144</v>
      </c>
      <c r="J2527" t="s">
        <v>145</v>
      </c>
      <c r="K2527" t="s">
        <v>262</v>
      </c>
      <c r="L2527" t="s">
        <v>4050</v>
      </c>
      <c r="M2527" t="s">
        <v>493</v>
      </c>
      <c r="N2527" t="s">
        <v>4051</v>
      </c>
      <c r="O2527" t="s">
        <v>147</v>
      </c>
      <c r="R2527" t="s">
        <v>5903</v>
      </c>
      <c r="S2527" t="s">
        <v>2882</v>
      </c>
      <c r="V2527" t="s">
        <v>2855</v>
      </c>
      <c r="W2527" t="s">
        <v>2856</v>
      </c>
      <c r="AD2527" t="s">
        <v>5904</v>
      </c>
    </row>
    <row r="2528" spans="1:30" x14ac:dyDescent="0.25">
      <c r="A2528" t="s">
        <v>33</v>
      </c>
      <c r="D2528" t="s">
        <v>2847</v>
      </c>
      <c r="E2528" t="s">
        <v>2848</v>
      </c>
      <c r="F2528" t="s">
        <v>87</v>
      </c>
      <c r="G2528" t="s">
        <v>4049</v>
      </c>
      <c r="H2528" t="s">
        <v>89</v>
      </c>
      <c r="I2528" t="s">
        <v>144</v>
      </c>
      <c r="J2528" t="s">
        <v>91</v>
      </c>
      <c r="K2528" t="s">
        <v>92</v>
      </c>
      <c r="L2528" t="s">
        <v>4050</v>
      </c>
      <c r="M2528" t="s">
        <v>94</v>
      </c>
      <c r="N2528" t="s">
        <v>4051</v>
      </c>
      <c r="O2528" t="s">
        <v>150</v>
      </c>
      <c r="P2528">
        <v>1E-3</v>
      </c>
      <c r="R2528" t="s">
        <v>5905</v>
      </c>
      <c r="S2528" t="s">
        <v>2882</v>
      </c>
      <c r="V2528" t="s">
        <v>2855</v>
      </c>
      <c r="W2528" t="s">
        <v>2856</v>
      </c>
      <c r="AD2528" t="s">
        <v>5906</v>
      </c>
    </row>
    <row r="2529" spans="1:30" x14ac:dyDescent="0.25">
      <c r="A2529" t="s">
        <v>33</v>
      </c>
      <c r="D2529" t="s">
        <v>2847</v>
      </c>
      <c r="E2529" t="s">
        <v>2848</v>
      </c>
      <c r="F2529" t="s">
        <v>87</v>
      </c>
      <c r="G2529" t="s">
        <v>4049</v>
      </c>
      <c r="H2529" t="s">
        <v>153</v>
      </c>
      <c r="I2529" t="s">
        <v>180</v>
      </c>
      <c r="J2529" t="s">
        <v>154</v>
      </c>
      <c r="K2529" t="s">
        <v>155</v>
      </c>
      <c r="L2529" t="s">
        <v>4050</v>
      </c>
      <c r="N2529" t="s">
        <v>4051</v>
      </c>
      <c r="O2529" t="s">
        <v>187</v>
      </c>
      <c r="R2529" t="s">
        <v>5907</v>
      </c>
      <c r="S2529" t="s">
        <v>2882</v>
      </c>
      <c r="V2529" t="s">
        <v>2855</v>
      </c>
      <c r="W2529" t="s">
        <v>2856</v>
      </c>
      <c r="AD2529" t="s">
        <v>5908</v>
      </c>
    </row>
    <row r="2530" spans="1:30" x14ac:dyDescent="0.25">
      <c r="A2530" t="s">
        <v>33</v>
      </c>
      <c r="D2530" t="s">
        <v>2847</v>
      </c>
      <c r="E2530" t="s">
        <v>2848</v>
      </c>
      <c r="F2530" t="s">
        <v>87</v>
      </c>
      <c r="G2530" t="s">
        <v>4049</v>
      </c>
      <c r="H2530" t="s">
        <v>153</v>
      </c>
      <c r="I2530" t="s">
        <v>100</v>
      </c>
      <c r="J2530" t="s">
        <v>154</v>
      </c>
      <c r="K2530" t="s">
        <v>155</v>
      </c>
      <c r="L2530" t="s">
        <v>4050</v>
      </c>
      <c r="N2530" t="s">
        <v>4051</v>
      </c>
      <c r="O2530" t="s">
        <v>448</v>
      </c>
      <c r="R2530" t="s">
        <v>5909</v>
      </c>
      <c r="S2530" t="s">
        <v>2882</v>
      </c>
      <c r="V2530" t="s">
        <v>2855</v>
      </c>
      <c r="W2530" t="s">
        <v>2856</v>
      </c>
      <c r="AD2530" t="s">
        <v>5910</v>
      </c>
    </row>
    <row r="2531" spans="1:30" x14ac:dyDescent="0.25">
      <c r="A2531" t="s">
        <v>33</v>
      </c>
      <c r="D2531" t="s">
        <v>2847</v>
      </c>
      <c r="E2531" t="s">
        <v>2848</v>
      </c>
      <c r="F2531" t="s">
        <v>87</v>
      </c>
      <c r="G2531" t="s">
        <v>4049</v>
      </c>
      <c r="H2531" t="s">
        <v>143</v>
      </c>
      <c r="I2531" t="s">
        <v>100</v>
      </c>
      <c r="J2531" t="s">
        <v>145</v>
      </c>
      <c r="K2531" t="s">
        <v>262</v>
      </c>
      <c r="L2531" t="s">
        <v>4050</v>
      </c>
      <c r="M2531" t="s">
        <v>493</v>
      </c>
      <c r="N2531" t="s">
        <v>4051</v>
      </c>
      <c r="O2531" t="s">
        <v>442</v>
      </c>
      <c r="R2531" t="s">
        <v>5911</v>
      </c>
      <c r="S2531" t="s">
        <v>2882</v>
      </c>
      <c r="V2531" t="s">
        <v>2855</v>
      </c>
      <c r="W2531" t="s">
        <v>2856</v>
      </c>
      <c r="AD2531" t="s">
        <v>5912</v>
      </c>
    </row>
    <row r="2532" spans="1:30" x14ac:dyDescent="0.25">
      <c r="A2532" t="s">
        <v>33</v>
      </c>
      <c r="D2532" t="s">
        <v>2847</v>
      </c>
      <c r="E2532" t="s">
        <v>2848</v>
      </c>
      <c r="F2532" t="s">
        <v>87</v>
      </c>
      <c r="G2532" t="s">
        <v>4049</v>
      </c>
      <c r="H2532" t="s">
        <v>89</v>
      </c>
      <c r="I2532" t="s">
        <v>100</v>
      </c>
      <c r="J2532" t="s">
        <v>91</v>
      </c>
      <c r="K2532" t="s">
        <v>92</v>
      </c>
      <c r="L2532" t="s">
        <v>4050</v>
      </c>
      <c r="M2532" t="s">
        <v>94</v>
      </c>
      <c r="N2532" t="s">
        <v>4051</v>
      </c>
      <c r="O2532" t="s">
        <v>445</v>
      </c>
      <c r="P2532">
        <v>1E-3</v>
      </c>
      <c r="R2532" t="s">
        <v>5913</v>
      </c>
      <c r="S2532" t="s">
        <v>2882</v>
      </c>
      <c r="V2532" t="s">
        <v>2855</v>
      </c>
      <c r="W2532" t="s">
        <v>2856</v>
      </c>
      <c r="AD2532" t="s">
        <v>5914</v>
      </c>
    </row>
    <row r="2533" spans="1:30" x14ac:dyDescent="0.25">
      <c r="A2533" t="s">
        <v>33</v>
      </c>
      <c r="D2533" t="s">
        <v>2847</v>
      </c>
      <c r="E2533" t="s">
        <v>2848</v>
      </c>
      <c r="F2533" t="s">
        <v>87</v>
      </c>
      <c r="G2533" t="s">
        <v>4049</v>
      </c>
      <c r="H2533" t="s">
        <v>143</v>
      </c>
      <c r="I2533" t="s">
        <v>180</v>
      </c>
      <c r="J2533" t="s">
        <v>145</v>
      </c>
      <c r="K2533" t="s">
        <v>262</v>
      </c>
      <c r="L2533" t="s">
        <v>4050</v>
      </c>
      <c r="M2533" t="s">
        <v>493</v>
      </c>
      <c r="N2533" t="s">
        <v>4051</v>
      </c>
      <c r="O2533" t="s">
        <v>181</v>
      </c>
      <c r="R2533" t="s">
        <v>5915</v>
      </c>
      <c r="S2533" t="s">
        <v>2882</v>
      </c>
      <c r="V2533" t="s">
        <v>2855</v>
      </c>
      <c r="W2533" t="s">
        <v>2856</v>
      </c>
      <c r="AD2533" t="s">
        <v>5916</v>
      </c>
    </row>
    <row r="2534" spans="1:30" x14ac:dyDescent="0.25">
      <c r="A2534" t="s">
        <v>33</v>
      </c>
      <c r="D2534" t="s">
        <v>2847</v>
      </c>
      <c r="E2534" t="s">
        <v>2848</v>
      </c>
      <c r="F2534" t="s">
        <v>87</v>
      </c>
      <c r="G2534" t="s">
        <v>4049</v>
      </c>
      <c r="H2534" t="s">
        <v>89</v>
      </c>
      <c r="I2534" t="s">
        <v>180</v>
      </c>
      <c r="J2534" t="s">
        <v>91</v>
      </c>
      <c r="K2534" t="s">
        <v>92</v>
      </c>
      <c r="L2534" t="s">
        <v>4050</v>
      </c>
      <c r="M2534" t="s">
        <v>94</v>
      </c>
      <c r="N2534" t="s">
        <v>4051</v>
      </c>
      <c r="O2534" t="s">
        <v>184</v>
      </c>
      <c r="P2534">
        <v>1E-3</v>
      </c>
      <c r="R2534" t="s">
        <v>5917</v>
      </c>
      <c r="S2534" t="s">
        <v>2882</v>
      </c>
      <c r="V2534" t="s">
        <v>2855</v>
      </c>
      <c r="W2534" t="s">
        <v>2856</v>
      </c>
      <c r="AD2534" t="s">
        <v>5918</v>
      </c>
    </row>
    <row r="2535" spans="1:30" x14ac:dyDescent="0.25">
      <c r="A2535" t="s">
        <v>33</v>
      </c>
      <c r="D2535" t="s">
        <v>2847</v>
      </c>
      <c r="E2535" t="s">
        <v>2848</v>
      </c>
      <c r="F2535" t="s">
        <v>87</v>
      </c>
      <c r="G2535" t="s">
        <v>4049</v>
      </c>
      <c r="H2535" t="s">
        <v>38</v>
      </c>
      <c r="I2535" t="s">
        <v>106</v>
      </c>
      <c r="J2535" t="s">
        <v>40</v>
      </c>
      <c r="K2535" t="s">
        <v>41</v>
      </c>
      <c r="L2535" t="s">
        <v>4050</v>
      </c>
      <c r="M2535" t="s">
        <v>493</v>
      </c>
      <c r="N2535" t="s">
        <v>4051</v>
      </c>
      <c r="O2535" t="s">
        <v>109</v>
      </c>
      <c r="R2535" t="s">
        <v>5919</v>
      </c>
      <c r="S2535" t="s">
        <v>2882</v>
      </c>
      <c r="V2535" t="s">
        <v>2855</v>
      </c>
      <c r="W2535" t="s">
        <v>2856</v>
      </c>
      <c r="AD2535" t="s">
        <v>5920</v>
      </c>
    </row>
    <row r="2536" spans="1:30" x14ac:dyDescent="0.25">
      <c r="A2536" t="s">
        <v>33</v>
      </c>
      <c r="D2536" t="s">
        <v>2847</v>
      </c>
      <c r="E2536" t="s">
        <v>2848</v>
      </c>
      <c r="F2536" t="s">
        <v>87</v>
      </c>
      <c r="G2536" t="s">
        <v>4060</v>
      </c>
      <c r="H2536" t="s">
        <v>143</v>
      </c>
      <c r="I2536" t="s">
        <v>90</v>
      </c>
      <c r="J2536" t="s">
        <v>145</v>
      </c>
      <c r="K2536" t="s">
        <v>262</v>
      </c>
      <c r="L2536" t="s">
        <v>4061</v>
      </c>
      <c r="M2536" t="s">
        <v>493</v>
      </c>
      <c r="N2536" t="s">
        <v>4062</v>
      </c>
      <c r="O2536" t="s">
        <v>380</v>
      </c>
      <c r="R2536" t="s">
        <v>5921</v>
      </c>
      <c r="S2536" t="s">
        <v>2882</v>
      </c>
      <c r="V2536" t="s">
        <v>2855</v>
      </c>
      <c r="W2536" t="s">
        <v>2856</v>
      </c>
      <c r="AD2536" t="s">
        <v>5922</v>
      </c>
    </row>
    <row r="2537" spans="1:30" x14ac:dyDescent="0.25">
      <c r="A2537" t="s">
        <v>33</v>
      </c>
      <c r="D2537" t="s">
        <v>2847</v>
      </c>
      <c r="E2537" t="s">
        <v>2848</v>
      </c>
      <c r="F2537" t="s">
        <v>87</v>
      </c>
      <c r="G2537" t="s">
        <v>4060</v>
      </c>
      <c r="H2537" t="s">
        <v>153</v>
      </c>
      <c r="I2537" t="s">
        <v>144</v>
      </c>
      <c r="J2537" t="s">
        <v>154</v>
      </c>
      <c r="K2537" t="s">
        <v>155</v>
      </c>
      <c r="L2537" t="s">
        <v>4061</v>
      </c>
      <c r="N2537" t="s">
        <v>4062</v>
      </c>
      <c r="O2537" t="s">
        <v>156</v>
      </c>
      <c r="R2537" t="s">
        <v>5923</v>
      </c>
      <c r="S2537" t="s">
        <v>2882</v>
      </c>
      <c r="V2537" t="s">
        <v>2855</v>
      </c>
      <c r="W2537" t="s">
        <v>2856</v>
      </c>
      <c r="AD2537" t="s">
        <v>5924</v>
      </c>
    </row>
    <row r="2538" spans="1:30" x14ac:dyDescent="0.25">
      <c r="A2538" t="s">
        <v>33</v>
      </c>
      <c r="D2538" t="s">
        <v>2847</v>
      </c>
      <c r="E2538" t="s">
        <v>2848</v>
      </c>
      <c r="F2538" t="s">
        <v>87</v>
      </c>
      <c r="G2538" t="s">
        <v>4060</v>
      </c>
      <c r="H2538" t="s">
        <v>153</v>
      </c>
      <c r="I2538" t="s">
        <v>90</v>
      </c>
      <c r="J2538" t="s">
        <v>154</v>
      </c>
      <c r="K2538" t="s">
        <v>155</v>
      </c>
      <c r="L2538" t="s">
        <v>4061</v>
      </c>
      <c r="N2538" t="s">
        <v>4062</v>
      </c>
      <c r="O2538" t="s">
        <v>386</v>
      </c>
      <c r="R2538" t="s">
        <v>5925</v>
      </c>
      <c r="S2538" t="s">
        <v>2882</v>
      </c>
      <c r="V2538" t="s">
        <v>2855</v>
      </c>
      <c r="W2538" t="s">
        <v>2856</v>
      </c>
      <c r="AD2538" t="s">
        <v>5926</v>
      </c>
    </row>
    <row r="2539" spans="1:30" x14ac:dyDescent="0.25">
      <c r="A2539" t="s">
        <v>33</v>
      </c>
      <c r="D2539" t="s">
        <v>2847</v>
      </c>
      <c r="E2539" t="s">
        <v>2848</v>
      </c>
      <c r="F2539" t="s">
        <v>87</v>
      </c>
      <c r="G2539" t="s">
        <v>4060</v>
      </c>
      <c r="H2539" t="s">
        <v>89</v>
      </c>
      <c r="I2539" t="s">
        <v>90</v>
      </c>
      <c r="J2539" t="s">
        <v>91</v>
      </c>
      <c r="K2539" t="s">
        <v>92</v>
      </c>
      <c r="L2539" t="s">
        <v>4061</v>
      </c>
      <c r="M2539" t="s">
        <v>94</v>
      </c>
      <c r="N2539" t="s">
        <v>4062</v>
      </c>
      <c r="O2539" t="s">
        <v>383</v>
      </c>
      <c r="P2539">
        <v>1E-3</v>
      </c>
      <c r="R2539" t="s">
        <v>5927</v>
      </c>
      <c r="S2539" t="s">
        <v>2882</v>
      </c>
      <c r="V2539" t="s">
        <v>2855</v>
      </c>
      <c r="W2539" t="s">
        <v>2856</v>
      </c>
      <c r="AD2539" t="s">
        <v>5928</v>
      </c>
    </row>
    <row r="2540" spans="1:30" x14ac:dyDescent="0.25">
      <c r="A2540" t="s">
        <v>33</v>
      </c>
      <c r="D2540" t="s">
        <v>2847</v>
      </c>
      <c r="E2540" t="s">
        <v>2848</v>
      </c>
      <c r="F2540" t="s">
        <v>87</v>
      </c>
      <c r="G2540" t="s">
        <v>4060</v>
      </c>
      <c r="H2540" t="s">
        <v>143</v>
      </c>
      <c r="I2540" t="s">
        <v>144</v>
      </c>
      <c r="J2540" t="s">
        <v>145</v>
      </c>
      <c r="K2540" t="s">
        <v>262</v>
      </c>
      <c r="L2540" t="s">
        <v>4061</v>
      </c>
      <c r="M2540" t="s">
        <v>493</v>
      </c>
      <c r="N2540" t="s">
        <v>4062</v>
      </c>
      <c r="O2540" t="s">
        <v>147</v>
      </c>
      <c r="R2540" t="s">
        <v>5929</v>
      </c>
      <c r="S2540" t="s">
        <v>2882</v>
      </c>
      <c r="V2540" t="s">
        <v>2855</v>
      </c>
      <c r="W2540" t="s">
        <v>2856</v>
      </c>
      <c r="AD2540" t="s">
        <v>5930</v>
      </c>
    </row>
    <row r="2541" spans="1:30" x14ac:dyDescent="0.25">
      <c r="A2541" t="s">
        <v>33</v>
      </c>
      <c r="D2541" t="s">
        <v>2847</v>
      </c>
      <c r="E2541" t="s">
        <v>2848</v>
      </c>
      <c r="F2541" t="s">
        <v>87</v>
      </c>
      <c r="G2541" t="s">
        <v>4060</v>
      </c>
      <c r="H2541" t="s">
        <v>89</v>
      </c>
      <c r="I2541" t="s">
        <v>144</v>
      </c>
      <c r="J2541" t="s">
        <v>91</v>
      </c>
      <c r="K2541" t="s">
        <v>92</v>
      </c>
      <c r="L2541" t="s">
        <v>4061</v>
      </c>
      <c r="M2541" t="s">
        <v>94</v>
      </c>
      <c r="N2541" t="s">
        <v>4062</v>
      </c>
      <c r="O2541" t="s">
        <v>150</v>
      </c>
      <c r="P2541">
        <v>1E-3</v>
      </c>
      <c r="R2541" t="s">
        <v>5931</v>
      </c>
      <c r="S2541" t="s">
        <v>2882</v>
      </c>
      <c r="V2541" t="s">
        <v>2855</v>
      </c>
      <c r="W2541" t="s">
        <v>2856</v>
      </c>
      <c r="AD2541" t="s">
        <v>5932</v>
      </c>
    </row>
    <row r="2542" spans="1:30" x14ac:dyDescent="0.25">
      <c r="A2542" t="s">
        <v>33</v>
      </c>
      <c r="D2542" t="s">
        <v>2847</v>
      </c>
      <c r="E2542" t="s">
        <v>2848</v>
      </c>
      <c r="F2542" t="s">
        <v>87</v>
      </c>
      <c r="G2542" t="s">
        <v>4060</v>
      </c>
      <c r="H2542" t="s">
        <v>153</v>
      </c>
      <c r="I2542" t="s">
        <v>180</v>
      </c>
      <c r="J2542" t="s">
        <v>154</v>
      </c>
      <c r="K2542" t="s">
        <v>155</v>
      </c>
      <c r="L2542" t="s">
        <v>4061</v>
      </c>
      <c r="N2542" t="s">
        <v>4062</v>
      </c>
      <c r="O2542" t="s">
        <v>187</v>
      </c>
      <c r="R2542" t="s">
        <v>5933</v>
      </c>
      <c r="S2542" t="s">
        <v>2882</v>
      </c>
      <c r="V2542" t="s">
        <v>2855</v>
      </c>
      <c r="W2542" t="s">
        <v>2856</v>
      </c>
      <c r="AD2542" t="s">
        <v>5934</v>
      </c>
    </row>
    <row r="2543" spans="1:30" x14ac:dyDescent="0.25">
      <c r="A2543" t="s">
        <v>33</v>
      </c>
      <c r="D2543" t="s">
        <v>2847</v>
      </c>
      <c r="E2543" t="s">
        <v>2848</v>
      </c>
      <c r="F2543" t="s">
        <v>87</v>
      </c>
      <c r="G2543" t="s">
        <v>4060</v>
      </c>
      <c r="H2543" t="s">
        <v>153</v>
      </c>
      <c r="I2543" t="s">
        <v>100</v>
      </c>
      <c r="J2543" t="s">
        <v>154</v>
      </c>
      <c r="K2543" t="s">
        <v>155</v>
      </c>
      <c r="L2543" t="s">
        <v>4061</v>
      </c>
      <c r="N2543" t="s">
        <v>4062</v>
      </c>
      <c r="O2543" t="s">
        <v>448</v>
      </c>
      <c r="R2543" t="s">
        <v>5935</v>
      </c>
      <c r="S2543" t="s">
        <v>2882</v>
      </c>
      <c r="V2543" t="s">
        <v>2855</v>
      </c>
      <c r="W2543" t="s">
        <v>2856</v>
      </c>
      <c r="AD2543" t="s">
        <v>5936</v>
      </c>
    </row>
    <row r="2544" spans="1:30" x14ac:dyDescent="0.25">
      <c r="A2544" t="s">
        <v>33</v>
      </c>
      <c r="D2544" t="s">
        <v>2847</v>
      </c>
      <c r="E2544" t="s">
        <v>2848</v>
      </c>
      <c r="F2544" t="s">
        <v>87</v>
      </c>
      <c r="G2544" t="s">
        <v>4060</v>
      </c>
      <c r="H2544" t="s">
        <v>143</v>
      </c>
      <c r="I2544" t="s">
        <v>100</v>
      </c>
      <c r="J2544" t="s">
        <v>145</v>
      </c>
      <c r="K2544" t="s">
        <v>262</v>
      </c>
      <c r="L2544" t="s">
        <v>4061</v>
      </c>
      <c r="M2544" t="s">
        <v>493</v>
      </c>
      <c r="N2544" t="s">
        <v>4062</v>
      </c>
      <c r="O2544" t="s">
        <v>442</v>
      </c>
      <c r="R2544" t="s">
        <v>5937</v>
      </c>
      <c r="S2544" t="s">
        <v>2882</v>
      </c>
      <c r="V2544" t="s">
        <v>2855</v>
      </c>
      <c r="W2544" t="s">
        <v>2856</v>
      </c>
      <c r="AD2544" t="s">
        <v>5938</v>
      </c>
    </row>
    <row r="2545" spans="1:32" x14ac:dyDescent="0.25">
      <c r="A2545" t="s">
        <v>33</v>
      </c>
      <c r="D2545" t="s">
        <v>2847</v>
      </c>
      <c r="E2545" t="s">
        <v>2848</v>
      </c>
      <c r="F2545" t="s">
        <v>87</v>
      </c>
      <c r="G2545" t="s">
        <v>4060</v>
      </c>
      <c r="H2545" t="s">
        <v>89</v>
      </c>
      <c r="I2545" t="s">
        <v>100</v>
      </c>
      <c r="J2545" t="s">
        <v>91</v>
      </c>
      <c r="K2545" t="s">
        <v>92</v>
      </c>
      <c r="L2545" t="s">
        <v>4061</v>
      </c>
      <c r="M2545" t="s">
        <v>94</v>
      </c>
      <c r="N2545" t="s">
        <v>4062</v>
      </c>
      <c r="O2545" t="s">
        <v>445</v>
      </c>
      <c r="P2545">
        <v>1E-3</v>
      </c>
      <c r="R2545" t="s">
        <v>5939</v>
      </c>
      <c r="S2545" t="s">
        <v>2882</v>
      </c>
      <c r="V2545" t="s">
        <v>2855</v>
      </c>
      <c r="W2545" t="s">
        <v>2856</v>
      </c>
      <c r="AD2545" t="s">
        <v>5940</v>
      </c>
    </row>
    <row r="2546" spans="1:32" x14ac:dyDescent="0.25">
      <c r="A2546" t="s">
        <v>33</v>
      </c>
      <c r="D2546" t="s">
        <v>2847</v>
      </c>
      <c r="E2546" t="s">
        <v>2848</v>
      </c>
      <c r="F2546" t="s">
        <v>87</v>
      </c>
      <c r="G2546" t="s">
        <v>4060</v>
      </c>
      <c r="H2546" t="s">
        <v>143</v>
      </c>
      <c r="I2546" t="s">
        <v>180</v>
      </c>
      <c r="J2546" t="s">
        <v>145</v>
      </c>
      <c r="K2546" t="s">
        <v>262</v>
      </c>
      <c r="L2546" t="s">
        <v>4061</v>
      </c>
      <c r="M2546" t="s">
        <v>493</v>
      </c>
      <c r="N2546" t="s">
        <v>4062</v>
      </c>
      <c r="O2546" t="s">
        <v>181</v>
      </c>
      <c r="R2546" t="s">
        <v>5941</v>
      </c>
      <c r="S2546" t="s">
        <v>2882</v>
      </c>
      <c r="V2546" t="s">
        <v>2855</v>
      </c>
      <c r="W2546" t="s">
        <v>2856</v>
      </c>
      <c r="AD2546" t="s">
        <v>5942</v>
      </c>
    </row>
    <row r="2547" spans="1:32" x14ac:dyDescent="0.25">
      <c r="A2547" t="s">
        <v>33</v>
      </c>
      <c r="D2547" t="s">
        <v>2847</v>
      </c>
      <c r="E2547" t="s">
        <v>2848</v>
      </c>
      <c r="F2547" t="s">
        <v>87</v>
      </c>
      <c r="G2547" t="s">
        <v>4060</v>
      </c>
      <c r="H2547" t="s">
        <v>89</v>
      </c>
      <c r="I2547" t="s">
        <v>180</v>
      </c>
      <c r="J2547" t="s">
        <v>91</v>
      </c>
      <c r="K2547" t="s">
        <v>92</v>
      </c>
      <c r="L2547" t="s">
        <v>4061</v>
      </c>
      <c r="M2547" t="s">
        <v>94</v>
      </c>
      <c r="N2547" t="s">
        <v>4062</v>
      </c>
      <c r="O2547" t="s">
        <v>184</v>
      </c>
      <c r="P2547">
        <v>1E-3</v>
      </c>
      <c r="R2547" t="s">
        <v>5943</v>
      </c>
      <c r="S2547" t="s">
        <v>2882</v>
      </c>
      <c r="V2547" t="s">
        <v>2855</v>
      </c>
      <c r="W2547" t="s">
        <v>2856</v>
      </c>
      <c r="AD2547" t="s">
        <v>5944</v>
      </c>
    </row>
    <row r="2548" spans="1:32" x14ac:dyDescent="0.25">
      <c r="A2548" t="s">
        <v>33</v>
      </c>
      <c r="D2548" t="s">
        <v>2847</v>
      </c>
      <c r="E2548" t="s">
        <v>2848</v>
      </c>
      <c r="F2548" t="s">
        <v>87</v>
      </c>
      <c r="G2548" t="s">
        <v>4060</v>
      </c>
      <c r="H2548" t="s">
        <v>38</v>
      </c>
      <c r="I2548" t="s">
        <v>106</v>
      </c>
      <c r="J2548" t="s">
        <v>40</v>
      </c>
      <c r="K2548" t="s">
        <v>41</v>
      </c>
      <c r="L2548" t="s">
        <v>4061</v>
      </c>
      <c r="M2548" t="s">
        <v>493</v>
      </c>
      <c r="N2548" t="s">
        <v>4062</v>
      </c>
      <c r="O2548" t="s">
        <v>109</v>
      </c>
      <c r="R2548" t="s">
        <v>5945</v>
      </c>
      <c r="S2548" t="s">
        <v>2882</v>
      </c>
      <c r="V2548" t="s">
        <v>2855</v>
      </c>
      <c r="W2548" t="s">
        <v>2856</v>
      </c>
      <c r="AD2548" t="s">
        <v>5946</v>
      </c>
    </row>
    <row r="2549" spans="1:32" x14ac:dyDescent="0.25">
      <c r="A2549" t="s">
        <v>33</v>
      </c>
      <c r="D2549" t="s">
        <v>2847</v>
      </c>
      <c r="E2549" t="s">
        <v>2848</v>
      </c>
      <c r="F2549" t="s">
        <v>78</v>
      </c>
      <c r="G2549" t="s">
        <v>5804</v>
      </c>
      <c r="H2549" t="s">
        <v>143</v>
      </c>
      <c r="I2549" t="s">
        <v>272</v>
      </c>
      <c r="J2549" t="s">
        <v>145</v>
      </c>
      <c r="K2549" t="s">
        <v>146</v>
      </c>
      <c r="L2549" t="s">
        <v>5805</v>
      </c>
      <c r="N2549" t="s">
        <v>5806</v>
      </c>
      <c r="O2549" t="s">
        <v>273</v>
      </c>
      <c r="R2549" t="s">
        <v>5947</v>
      </c>
      <c r="S2549" t="s">
        <v>2854</v>
      </c>
      <c r="V2549" t="s">
        <v>2855</v>
      </c>
      <c r="W2549" t="s">
        <v>2856</v>
      </c>
      <c r="X2549" t="s">
        <v>270</v>
      </c>
      <c r="AD2549" t="s">
        <v>5948</v>
      </c>
    </row>
    <row r="2550" spans="1:32" x14ac:dyDescent="0.25">
      <c r="A2550" t="s">
        <v>33</v>
      </c>
      <c r="D2550" t="s">
        <v>2847</v>
      </c>
      <c r="E2550" t="s">
        <v>2848</v>
      </c>
      <c r="F2550" t="s">
        <v>78</v>
      </c>
      <c r="G2550" t="s">
        <v>5804</v>
      </c>
      <c r="H2550" t="s">
        <v>143</v>
      </c>
      <c r="I2550" t="s">
        <v>257</v>
      </c>
      <c r="J2550" t="s">
        <v>145</v>
      </c>
      <c r="K2550" t="s">
        <v>146</v>
      </c>
      <c r="L2550" t="s">
        <v>5805</v>
      </c>
      <c r="M2550" t="s">
        <v>82</v>
      </c>
      <c r="N2550" t="s">
        <v>5806</v>
      </c>
      <c r="O2550" t="s">
        <v>292</v>
      </c>
      <c r="R2550" t="s">
        <v>5949</v>
      </c>
      <c r="S2550" t="s">
        <v>2854</v>
      </c>
      <c r="V2550" t="s">
        <v>2855</v>
      </c>
      <c r="W2550" t="s">
        <v>2856</v>
      </c>
      <c r="AD2550" t="s">
        <v>5950</v>
      </c>
    </row>
    <row r="2551" spans="1:32" x14ac:dyDescent="0.25">
      <c r="A2551" t="s">
        <v>33</v>
      </c>
      <c r="D2551" t="s">
        <v>2847</v>
      </c>
      <c r="E2551" t="s">
        <v>2848</v>
      </c>
      <c r="F2551" t="s">
        <v>78</v>
      </c>
      <c r="G2551" t="s">
        <v>5804</v>
      </c>
      <c r="H2551" t="s">
        <v>143</v>
      </c>
      <c r="I2551" t="s">
        <v>295</v>
      </c>
      <c r="J2551" t="s">
        <v>145</v>
      </c>
      <c r="K2551" t="s">
        <v>146</v>
      </c>
      <c r="L2551" t="s">
        <v>5805</v>
      </c>
      <c r="M2551" t="s">
        <v>82</v>
      </c>
      <c r="N2551" t="s">
        <v>5806</v>
      </c>
      <c r="O2551" t="s">
        <v>296</v>
      </c>
      <c r="R2551" t="s">
        <v>5951</v>
      </c>
      <c r="S2551" t="s">
        <v>2854</v>
      </c>
      <c r="V2551" t="s">
        <v>2855</v>
      </c>
      <c r="W2551" t="s">
        <v>2856</v>
      </c>
      <c r="AD2551" t="s">
        <v>5952</v>
      </c>
    </row>
    <row r="2552" spans="1:32" x14ac:dyDescent="0.25">
      <c r="A2552" t="s">
        <v>33</v>
      </c>
      <c r="D2552" t="s">
        <v>2847</v>
      </c>
      <c r="E2552" t="s">
        <v>2848</v>
      </c>
      <c r="F2552" t="s">
        <v>78</v>
      </c>
      <c r="G2552" t="s">
        <v>5804</v>
      </c>
      <c r="H2552" t="s">
        <v>143</v>
      </c>
      <c r="I2552" t="s">
        <v>299</v>
      </c>
      <c r="J2552" t="s">
        <v>145</v>
      </c>
      <c r="K2552" t="s">
        <v>146</v>
      </c>
      <c r="L2552" t="s">
        <v>5805</v>
      </c>
      <c r="M2552" t="s">
        <v>82</v>
      </c>
      <c r="N2552" t="s">
        <v>5806</v>
      </c>
      <c r="O2552" t="s">
        <v>300</v>
      </c>
      <c r="R2552" t="s">
        <v>5953</v>
      </c>
      <c r="S2552" t="s">
        <v>2854</v>
      </c>
      <c r="V2552" t="s">
        <v>2855</v>
      </c>
      <c r="W2552" t="s">
        <v>2856</v>
      </c>
      <c r="AD2552" t="s">
        <v>5954</v>
      </c>
    </row>
    <row r="2553" spans="1:32" x14ac:dyDescent="0.25">
      <c r="A2553" t="s">
        <v>33</v>
      </c>
      <c r="D2553" t="s">
        <v>2847</v>
      </c>
      <c r="E2553" t="s">
        <v>2848</v>
      </c>
      <c r="F2553" t="s">
        <v>78</v>
      </c>
      <c r="G2553" t="s">
        <v>5804</v>
      </c>
      <c r="H2553" t="s">
        <v>38</v>
      </c>
      <c r="I2553" t="s">
        <v>250</v>
      </c>
      <c r="J2553" t="s">
        <v>40</v>
      </c>
      <c r="K2553" t="s">
        <v>41</v>
      </c>
      <c r="L2553" t="s">
        <v>5805</v>
      </c>
      <c r="M2553" t="s">
        <v>493</v>
      </c>
      <c r="N2553" t="s">
        <v>5806</v>
      </c>
      <c r="O2553" t="s">
        <v>254</v>
      </c>
      <c r="R2553" t="s">
        <v>5955</v>
      </c>
      <c r="S2553" t="s">
        <v>2854</v>
      </c>
      <c r="V2553" t="s">
        <v>2855</v>
      </c>
      <c r="W2553" t="s">
        <v>2856</v>
      </c>
      <c r="AD2553" t="s">
        <v>5956</v>
      </c>
    </row>
    <row r="2554" spans="1:32" x14ac:dyDescent="0.25">
      <c r="A2554" t="s">
        <v>33</v>
      </c>
      <c r="D2554" t="s">
        <v>2847</v>
      </c>
      <c r="E2554" t="s">
        <v>2848</v>
      </c>
      <c r="F2554" t="s">
        <v>78</v>
      </c>
      <c r="G2554" t="s">
        <v>5804</v>
      </c>
      <c r="H2554" t="s">
        <v>143</v>
      </c>
      <c r="I2554" t="s">
        <v>267</v>
      </c>
      <c r="J2554" t="s">
        <v>145</v>
      </c>
      <c r="K2554" t="s">
        <v>146</v>
      </c>
      <c r="L2554" t="s">
        <v>5805</v>
      </c>
      <c r="N2554" t="s">
        <v>5806</v>
      </c>
      <c r="O2554" t="s">
        <v>268</v>
      </c>
      <c r="R2554" t="s">
        <v>5957</v>
      </c>
      <c r="S2554" t="s">
        <v>2854</v>
      </c>
      <c r="V2554" t="s">
        <v>2855</v>
      </c>
      <c r="W2554" t="s">
        <v>2856</v>
      </c>
      <c r="X2554" t="s">
        <v>270</v>
      </c>
      <c r="AD2554" t="s">
        <v>5958</v>
      </c>
    </row>
    <row r="2555" spans="1:32" x14ac:dyDescent="0.25">
      <c r="A2555" t="s">
        <v>33</v>
      </c>
      <c r="D2555" t="s">
        <v>2847</v>
      </c>
      <c r="E2555" t="s">
        <v>2848</v>
      </c>
      <c r="F2555" t="s">
        <v>78</v>
      </c>
      <c r="G2555" t="s">
        <v>5804</v>
      </c>
      <c r="H2555" t="s">
        <v>143</v>
      </c>
      <c r="I2555" t="s">
        <v>261</v>
      </c>
      <c r="J2555" t="s">
        <v>145</v>
      </c>
      <c r="K2555" t="s">
        <v>146</v>
      </c>
      <c r="L2555" t="s">
        <v>5805</v>
      </c>
      <c r="M2555" t="s">
        <v>493</v>
      </c>
      <c r="N2555" t="s">
        <v>5806</v>
      </c>
      <c r="O2555" t="s">
        <v>263</v>
      </c>
      <c r="R2555" t="s">
        <v>5959</v>
      </c>
      <c r="S2555" t="s">
        <v>2854</v>
      </c>
      <c r="V2555" t="s">
        <v>2855</v>
      </c>
      <c r="W2555" t="s">
        <v>2856</v>
      </c>
      <c r="AD2555" t="s">
        <v>5960</v>
      </c>
    </row>
    <row r="2556" spans="1:32" x14ac:dyDescent="0.25">
      <c r="A2556" t="s">
        <v>33</v>
      </c>
      <c r="D2556" t="s">
        <v>2847</v>
      </c>
      <c r="E2556" t="s">
        <v>2848</v>
      </c>
      <c r="F2556" t="s">
        <v>87</v>
      </c>
      <c r="G2556" t="s">
        <v>5961</v>
      </c>
      <c r="H2556" t="s">
        <v>153</v>
      </c>
      <c r="I2556" t="s">
        <v>144</v>
      </c>
      <c r="J2556" t="s">
        <v>154</v>
      </c>
      <c r="K2556" t="s">
        <v>155</v>
      </c>
      <c r="L2556" t="s">
        <v>5962</v>
      </c>
      <c r="N2556" t="s">
        <v>5963</v>
      </c>
      <c r="O2556" t="s">
        <v>156</v>
      </c>
      <c r="R2556" t="s">
        <v>5964</v>
      </c>
      <c r="S2556" t="s">
        <v>2854</v>
      </c>
      <c r="V2556" t="s">
        <v>2855</v>
      </c>
      <c r="W2556" t="s">
        <v>2856</v>
      </c>
      <c r="AD2556" t="s">
        <v>5965</v>
      </c>
    </row>
    <row r="2557" spans="1:32" x14ac:dyDescent="0.25">
      <c r="A2557" t="s">
        <v>33</v>
      </c>
      <c r="D2557" t="s">
        <v>2847</v>
      </c>
      <c r="E2557" t="s">
        <v>2848</v>
      </c>
      <c r="F2557" t="s">
        <v>87</v>
      </c>
      <c r="G2557" t="s">
        <v>5961</v>
      </c>
      <c r="H2557" t="s">
        <v>89</v>
      </c>
      <c r="I2557" t="s">
        <v>144</v>
      </c>
      <c r="J2557" t="s">
        <v>91</v>
      </c>
      <c r="K2557" t="s">
        <v>92</v>
      </c>
      <c r="L2557" t="s">
        <v>5962</v>
      </c>
      <c r="M2557" t="s">
        <v>94</v>
      </c>
      <c r="N2557" t="s">
        <v>5963</v>
      </c>
      <c r="O2557" t="s">
        <v>150</v>
      </c>
      <c r="P2557">
        <v>1E-3</v>
      </c>
      <c r="R2557" t="s">
        <v>5966</v>
      </c>
      <c r="S2557" t="s">
        <v>2854</v>
      </c>
      <c r="V2557" t="s">
        <v>2855</v>
      </c>
      <c r="W2557" t="s">
        <v>2856</v>
      </c>
      <c r="AD2557" t="s">
        <v>5967</v>
      </c>
    </row>
    <row r="2558" spans="1:32" x14ac:dyDescent="0.25">
      <c r="A2558" t="s">
        <v>33</v>
      </c>
      <c r="D2558" t="s">
        <v>2847</v>
      </c>
      <c r="E2558" t="s">
        <v>2848</v>
      </c>
      <c r="F2558" t="s">
        <v>87</v>
      </c>
      <c r="G2558" t="s">
        <v>5961</v>
      </c>
      <c r="H2558" t="s">
        <v>143</v>
      </c>
      <c r="I2558" t="s">
        <v>144</v>
      </c>
      <c r="J2558" t="s">
        <v>145</v>
      </c>
      <c r="K2558" t="s">
        <v>146</v>
      </c>
      <c r="L2558" t="s">
        <v>5962</v>
      </c>
      <c r="M2558" t="s">
        <v>5968</v>
      </c>
      <c r="N2558" t="s">
        <v>5963</v>
      </c>
      <c r="O2558" t="s">
        <v>147</v>
      </c>
      <c r="R2558" t="s">
        <v>5969</v>
      </c>
      <c r="S2558" t="s">
        <v>2854</v>
      </c>
      <c r="V2558" t="s">
        <v>2855</v>
      </c>
      <c r="W2558" t="s">
        <v>2856</v>
      </c>
      <c r="AD2558" t="s">
        <v>5970</v>
      </c>
    </row>
    <row r="2559" spans="1:32" x14ac:dyDescent="0.25">
      <c r="A2559" t="s">
        <v>33</v>
      </c>
      <c r="D2559" t="s">
        <v>2847</v>
      </c>
      <c r="E2559" t="s">
        <v>2848</v>
      </c>
      <c r="F2559" t="s">
        <v>87</v>
      </c>
      <c r="G2559" t="s">
        <v>5961</v>
      </c>
      <c r="H2559" t="s">
        <v>143</v>
      </c>
      <c r="I2559" t="s">
        <v>144</v>
      </c>
      <c r="J2559" t="s">
        <v>145</v>
      </c>
      <c r="K2559" t="s">
        <v>262</v>
      </c>
      <c r="L2559" t="s">
        <v>5962</v>
      </c>
      <c r="M2559" t="s">
        <v>5968</v>
      </c>
      <c r="N2559" t="s">
        <v>5963</v>
      </c>
      <c r="O2559" t="s">
        <v>147</v>
      </c>
      <c r="R2559" t="s">
        <v>5971</v>
      </c>
      <c r="S2559" t="s">
        <v>2854</v>
      </c>
      <c r="V2559" t="s">
        <v>2855</v>
      </c>
      <c r="W2559" t="s">
        <v>2856</v>
      </c>
      <c r="AD2559" t="s">
        <v>5970</v>
      </c>
    </row>
    <row r="2560" spans="1:32" x14ac:dyDescent="0.25">
      <c r="A2560" t="s">
        <v>33</v>
      </c>
      <c r="D2560" t="s">
        <v>2847</v>
      </c>
      <c r="E2560" t="s">
        <v>2848</v>
      </c>
      <c r="F2560" t="s">
        <v>87</v>
      </c>
      <c r="G2560" t="s">
        <v>5961</v>
      </c>
      <c r="H2560" t="s">
        <v>153</v>
      </c>
      <c r="I2560" t="s">
        <v>90</v>
      </c>
      <c r="J2560" t="s">
        <v>154</v>
      </c>
      <c r="K2560" t="s">
        <v>155</v>
      </c>
      <c r="L2560" t="s">
        <v>5962</v>
      </c>
      <c r="N2560" t="s">
        <v>5963</v>
      </c>
      <c r="O2560" t="s">
        <v>386</v>
      </c>
      <c r="R2560" t="s">
        <v>5972</v>
      </c>
      <c r="S2560" t="s">
        <v>2854</v>
      </c>
      <c r="V2560" t="s">
        <v>2855</v>
      </c>
      <c r="W2560" t="s">
        <v>2856</v>
      </c>
      <c r="AC2560" t="s">
        <v>5973</v>
      </c>
      <c r="AD2560" t="s">
        <v>5974</v>
      </c>
      <c r="AE2560" t="s">
        <v>2995</v>
      </c>
      <c r="AF2560">
        <v>6</v>
      </c>
    </row>
    <row r="2561" spans="1:32" x14ac:dyDescent="0.25">
      <c r="A2561" t="s">
        <v>33</v>
      </c>
      <c r="D2561" t="s">
        <v>2847</v>
      </c>
      <c r="E2561" t="s">
        <v>2848</v>
      </c>
      <c r="F2561" t="s">
        <v>87</v>
      </c>
      <c r="G2561" t="s">
        <v>5961</v>
      </c>
      <c r="H2561" t="s">
        <v>89</v>
      </c>
      <c r="I2561" t="s">
        <v>90</v>
      </c>
      <c r="J2561" t="s">
        <v>91</v>
      </c>
      <c r="K2561" t="s">
        <v>92</v>
      </c>
      <c r="L2561" t="s">
        <v>5962</v>
      </c>
      <c r="M2561" t="s">
        <v>94</v>
      </c>
      <c r="N2561" t="s">
        <v>5963</v>
      </c>
      <c r="O2561" t="s">
        <v>383</v>
      </c>
      <c r="P2561">
        <v>1E-3</v>
      </c>
      <c r="R2561" t="s">
        <v>5975</v>
      </c>
      <c r="S2561" t="s">
        <v>2854</v>
      </c>
      <c r="V2561" t="s">
        <v>2855</v>
      </c>
      <c r="W2561" t="s">
        <v>2856</v>
      </c>
      <c r="AD2561" t="s">
        <v>5976</v>
      </c>
    </row>
    <row r="2562" spans="1:32" x14ac:dyDescent="0.25">
      <c r="A2562" t="s">
        <v>33</v>
      </c>
      <c r="D2562" t="s">
        <v>2847</v>
      </c>
      <c r="E2562" t="s">
        <v>2848</v>
      </c>
      <c r="F2562" t="s">
        <v>87</v>
      </c>
      <c r="G2562" t="s">
        <v>5961</v>
      </c>
      <c r="H2562" t="s">
        <v>143</v>
      </c>
      <c r="I2562" t="s">
        <v>90</v>
      </c>
      <c r="J2562" t="s">
        <v>145</v>
      </c>
      <c r="K2562" t="s">
        <v>146</v>
      </c>
      <c r="L2562" t="s">
        <v>5962</v>
      </c>
      <c r="M2562" t="s">
        <v>5968</v>
      </c>
      <c r="N2562" t="s">
        <v>5963</v>
      </c>
      <c r="O2562" t="s">
        <v>380</v>
      </c>
      <c r="R2562" t="s">
        <v>5977</v>
      </c>
      <c r="S2562" t="s">
        <v>2854</v>
      </c>
      <c r="V2562" t="s">
        <v>2855</v>
      </c>
      <c r="W2562" t="s">
        <v>2856</v>
      </c>
      <c r="AD2562" t="s">
        <v>5978</v>
      </c>
    </row>
    <row r="2563" spans="1:32" x14ac:dyDescent="0.25">
      <c r="A2563" t="s">
        <v>33</v>
      </c>
      <c r="D2563" t="s">
        <v>2847</v>
      </c>
      <c r="E2563" t="s">
        <v>2848</v>
      </c>
      <c r="F2563" t="s">
        <v>87</v>
      </c>
      <c r="G2563" t="s">
        <v>5961</v>
      </c>
      <c r="H2563" t="s">
        <v>143</v>
      </c>
      <c r="I2563" t="s">
        <v>90</v>
      </c>
      <c r="J2563" t="s">
        <v>145</v>
      </c>
      <c r="K2563" t="s">
        <v>262</v>
      </c>
      <c r="L2563" t="s">
        <v>5962</v>
      </c>
      <c r="M2563" t="s">
        <v>5968</v>
      </c>
      <c r="N2563" t="s">
        <v>5963</v>
      </c>
      <c r="O2563" t="s">
        <v>380</v>
      </c>
      <c r="R2563" t="s">
        <v>5979</v>
      </c>
      <c r="S2563" t="s">
        <v>2854</v>
      </c>
      <c r="V2563" t="s">
        <v>2855</v>
      </c>
      <c r="W2563" t="s">
        <v>2856</v>
      </c>
      <c r="AD2563" t="s">
        <v>5978</v>
      </c>
    </row>
    <row r="2564" spans="1:32" x14ac:dyDescent="0.25">
      <c r="A2564" t="s">
        <v>33</v>
      </c>
      <c r="D2564" t="s">
        <v>2847</v>
      </c>
      <c r="E2564" t="s">
        <v>2848</v>
      </c>
      <c r="F2564" t="s">
        <v>87</v>
      </c>
      <c r="G2564" t="s">
        <v>5961</v>
      </c>
      <c r="H2564" t="s">
        <v>38</v>
      </c>
      <c r="I2564" t="s">
        <v>106</v>
      </c>
      <c r="J2564" t="s">
        <v>40</v>
      </c>
      <c r="K2564" t="s">
        <v>41</v>
      </c>
      <c r="L2564" t="s">
        <v>5962</v>
      </c>
      <c r="M2564" t="s">
        <v>5968</v>
      </c>
      <c r="N2564" t="s">
        <v>5963</v>
      </c>
      <c r="O2564" t="s">
        <v>109</v>
      </c>
      <c r="R2564" t="s">
        <v>5980</v>
      </c>
      <c r="S2564" t="s">
        <v>2854</v>
      </c>
      <c r="V2564" t="s">
        <v>2855</v>
      </c>
      <c r="W2564" t="s">
        <v>2856</v>
      </c>
      <c r="AD2564" t="s">
        <v>5981</v>
      </c>
    </row>
    <row r="2565" spans="1:32" x14ac:dyDescent="0.25">
      <c r="A2565" t="s">
        <v>33</v>
      </c>
      <c r="D2565" t="s">
        <v>2847</v>
      </c>
      <c r="E2565" t="s">
        <v>2848</v>
      </c>
      <c r="F2565" t="s">
        <v>87</v>
      </c>
      <c r="G2565" t="s">
        <v>5961</v>
      </c>
      <c r="H2565" t="s">
        <v>38</v>
      </c>
      <c r="I2565" t="s">
        <v>25</v>
      </c>
      <c r="J2565" t="s">
        <v>69</v>
      </c>
      <c r="K2565" t="s">
        <v>41</v>
      </c>
      <c r="L2565" t="s">
        <v>5962</v>
      </c>
      <c r="M2565" t="s">
        <v>5968</v>
      </c>
      <c r="N2565" t="s">
        <v>5963</v>
      </c>
      <c r="O2565" t="s">
        <v>512</v>
      </c>
      <c r="R2565" t="s">
        <v>2218</v>
      </c>
      <c r="S2565" t="s">
        <v>2854</v>
      </c>
      <c r="V2565" t="s">
        <v>2855</v>
      </c>
      <c r="W2565" t="s">
        <v>2856</v>
      </c>
      <c r="AD2565" t="s">
        <v>5982</v>
      </c>
    </row>
    <row r="2566" spans="1:32" x14ac:dyDescent="0.25">
      <c r="A2566" t="s">
        <v>33</v>
      </c>
      <c r="D2566" t="s">
        <v>2847</v>
      </c>
      <c r="E2566" t="s">
        <v>2848</v>
      </c>
      <c r="F2566" t="s">
        <v>87</v>
      </c>
      <c r="G2566" t="s">
        <v>5961</v>
      </c>
      <c r="H2566" t="s">
        <v>38</v>
      </c>
      <c r="I2566" t="s">
        <v>24</v>
      </c>
      <c r="J2566" t="s">
        <v>69</v>
      </c>
      <c r="K2566" t="s">
        <v>41</v>
      </c>
      <c r="L2566" t="s">
        <v>5962</v>
      </c>
      <c r="M2566" t="s">
        <v>5968</v>
      </c>
      <c r="N2566" t="s">
        <v>5963</v>
      </c>
      <c r="O2566" t="s">
        <v>509</v>
      </c>
      <c r="R2566" t="s">
        <v>2219</v>
      </c>
      <c r="S2566" t="s">
        <v>2854</v>
      </c>
      <c r="V2566" t="s">
        <v>2855</v>
      </c>
      <c r="W2566" t="s">
        <v>2856</v>
      </c>
      <c r="AD2566" t="s">
        <v>5983</v>
      </c>
    </row>
    <row r="2567" spans="1:32" x14ac:dyDescent="0.25">
      <c r="A2567" t="s">
        <v>33</v>
      </c>
      <c r="D2567" t="s">
        <v>2847</v>
      </c>
      <c r="E2567" t="s">
        <v>2848</v>
      </c>
      <c r="F2567" t="s">
        <v>87</v>
      </c>
      <c r="G2567" t="s">
        <v>5984</v>
      </c>
      <c r="H2567" t="s">
        <v>153</v>
      </c>
      <c r="I2567" t="s">
        <v>144</v>
      </c>
      <c r="J2567" t="s">
        <v>154</v>
      </c>
      <c r="K2567" t="s">
        <v>155</v>
      </c>
      <c r="L2567" t="s">
        <v>5985</v>
      </c>
      <c r="N2567" t="s">
        <v>5986</v>
      </c>
      <c r="O2567" t="s">
        <v>156</v>
      </c>
      <c r="R2567" t="s">
        <v>5987</v>
      </c>
      <c r="S2567" t="s">
        <v>2854</v>
      </c>
      <c r="V2567" t="s">
        <v>2855</v>
      </c>
      <c r="W2567" t="s">
        <v>2856</v>
      </c>
      <c r="AD2567" t="s">
        <v>5988</v>
      </c>
    </row>
    <row r="2568" spans="1:32" x14ac:dyDescent="0.25">
      <c r="A2568" t="s">
        <v>33</v>
      </c>
      <c r="D2568" t="s">
        <v>2847</v>
      </c>
      <c r="E2568" t="s">
        <v>2848</v>
      </c>
      <c r="F2568" t="s">
        <v>87</v>
      </c>
      <c r="G2568" t="s">
        <v>5984</v>
      </c>
      <c r="H2568" t="s">
        <v>89</v>
      </c>
      <c r="I2568" t="s">
        <v>144</v>
      </c>
      <c r="J2568" t="s">
        <v>91</v>
      </c>
      <c r="K2568" t="s">
        <v>92</v>
      </c>
      <c r="L2568" t="s">
        <v>5985</v>
      </c>
      <c r="M2568" t="s">
        <v>94</v>
      </c>
      <c r="N2568" t="s">
        <v>5986</v>
      </c>
      <c r="O2568" t="s">
        <v>150</v>
      </c>
      <c r="P2568">
        <v>1E-3</v>
      </c>
      <c r="R2568" t="s">
        <v>5989</v>
      </c>
      <c r="S2568" t="s">
        <v>2854</v>
      </c>
      <c r="V2568" t="s">
        <v>2855</v>
      </c>
      <c r="W2568" t="s">
        <v>2856</v>
      </c>
      <c r="AD2568" t="s">
        <v>5990</v>
      </c>
    </row>
    <row r="2569" spans="1:32" x14ac:dyDescent="0.25">
      <c r="A2569" t="s">
        <v>33</v>
      </c>
      <c r="D2569" t="s">
        <v>2847</v>
      </c>
      <c r="E2569" t="s">
        <v>2848</v>
      </c>
      <c r="F2569" t="s">
        <v>87</v>
      </c>
      <c r="G2569" t="s">
        <v>5984</v>
      </c>
      <c r="H2569" t="s">
        <v>143</v>
      </c>
      <c r="I2569" t="s">
        <v>144</v>
      </c>
      <c r="J2569" t="s">
        <v>145</v>
      </c>
      <c r="K2569" t="s">
        <v>146</v>
      </c>
      <c r="L2569" t="s">
        <v>5985</v>
      </c>
      <c r="M2569" t="s">
        <v>1879</v>
      </c>
      <c r="N2569" t="s">
        <v>5986</v>
      </c>
      <c r="O2569" t="s">
        <v>147</v>
      </c>
      <c r="R2569" t="s">
        <v>5991</v>
      </c>
      <c r="S2569" t="s">
        <v>2854</v>
      </c>
      <c r="V2569" t="s">
        <v>2855</v>
      </c>
      <c r="W2569" t="s">
        <v>2856</v>
      </c>
      <c r="X2569" t="s">
        <v>1881</v>
      </c>
      <c r="AD2569" t="s">
        <v>5992</v>
      </c>
    </row>
    <row r="2570" spans="1:32" x14ac:dyDescent="0.25">
      <c r="A2570" t="s">
        <v>33</v>
      </c>
      <c r="D2570" t="s">
        <v>2847</v>
      </c>
      <c r="E2570" t="s">
        <v>2848</v>
      </c>
      <c r="F2570" t="s">
        <v>87</v>
      </c>
      <c r="G2570" t="s">
        <v>5984</v>
      </c>
      <c r="H2570" t="s">
        <v>143</v>
      </c>
      <c r="I2570" t="s">
        <v>144</v>
      </c>
      <c r="J2570" t="s">
        <v>145</v>
      </c>
      <c r="K2570" t="s">
        <v>262</v>
      </c>
      <c r="L2570" t="s">
        <v>5985</v>
      </c>
      <c r="M2570" t="s">
        <v>1879</v>
      </c>
      <c r="N2570" t="s">
        <v>5986</v>
      </c>
      <c r="O2570" t="s">
        <v>147</v>
      </c>
      <c r="R2570" t="s">
        <v>5993</v>
      </c>
      <c r="S2570" t="s">
        <v>2854</v>
      </c>
      <c r="V2570" t="s">
        <v>2855</v>
      </c>
      <c r="W2570" t="s">
        <v>2856</v>
      </c>
      <c r="X2570" t="s">
        <v>1881</v>
      </c>
      <c r="AD2570" t="s">
        <v>5992</v>
      </c>
    </row>
    <row r="2571" spans="1:32" x14ac:dyDescent="0.25">
      <c r="A2571" t="s">
        <v>33</v>
      </c>
      <c r="D2571" t="s">
        <v>2847</v>
      </c>
      <c r="E2571" t="s">
        <v>2848</v>
      </c>
      <c r="F2571" t="s">
        <v>87</v>
      </c>
      <c r="G2571" t="s">
        <v>5984</v>
      </c>
      <c r="H2571" t="s">
        <v>153</v>
      </c>
      <c r="I2571" t="s">
        <v>90</v>
      </c>
      <c r="J2571" t="s">
        <v>154</v>
      </c>
      <c r="K2571" t="s">
        <v>155</v>
      </c>
      <c r="L2571" t="s">
        <v>5985</v>
      </c>
      <c r="N2571" t="s">
        <v>5986</v>
      </c>
      <c r="O2571" t="s">
        <v>386</v>
      </c>
      <c r="R2571" t="s">
        <v>5994</v>
      </c>
      <c r="S2571" t="s">
        <v>2854</v>
      </c>
      <c r="V2571" t="s">
        <v>2855</v>
      </c>
      <c r="W2571" t="s">
        <v>2856</v>
      </c>
      <c r="AC2571" t="s">
        <v>5995</v>
      </c>
      <c r="AD2571" t="s">
        <v>5996</v>
      </c>
      <c r="AE2571" t="s">
        <v>2995</v>
      </c>
      <c r="AF2571">
        <v>7</v>
      </c>
    </row>
    <row r="2572" spans="1:32" x14ac:dyDescent="0.25">
      <c r="A2572" t="s">
        <v>33</v>
      </c>
      <c r="D2572" t="s">
        <v>2847</v>
      </c>
      <c r="E2572" t="s">
        <v>2848</v>
      </c>
      <c r="F2572" t="s">
        <v>87</v>
      </c>
      <c r="G2572" t="s">
        <v>5984</v>
      </c>
      <c r="H2572" t="s">
        <v>89</v>
      </c>
      <c r="I2572" t="s">
        <v>90</v>
      </c>
      <c r="J2572" t="s">
        <v>91</v>
      </c>
      <c r="K2572" t="s">
        <v>92</v>
      </c>
      <c r="L2572" t="s">
        <v>5985</v>
      </c>
      <c r="M2572" t="s">
        <v>94</v>
      </c>
      <c r="N2572" t="s">
        <v>5986</v>
      </c>
      <c r="O2572" t="s">
        <v>383</v>
      </c>
      <c r="P2572">
        <v>1E-3</v>
      </c>
      <c r="R2572" t="s">
        <v>5997</v>
      </c>
      <c r="S2572" t="s">
        <v>2854</v>
      </c>
      <c r="V2572" t="s">
        <v>2855</v>
      </c>
      <c r="W2572" t="s">
        <v>2856</v>
      </c>
      <c r="AD2572" t="s">
        <v>5998</v>
      </c>
    </row>
    <row r="2573" spans="1:32" x14ac:dyDescent="0.25">
      <c r="A2573" t="s">
        <v>33</v>
      </c>
      <c r="D2573" t="s">
        <v>2847</v>
      </c>
      <c r="E2573" t="s">
        <v>2848</v>
      </c>
      <c r="F2573" t="s">
        <v>87</v>
      </c>
      <c r="G2573" t="s">
        <v>5984</v>
      </c>
      <c r="H2573" t="s">
        <v>143</v>
      </c>
      <c r="I2573" t="s">
        <v>90</v>
      </c>
      <c r="J2573" t="s">
        <v>145</v>
      </c>
      <c r="K2573" t="s">
        <v>146</v>
      </c>
      <c r="L2573" t="s">
        <v>5985</v>
      </c>
      <c r="M2573" t="s">
        <v>1879</v>
      </c>
      <c r="N2573" t="s">
        <v>5986</v>
      </c>
      <c r="O2573" t="s">
        <v>380</v>
      </c>
      <c r="R2573" t="s">
        <v>5999</v>
      </c>
      <c r="S2573" t="s">
        <v>2854</v>
      </c>
      <c r="V2573" t="s">
        <v>2855</v>
      </c>
      <c r="W2573" t="s">
        <v>2856</v>
      </c>
      <c r="X2573" t="s">
        <v>1881</v>
      </c>
      <c r="AD2573" t="s">
        <v>6000</v>
      </c>
    </row>
    <row r="2574" spans="1:32" x14ac:dyDescent="0.25">
      <c r="A2574" t="s">
        <v>33</v>
      </c>
      <c r="D2574" t="s">
        <v>2847</v>
      </c>
      <c r="E2574" t="s">
        <v>2848</v>
      </c>
      <c r="F2574" t="s">
        <v>87</v>
      </c>
      <c r="G2574" t="s">
        <v>5984</v>
      </c>
      <c r="H2574" t="s">
        <v>143</v>
      </c>
      <c r="I2574" t="s">
        <v>90</v>
      </c>
      <c r="J2574" t="s">
        <v>145</v>
      </c>
      <c r="K2574" t="s">
        <v>262</v>
      </c>
      <c r="L2574" t="s">
        <v>5985</v>
      </c>
      <c r="M2574" t="s">
        <v>1879</v>
      </c>
      <c r="N2574" t="s">
        <v>5986</v>
      </c>
      <c r="O2574" t="s">
        <v>380</v>
      </c>
      <c r="R2574" t="s">
        <v>6001</v>
      </c>
      <c r="S2574" t="s">
        <v>2854</v>
      </c>
      <c r="V2574" t="s">
        <v>2855</v>
      </c>
      <c r="W2574" t="s">
        <v>2856</v>
      </c>
      <c r="X2574" t="s">
        <v>1881</v>
      </c>
      <c r="AD2574" t="s">
        <v>6000</v>
      </c>
    </row>
    <row r="2575" spans="1:32" x14ac:dyDescent="0.25">
      <c r="A2575" t="s">
        <v>33</v>
      </c>
      <c r="D2575" t="s">
        <v>2847</v>
      </c>
      <c r="E2575" t="s">
        <v>2848</v>
      </c>
      <c r="F2575" t="s">
        <v>87</v>
      </c>
      <c r="G2575" t="s">
        <v>5984</v>
      </c>
      <c r="H2575" t="s">
        <v>38</v>
      </c>
      <c r="I2575" t="s">
        <v>106</v>
      </c>
      <c r="J2575" t="s">
        <v>40</v>
      </c>
      <c r="K2575" t="s">
        <v>41</v>
      </c>
      <c r="L2575" t="s">
        <v>5985</v>
      </c>
      <c r="M2575" t="s">
        <v>1879</v>
      </c>
      <c r="N2575" t="s">
        <v>5986</v>
      </c>
      <c r="O2575" t="s">
        <v>109</v>
      </c>
      <c r="R2575" t="s">
        <v>6002</v>
      </c>
      <c r="S2575" t="s">
        <v>2854</v>
      </c>
      <c r="V2575" t="s">
        <v>2855</v>
      </c>
      <c r="W2575" t="s">
        <v>2856</v>
      </c>
      <c r="X2575" t="s">
        <v>1881</v>
      </c>
      <c r="AD2575" t="s">
        <v>6003</v>
      </c>
    </row>
    <row r="2576" spans="1:32" x14ac:dyDescent="0.25">
      <c r="A2576" t="s">
        <v>33</v>
      </c>
      <c r="D2576" t="s">
        <v>2847</v>
      </c>
      <c r="E2576" t="s">
        <v>2848</v>
      </c>
      <c r="F2576" t="s">
        <v>87</v>
      </c>
      <c r="G2576" t="s">
        <v>5984</v>
      </c>
      <c r="H2576" t="s">
        <v>38</v>
      </c>
      <c r="I2576" t="s">
        <v>25</v>
      </c>
      <c r="J2576" t="s">
        <v>69</v>
      </c>
      <c r="K2576" t="s">
        <v>41</v>
      </c>
      <c r="L2576" t="s">
        <v>5985</v>
      </c>
      <c r="M2576" t="s">
        <v>1879</v>
      </c>
      <c r="N2576" t="s">
        <v>5986</v>
      </c>
      <c r="O2576" t="s">
        <v>512</v>
      </c>
      <c r="R2576" t="s">
        <v>513</v>
      </c>
      <c r="S2576" t="s">
        <v>2854</v>
      </c>
      <c r="V2576" t="s">
        <v>2855</v>
      </c>
      <c r="W2576" t="s">
        <v>2856</v>
      </c>
      <c r="X2576" t="s">
        <v>1881</v>
      </c>
      <c r="AD2576" t="s">
        <v>6004</v>
      </c>
    </row>
    <row r="2577" spans="1:30" x14ac:dyDescent="0.25">
      <c r="A2577" t="s">
        <v>33</v>
      </c>
      <c r="D2577" t="s">
        <v>2847</v>
      </c>
      <c r="E2577" t="s">
        <v>2848</v>
      </c>
      <c r="F2577" t="s">
        <v>87</v>
      </c>
      <c r="G2577" t="s">
        <v>5984</v>
      </c>
      <c r="H2577" t="s">
        <v>38</v>
      </c>
      <c r="I2577" t="s">
        <v>24</v>
      </c>
      <c r="J2577" t="s">
        <v>69</v>
      </c>
      <c r="K2577" t="s">
        <v>41</v>
      </c>
      <c r="L2577" t="s">
        <v>5985</v>
      </c>
      <c r="M2577" t="s">
        <v>1879</v>
      </c>
      <c r="N2577" t="s">
        <v>5986</v>
      </c>
      <c r="O2577" t="s">
        <v>509</v>
      </c>
      <c r="R2577" t="s">
        <v>510</v>
      </c>
      <c r="S2577" t="s">
        <v>2854</v>
      </c>
      <c r="V2577" t="s">
        <v>2855</v>
      </c>
      <c r="W2577" t="s">
        <v>2856</v>
      </c>
      <c r="X2577" t="s">
        <v>1881</v>
      </c>
      <c r="AD2577" t="s">
        <v>6005</v>
      </c>
    </row>
    <row r="2578" spans="1:30" x14ac:dyDescent="0.25">
      <c r="A2578" t="s">
        <v>33</v>
      </c>
      <c r="D2578" t="s">
        <v>2847</v>
      </c>
      <c r="E2578" t="s">
        <v>2848</v>
      </c>
      <c r="F2578" t="s">
        <v>87</v>
      </c>
      <c r="G2578" t="s">
        <v>6006</v>
      </c>
      <c r="H2578" t="s">
        <v>153</v>
      </c>
      <c r="I2578" t="s">
        <v>144</v>
      </c>
      <c r="J2578" t="s">
        <v>154</v>
      </c>
      <c r="K2578" t="s">
        <v>155</v>
      </c>
      <c r="L2578" t="s">
        <v>6007</v>
      </c>
      <c r="N2578" t="s">
        <v>6008</v>
      </c>
      <c r="O2578" t="s">
        <v>156</v>
      </c>
      <c r="R2578" t="s">
        <v>6009</v>
      </c>
      <c r="S2578" t="s">
        <v>2854</v>
      </c>
      <c r="V2578" t="s">
        <v>2855</v>
      </c>
      <c r="W2578" t="s">
        <v>2856</v>
      </c>
      <c r="AD2578" t="s">
        <v>6010</v>
      </c>
    </row>
    <row r="2579" spans="1:30" x14ac:dyDescent="0.25">
      <c r="A2579" t="s">
        <v>33</v>
      </c>
      <c r="D2579" t="s">
        <v>2847</v>
      </c>
      <c r="E2579" t="s">
        <v>2848</v>
      </c>
      <c r="F2579" t="s">
        <v>87</v>
      </c>
      <c r="G2579" t="s">
        <v>6006</v>
      </c>
      <c r="H2579" t="s">
        <v>89</v>
      </c>
      <c r="I2579" t="s">
        <v>144</v>
      </c>
      <c r="J2579" t="s">
        <v>91</v>
      </c>
      <c r="K2579" t="s">
        <v>92</v>
      </c>
      <c r="L2579" t="s">
        <v>6007</v>
      </c>
      <c r="M2579" t="s">
        <v>94</v>
      </c>
      <c r="N2579" t="s">
        <v>6008</v>
      </c>
      <c r="O2579" t="s">
        <v>150</v>
      </c>
      <c r="P2579">
        <v>1E-3</v>
      </c>
      <c r="R2579" t="s">
        <v>6011</v>
      </c>
      <c r="S2579" t="s">
        <v>2854</v>
      </c>
      <c r="V2579" t="s">
        <v>2855</v>
      </c>
      <c r="W2579" t="s">
        <v>2856</v>
      </c>
      <c r="AD2579" t="s">
        <v>6012</v>
      </c>
    </row>
    <row r="2580" spans="1:30" x14ac:dyDescent="0.25">
      <c r="A2580" t="s">
        <v>33</v>
      </c>
      <c r="D2580" t="s">
        <v>2847</v>
      </c>
      <c r="E2580" t="s">
        <v>2848</v>
      </c>
      <c r="F2580" t="s">
        <v>87</v>
      </c>
      <c r="G2580" t="s">
        <v>6006</v>
      </c>
      <c r="H2580" t="s">
        <v>143</v>
      </c>
      <c r="I2580" t="s">
        <v>144</v>
      </c>
      <c r="J2580" t="s">
        <v>145</v>
      </c>
      <c r="K2580" t="s">
        <v>146</v>
      </c>
      <c r="L2580" t="s">
        <v>6007</v>
      </c>
      <c r="M2580" t="s">
        <v>5968</v>
      </c>
      <c r="N2580" t="s">
        <v>6008</v>
      </c>
      <c r="O2580" t="s">
        <v>147</v>
      </c>
      <c r="R2580" t="s">
        <v>6013</v>
      </c>
      <c r="S2580" t="s">
        <v>2854</v>
      </c>
      <c r="V2580" t="s">
        <v>2855</v>
      </c>
      <c r="W2580" t="s">
        <v>2856</v>
      </c>
      <c r="AD2580" t="s">
        <v>6014</v>
      </c>
    </row>
    <row r="2581" spans="1:30" x14ac:dyDescent="0.25">
      <c r="A2581" t="s">
        <v>33</v>
      </c>
      <c r="D2581" t="s">
        <v>2847</v>
      </c>
      <c r="E2581" t="s">
        <v>2848</v>
      </c>
      <c r="F2581" t="s">
        <v>87</v>
      </c>
      <c r="G2581" t="s">
        <v>6006</v>
      </c>
      <c r="H2581" t="s">
        <v>143</v>
      </c>
      <c r="I2581" t="s">
        <v>144</v>
      </c>
      <c r="J2581" t="s">
        <v>145</v>
      </c>
      <c r="K2581" t="s">
        <v>262</v>
      </c>
      <c r="L2581" t="s">
        <v>6007</v>
      </c>
      <c r="M2581" t="s">
        <v>5968</v>
      </c>
      <c r="N2581" t="s">
        <v>6008</v>
      </c>
      <c r="O2581" t="s">
        <v>147</v>
      </c>
      <c r="R2581" t="s">
        <v>6015</v>
      </c>
      <c r="S2581" t="s">
        <v>2854</v>
      </c>
      <c r="V2581" t="s">
        <v>2855</v>
      </c>
      <c r="W2581" t="s">
        <v>2856</v>
      </c>
      <c r="AD2581" t="s">
        <v>6014</v>
      </c>
    </row>
    <row r="2582" spans="1:30" x14ac:dyDescent="0.25">
      <c r="A2582" t="s">
        <v>33</v>
      </c>
      <c r="D2582" t="s">
        <v>2847</v>
      </c>
      <c r="E2582" t="s">
        <v>2848</v>
      </c>
      <c r="F2582" t="s">
        <v>87</v>
      </c>
      <c r="G2582" t="s">
        <v>6006</v>
      </c>
      <c r="H2582" t="s">
        <v>38</v>
      </c>
      <c r="I2582" t="s">
        <v>106</v>
      </c>
      <c r="J2582" t="s">
        <v>40</v>
      </c>
      <c r="K2582" t="s">
        <v>41</v>
      </c>
      <c r="L2582" t="s">
        <v>6007</v>
      </c>
      <c r="M2582" t="s">
        <v>5968</v>
      </c>
      <c r="N2582" t="s">
        <v>6008</v>
      </c>
      <c r="O2582" t="s">
        <v>109</v>
      </c>
      <c r="R2582" t="s">
        <v>6016</v>
      </c>
      <c r="S2582" t="s">
        <v>2854</v>
      </c>
      <c r="V2582" t="s">
        <v>2855</v>
      </c>
      <c r="W2582" t="s">
        <v>2856</v>
      </c>
      <c r="AD2582" t="s">
        <v>6017</v>
      </c>
    </row>
    <row r="2583" spans="1:30" x14ac:dyDescent="0.25">
      <c r="A2583" t="s">
        <v>33</v>
      </c>
      <c r="D2583" t="s">
        <v>2847</v>
      </c>
      <c r="E2583" t="s">
        <v>2848</v>
      </c>
      <c r="F2583" t="s">
        <v>87</v>
      </c>
      <c r="G2583" t="s">
        <v>6006</v>
      </c>
      <c r="H2583" t="s">
        <v>38</v>
      </c>
      <c r="I2583" t="s">
        <v>25</v>
      </c>
      <c r="J2583" t="s">
        <v>69</v>
      </c>
      <c r="K2583" t="s">
        <v>41</v>
      </c>
      <c r="L2583" t="s">
        <v>6007</v>
      </c>
      <c r="M2583" t="s">
        <v>5968</v>
      </c>
      <c r="N2583" t="s">
        <v>6008</v>
      </c>
      <c r="O2583" t="s">
        <v>512</v>
      </c>
      <c r="R2583" t="s">
        <v>1561</v>
      </c>
      <c r="S2583" t="s">
        <v>2854</v>
      </c>
      <c r="V2583" t="s">
        <v>2855</v>
      </c>
      <c r="W2583" t="s">
        <v>2856</v>
      </c>
      <c r="AD2583" t="s">
        <v>6018</v>
      </c>
    </row>
    <row r="2584" spans="1:30" x14ac:dyDescent="0.25">
      <c r="A2584" t="s">
        <v>33</v>
      </c>
      <c r="D2584" t="s">
        <v>2847</v>
      </c>
      <c r="E2584" t="s">
        <v>2848</v>
      </c>
      <c r="F2584" t="s">
        <v>87</v>
      </c>
      <c r="G2584" t="s">
        <v>6006</v>
      </c>
      <c r="H2584" t="s">
        <v>38</v>
      </c>
      <c r="I2584" t="s">
        <v>24</v>
      </c>
      <c r="J2584" t="s">
        <v>69</v>
      </c>
      <c r="K2584" t="s">
        <v>41</v>
      </c>
      <c r="L2584" t="s">
        <v>6007</v>
      </c>
      <c r="M2584" t="s">
        <v>5968</v>
      </c>
      <c r="N2584" t="s">
        <v>6008</v>
      </c>
      <c r="O2584" t="s">
        <v>509</v>
      </c>
      <c r="R2584" t="s">
        <v>1563</v>
      </c>
      <c r="S2584" t="s">
        <v>2854</v>
      </c>
      <c r="V2584" t="s">
        <v>2855</v>
      </c>
      <c r="W2584" t="s">
        <v>2856</v>
      </c>
      <c r="AD2584" t="s">
        <v>6019</v>
      </c>
    </row>
    <row r="2585" spans="1:30" x14ac:dyDescent="0.25">
      <c r="A2585" t="s">
        <v>33</v>
      </c>
      <c r="D2585" t="s">
        <v>2847</v>
      </c>
      <c r="E2585" t="s">
        <v>2848</v>
      </c>
      <c r="F2585" t="s">
        <v>87</v>
      </c>
      <c r="G2585" t="s">
        <v>6020</v>
      </c>
      <c r="H2585" t="s">
        <v>153</v>
      </c>
      <c r="I2585" t="s">
        <v>144</v>
      </c>
      <c r="J2585" t="s">
        <v>154</v>
      </c>
      <c r="K2585" t="s">
        <v>155</v>
      </c>
      <c r="L2585" t="s">
        <v>6021</v>
      </c>
      <c r="N2585" t="s">
        <v>6022</v>
      </c>
      <c r="O2585" t="s">
        <v>156</v>
      </c>
      <c r="R2585" t="s">
        <v>6023</v>
      </c>
      <c r="S2585" t="s">
        <v>2854</v>
      </c>
      <c r="V2585" t="s">
        <v>2855</v>
      </c>
      <c r="W2585" t="s">
        <v>2856</v>
      </c>
      <c r="AD2585" t="s">
        <v>6024</v>
      </c>
    </row>
    <row r="2586" spans="1:30" x14ac:dyDescent="0.25">
      <c r="A2586" t="s">
        <v>33</v>
      </c>
      <c r="D2586" t="s">
        <v>2847</v>
      </c>
      <c r="E2586" t="s">
        <v>2848</v>
      </c>
      <c r="F2586" t="s">
        <v>87</v>
      </c>
      <c r="G2586" t="s">
        <v>6020</v>
      </c>
      <c r="H2586" t="s">
        <v>89</v>
      </c>
      <c r="I2586" t="s">
        <v>144</v>
      </c>
      <c r="J2586" t="s">
        <v>91</v>
      </c>
      <c r="K2586" t="s">
        <v>92</v>
      </c>
      <c r="L2586" t="s">
        <v>6021</v>
      </c>
      <c r="M2586" t="s">
        <v>94</v>
      </c>
      <c r="N2586" t="s">
        <v>6022</v>
      </c>
      <c r="O2586" t="s">
        <v>150</v>
      </c>
      <c r="P2586">
        <v>1E-3</v>
      </c>
      <c r="R2586" t="s">
        <v>6025</v>
      </c>
      <c r="S2586" t="s">
        <v>2854</v>
      </c>
      <c r="V2586" t="s">
        <v>2855</v>
      </c>
      <c r="W2586" t="s">
        <v>2856</v>
      </c>
      <c r="AD2586" t="s">
        <v>6026</v>
      </c>
    </row>
    <row r="2587" spans="1:30" x14ac:dyDescent="0.25">
      <c r="A2587" t="s">
        <v>947</v>
      </c>
      <c r="B2587" t="s">
        <v>1948</v>
      </c>
      <c r="C2587" t="s">
        <v>949</v>
      </c>
      <c r="D2587" t="s">
        <v>2847</v>
      </c>
      <c r="E2587" t="s">
        <v>2893</v>
      </c>
      <c r="F2587" t="s">
        <v>866</v>
      </c>
      <c r="G2587" t="s">
        <v>6027</v>
      </c>
      <c r="H2587" t="s">
        <v>143</v>
      </c>
      <c r="I2587" t="s">
        <v>6028</v>
      </c>
      <c r="J2587" t="s">
        <v>745</v>
      </c>
      <c r="K2587" t="s">
        <v>262</v>
      </c>
      <c r="L2587" t="s">
        <v>6029</v>
      </c>
      <c r="M2587" t="s">
        <v>176</v>
      </c>
      <c r="N2587" t="s">
        <v>6030</v>
      </c>
      <c r="O2587" t="s">
        <v>6031</v>
      </c>
      <c r="R2587" t="s">
        <v>6032</v>
      </c>
      <c r="S2587" t="s">
        <v>2864</v>
      </c>
      <c r="V2587" t="s">
        <v>2855</v>
      </c>
      <c r="W2587" t="s">
        <v>2865</v>
      </c>
      <c r="AD2587" t="s">
        <v>6033</v>
      </c>
    </row>
    <row r="2588" spans="1:30" x14ac:dyDescent="0.25">
      <c r="A2588" t="s">
        <v>33</v>
      </c>
      <c r="D2588" t="s">
        <v>2847</v>
      </c>
      <c r="E2588" t="s">
        <v>2869</v>
      </c>
      <c r="F2588" t="s">
        <v>2870</v>
      </c>
      <c r="G2588" t="s">
        <v>5730</v>
      </c>
      <c r="H2588" t="s">
        <v>153</v>
      </c>
      <c r="I2588" t="s">
        <v>479</v>
      </c>
      <c r="J2588" t="s">
        <v>154</v>
      </c>
      <c r="K2588" t="s">
        <v>155</v>
      </c>
      <c r="L2588" t="s">
        <v>5731</v>
      </c>
      <c r="N2588" t="s">
        <v>5732</v>
      </c>
      <c r="O2588" t="s">
        <v>480</v>
      </c>
      <c r="R2588" t="s">
        <v>6034</v>
      </c>
      <c r="S2588" t="s">
        <v>2882</v>
      </c>
      <c r="V2588" t="s">
        <v>2855</v>
      </c>
      <c r="W2588" t="s">
        <v>2856</v>
      </c>
      <c r="AD2588" t="s">
        <v>6035</v>
      </c>
    </row>
    <row r="2589" spans="1:30" x14ac:dyDescent="0.25">
      <c r="A2589" t="s">
        <v>33</v>
      </c>
      <c r="D2589" t="s">
        <v>2847</v>
      </c>
      <c r="E2589" t="s">
        <v>2893</v>
      </c>
      <c r="F2589" t="s">
        <v>78</v>
      </c>
      <c r="G2589" t="s">
        <v>6036</v>
      </c>
      <c r="H2589" t="s">
        <v>166</v>
      </c>
      <c r="I2589" t="s">
        <v>288</v>
      </c>
      <c r="J2589" t="s">
        <v>167</v>
      </c>
      <c r="K2589" t="s">
        <v>41</v>
      </c>
      <c r="L2589" t="s">
        <v>6037</v>
      </c>
      <c r="N2589" t="s">
        <v>6038</v>
      </c>
      <c r="O2589" t="s">
        <v>289</v>
      </c>
      <c r="Q2589" t="s">
        <v>285</v>
      </c>
      <c r="R2589" t="s">
        <v>6039</v>
      </c>
      <c r="S2589" t="s">
        <v>2864</v>
      </c>
      <c r="V2589" t="s">
        <v>2855</v>
      </c>
      <c r="W2589" t="s">
        <v>2898</v>
      </c>
      <c r="AD2589" t="s">
        <v>6040</v>
      </c>
    </row>
    <row r="2590" spans="1:30" x14ac:dyDescent="0.25">
      <c r="A2590" t="s">
        <v>33</v>
      </c>
      <c r="D2590" t="s">
        <v>2847</v>
      </c>
      <c r="E2590" t="s">
        <v>2893</v>
      </c>
      <c r="F2590" t="s">
        <v>78</v>
      </c>
      <c r="G2590" t="s">
        <v>6036</v>
      </c>
      <c r="H2590" t="s">
        <v>143</v>
      </c>
      <c r="I2590" t="s">
        <v>276</v>
      </c>
      <c r="J2590" t="s">
        <v>145</v>
      </c>
      <c r="K2590" t="s">
        <v>146</v>
      </c>
      <c r="L2590" t="s">
        <v>6037</v>
      </c>
      <c r="N2590" t="s">
        <v>6038</v>
      </c>
      <c r="O2590" t="s">
        <v>277</v>
      </c>
      <c r="R2590" t="s">
        <v>6041</v>
      </c>
      <c r="S2590" t="s">
        <v>2864</v>
      </c>
      <c r="V2590" t="s">
        <v>2855</v>
      </c>
      <c r="W2590" t="s">
        <v>2898</v>
      </c>
      <c r="X2590" t="s">
        <v>270</v>
      </c>
      <c r="AD2590" t="s">
        <v>6042</v>
      </c>
    </row>
    <row r="2591" spans="1:30" x14ac:dyDescent="0.25">
      <c r="A2591" t="s">
        <v>33</v>
      </c>
      <c r="D2591" t="s">
        <v>2847</v>
      </c>
      <c r="E2591" t="s">
        <v>2848</v>
      </c>
      <c r="F2591" t="s">
        <v>87</v>
      </c>
      <c r="G2591" t="s">
        <v>6020</v>
      </c>
      <c r="H2591" t="s">
        <v>143</v>
      </c>
      <c r="I2591" t="s">
        <v>144</v>
      </c>
      <c r="J2591" t="s">
        <v>145</v>
      </c>
      <c r="K2591" t="s">
        <v>146</v>
      </c>
      <c r="L2591" t="s">
        <v>6021</v>
      </c>
      <c r="M2591" t="s">
        <v>1879</v>
      </c>
      <c r="N2591" t="s">
        <v>6022</v>
      </c>
      <c r="O2591" t="s">
        <v>147</v>
      </c>
      <c r="R2591" t="s">
        <v>6043</v>
      </c>
      <c r="S2591" t="s">
        <v>2854</v>
      </c>
      <c r="V2591" t="s">
        <v>2855</v>
      </c>
      <c r="W2591" t="s">
        <v>2856</v>
      </c>
      <c r="X2591" t="s">
        <v>1881</v>
      </c>
      <c r="AD2591" t="s">
        <v>6044</v>
      </c>
    </row>
    <row r="2592" spans="1:30" x14ac:dyDescent="0.25">
      <c r="A2592" t="s">
        <v>33</v>
      </c>
      <c r="D2592" t="s">
        <v>2847</v>
      </c>
      <c r="E2592" t="s">
        <v>2848</v>
      </c>
      <c r="F2592" t="s">
        <v>87</v>
      </c>
      <c r="G2592" t="s">
        <v>6020</v>
      </c>
      <c r="H2592" t="s">
        <v>143</v>
      </c>
      <c r="I2592" t="s">
        <v>144</v>
      </c>
      <c r="J2592" t="s">
        <v>145</v>
      </c>
      <c r="K2592" t="s">
        <v>262</v>
      </c>
      <c r="L2592" t="s">
        <v>6021</v>
      </c>
      <c r="M2592" t="s">
        <v>1879</v>
      </c>
      <c r="N2592" t="s">
        <v>6022</v>
      </c>
      <c r="O2592" t="s">
        <v>147</v>
      </c>
      <c r="R2592" t="s">
        <v>6045</v>
      </c>
      <c r="S2592" t="s">
        <v>2854</v>
      </c>
      <c r="V2592" t="s">
        <v>2855</v>
      </c>
      <c r="W2592" t="s">
        <v>2856</v>
      </c>
      <c r="X2592" t="s">
        <v>1881</v>
      </c>
      <c r="AD2592" t="s">
        <v>6044</v>
      </c>
    </row>
    <row r="2593" spans="1:32" x14ac:dyDescent="0.25">
      <c r="A2593" t="s">
        <v>33</v>
      </c>
      <c r="D2593" t="s">
        <v>2847</v>
      </c>
      <c r="E2593" t="s">
        <v>2848</v>
      </c>
      <c r="F2593" t="s">
        <v>87</v>
      </c>
      <c r="G2593" t="s">
        <v>6020</v>
      </c>
      <c r="H2593" t="s">
        <v>153</v>
      </c>
      <c r="I2593" t="s">
        <v>90</v>
      </c>
      <c r="J2593" t="s">
        <v>154</v>
      </c>
      <c r="K2593" t="s">
        <v>155</v>
      </c>
      <c r="L2593" t="s">
        <v>6021</v>
      </c>
      <c r="N2593" t="s">
        <v>6022</v>
      </c>
      <c r="O2593" t="s">
        <v>386</v>
      </c>
      <c r="R2593" t="s">
        <v>6046</v>
      </c>
      <c r="S2593" t="s">
        <v>2854</v>
      </c>
      <c r="V2593" t="s">
        <v>2855</v>
      </c>
      <c r="W2593" t="s">
        <v>2856</v>
      </c>
      <c r="AC2593" t="s">
        <v>6047</v>
      </c>
      <c r="AD2593" t="s">
        <v>6048</v>
      </c>
      <c r="AE2593" t="s">
        <v>2995</v>
      </c>
      <c r="AF2593">
        <v>8</v>
      </c>
    </row>
    <row r="2594" spans="1:32" x14ac:dyDescent="0.25">
      <c r="A2594" t="s">
        <v>33</v>
      </c>
      <c r="D2594" t="s">
        <v>2847</v>
      </c>
      <c r="E2594" t="s">
        <v>2848</v>
      </c>
      <c r="F2594" t="s">
        <v>87</v>
      </c>
      <c r="G2594" t="s">
        <v>6020</v>
      </c>
      <c r="H2594" t="s">
        <v>89</v>
      </c>
      <c r="I2594" t="s">
        <v>90</v>
      </c>
      <c r="J2594" t="s">
        <v>91</v>
      </c>
      <c r="K2594" t="s">
        <v>92</v>
      </c>
      <c r="L2594" t="s">
        <v>6021</v>
      </c>
      <c r="M2594" t="s">
        <v>94</v>
      </c>
      <c r="N2594" t="s">
        <v>6022</v>
      </c>
      <c r="O2594" t="s">
        <v>383</v>
      </c>
      <c r="P2594">
        <v>1E-3</v>
      </c>
      <c r="R2594" t="s">
        <v>6049</v>
      </c>
      <c r="S2594" t="s">
        <v>2854</v>
      </c>
      <c r="V2594" t="s">
        <v>2855</v>
      </c>
      <c r="W2594" t="s">
        <v>2856</v>
      </c>
      <c r="AD2594" t="s">
        <v>6050</v>
      </c>
    </row>
    <row r="2595" spans="1:32" x14ac:dyDescent="0.25">
      <c r="A2595" t="s">
        <v>33</v>
      </c>
      <c r="D2595" t="s">
        <v>2847</v>
      </c>
      <c r="E2595" t="s">
        <v>2848</v>
      </c>
      <c r="F2595" t="s">
        <v>87</v>
      </c>
      <c r="G2595" t="s">
        <v>6020</v>
      </c>
      <c r="H2595" t="s">
        <v>143</v>
      </c>
      <c r="I2595" t="s">
        <v>90</v>
      </c>
      <c r="J2595" t="s">
        <v>145</v>
      </c>
      <c r="K2595" t="s">
        <v>146</v>
      </c>
      <c r="L2595" t="s">
        <v>6021</v>
      </c>
      <c r="M2595" t="s">
        <v>1879</v>
      </c>
      <c r="N2595" t="s">
        <v>6022</v>
      </c>
      <c r="O2595" t="s">
        <v>380</v>
      </c>
      <c r="R2595" t="s">
        <v>6051</v>
      </c>
      <c r="S2595" t="s">
        <v>2854</v>
      </c>
      <c r="V2595" t="s">
        <v>2855</v>
      </c>
      <c r="W2595" t="s">
        <v>2856</v>
      </c>
      <c r="X2595" t="s">
        <v>1881</v>
      </c>
      <c r="AD2595" t="s">
        <v>6052</v>
      </c>
    </row>
    <row r="2596" spans="1:32" x14ac:dyDescent="0.25">
      <c r="A2596" t="s">
        <v>33</v>
      </c>
      <c r="D2596" t="s">
        <v>2847</v>
      </c>
      <c r="E2596" t="s">
        <v>2848</v>
      </c>
      <c r="F2596" t="s">
        <v>87</v>
      </c>
      <c r="G2596" t="s">
        <v>6020</v>
      </c>
      <c r="H2596" t="s">
        <v>143</v>
      </c>
      <c r="I2596" t="s">
        <v>90</v>
      </c>
      <c r="J2596" t="s">
        <v>145</v>
      </c>
      <c r="K2596" t="s">
        <v>262</v>
      </c>
      <c r="L2596" t="s">
        <v>6021</v>
      </c>
      <c r="M2596" t="s">
        <v>1879</v>
      </c>
      <c r="N2596" t="s">
        <v>6022</v>
      </c>
      <c r="O2596" t="s">
        <v>380</v>
      </c>
      <c r="R2596" t="s">
        <v>6053</v>
      </c>
      <c r="S2596" t="s">
        <v>2854</v>
      </c>
      <c r="V2596" t="s">
        <v>2855</v>
      </c>
      <c r="W2596" t="s">
        <v>2856</v>
      </c>
      <c r="X2596" t="s">
        <v>1881</v>
      </c>
      <c r="AD2596" t="s">
        <v>6052</v>
      </c>
    </row>
    <row r="2597" spans="1:32" x14ac:dyDescent="0.25">
      <c r="A2597" t="s">
        <v>33</v>
      </c>
      <c r="D2597" t="s">
        <v>2847</v>
      </c>
      <c r="E2597" t="s">
        <v>2848</v>
      </c>
      <c r="F2597" t="s">
        <v>87</v>
      </c>
      <c r="G2597" t="s">
        <v>6020</v>
      </c>
      <c r="H2597" t="s">
        <v>38</v>
      </c>
      <c r="I2597" t="s">
        <v>106</v>
      </c>
      <c r="J2597" t="s">
        <v>40</v>
      </c>
      <c r="K2597" t="s">
        <v>41</v>
      </c>
      <c r="L2597" t="s">
        <v>6021</v>
      </c>
      <c r="M2597" t="s">
        <v>1879</v>
      </c>
      <c r="N2597" t="s">
        <v>6022</v>
      </c>
      <c r="O2597" t="s">
        <v>109</v>
      </c>
      <c r="R2597" t="s">
        <v>6054</v>
      </c>
      <c r="S2597" t="s">
        <v>2854</v>
      </c>
      <c r="V2597" t="s">
        <v>2855</v>
      </c>
      <c r="W2597" t="s">
        <v>2856</v>
      </c>
      <c r="X2597" t="s">
        <v>1881</v>
      </c>
      <c r="AD2597" t="s">
        <v>6055</v>
      </c>
    </row>
    <row r="2598" spans="1:32" x14ac:dyDescent="0.25">
      <c r="A2598" t="s">
        <v>33</v>
      </c>
      <c r="D2598" t="s">
        <v>2847</v>
      </c>
      <c r="E2598" t="s">
        <v>2848</v>
      </c>
      <c r="F2598" t="s">
        <v>87</v>
      </c>
      <c r="G2598" t="s">
        <v>6020</v>
      </c>
      <c r="H2598" t="s">
        <v>38</v>
      </c>
      <c r="I2598" t="s">
        <v>25</v>
      </c>
      <c r="J2598" t="s">
        <v>69</v>
      </c>
      <c r="K2598" t="s">
        <v>41</v>
      </c>
      <c r="L2598" t="s">
        <v>6021</v>
      </c>
      <c r="M2598" t="s">
        <v>1879</v>
      </c>
      <c r="N2598" t="s">
        <v>6022</v>
      </c>
      <c r="O2598" t="s">
        <v>512</v>
      </c>
      <c r="R2598" t="s">
        <v>517</v>
      </c>
      <c r="S2598" t="s">
        <v>2854</v>
      </c>
      <c r="V2598" t="s">
        <v>2855</v>
      </c>
      <c r="W2598" t="s">
        <v>2856</v>
      </c>
      <c r="X2598" t="s">
        <v>1881</v>
      </c>
      <c r="AD2598" t="s">
        <v>6056</v>
      </c>
    </row>
    <row r="2599" spans="1:32" x14ac:dyDescent="0.25">
      <c r="A2599" t="s">
        <v>33</v>
      </c>
      <c r="D2599" t="s">
        <v>2847</v>
      </c>
      <c r="E2599" t="s">
        <v>2848</v>
      </c>
      <c r="F2599" t="s">
        <v>87</v>
      </c>
      <c r="G2599" t="s">
        <v>6020</v>
      </c>
      <c r="H2599" t="s">
        <v>38</v>
      </c>
      <c r="I2599" t="s">
        <v>24</v>
      </c>
      <c r="J2599" t="s">
        <v>69</v>
      </c>
      <c r="K2599" t="s">
        <v>41</v>
      </c>
      <c r="L2599" t="s">
        <v>6021</v>
      </c>
      <c r="M2599" t="s">
        <v>1879</v>
      </c>
      <c r="N2599" t="s">
        <v>6022</v>
      </c>
      <c r="O2599" t="s">
        <v>509</v>
      </c>
      <c r="R2599" t="s">
        <v>515</v>
      </c>
      <c r="S2599" t="s">
        <v>2854</v>
      </c>
      <c r="V2599" t="s">
        <v>2855</v>
      </c>
      <c r="W2599" t="s">
        <v>2856</v>
      </c>
      <c r="X2599" t="s">
        <v>1881</v>
      </c>
      <c r="AD2599" t="s">
        <v>6057</v>
      </c>
    </row>
    <row r="2600" spans="1:32" x14ac:dyDescent="0.25">
      <c r="A2600" t="s">
        <v>33</v>
      </c>
      <c r="D2600" t="s">
        <v>2847</v>
      </c>
      <c r="E2600" t="s">
        <v>2848</v>
      </c>
      <c r="F2600" t="s">
        <v>87</v>
      </c>
      <c r="G2600" t="s">
        <v>6058</v>
      </c>
      <c r="H2600" t="s">
        <v>153</v>
      </c>
      <c r="I2600" t="s">
        <v>144</v>
      </c>
      <c r="J2600" t="s">
        <v>154</v>
      </c>
      <c r="K2600" t="s">
        <v>155</v>
      </c>
      <c r="L2600" t="s">
        <v>6059</v>
      </c>
      <c r="N2600" t="s">
        <v>6060</v>
      </c>
      <c r="O2600" t="s">
        <v>156</v>
      </c>
      <c r="R2600" t="s">
        <v>6061</v>
      </c>
      <c r="S2600" t="s">
        <v>2854</v>
      </c>
      <c r="V2600" t="s">
        <v>2855</v>
      </c>
      <c r="W2600" t="s">
        <v>2856</v>
      </c>
      <c r="AD2600" t="s">
        <v>6062</v>
      </c>
    </row>
    <row r="2601" spans="1:32" x14ac:dyDescent="0.25">
      <c r="A2601" t="s">
        <v>33</v>
      </c>
      <c r="D2601" t="s">
        <v>2847</v>
      </c>
      <c r="E2601" t="s">
        <v>2848</v>
      </c>
      <c r="F2601" t="s">
        <v>87</v>
      </c>
      <c r="G2601" t="s">
        <v>6058</v>
      </c>
      <c r="H2601" t="s">
        <v>89</v>
      </c>
      <c r="I2601" t="s">
        <v>144</v>
      </c>
      <c r="J2601" t="s">
        <v>91</v>
      </c>
      <c r="K2601" t="s">
        <v>92</v>
      </c>
      <c r="L2601" t="s">
        <v>6059</v>
      </c>
      <c r="M2601" t="s">
        <v>94</v>
      </c>
      <c r="N2601" t="s">
        <v>6060</v>
      </c>
      <c r="O2601" t="s">
        <v>150</v>
      </c>
      <c r="P2601">
        <v>1E-3</v>
      </c>
      <c r="R2601" t="s">
        <v>6063</v>
      </c>
      <c r="S2601" t="s">
        <v>2854</v>
      </c>
      <c r="V2601" t="s">
        <v>2855</v>
      </c>
      <c r="W2601" t="s">
        <v>2856</v>
      </c>
      <c r="AD2601" t="s">
        <v>6064</v>
      </c>
    </row>
    <row r="2602" spans="1:32" x14ac:dyDescent="0.25">
      <c r="A2602" t="s">
        <v>33</v>
      </c>
      <c r="D2602" t="s">
        <v>2847</v>
      </c>
      <c r="E2602" t="s">
        <v>2848</v>
      </c>
      <c r="F2602" t="s">
        <v>87</v>
      </c>
      <c r="G2602" t="s">
        <v>6058</v>
      </c>
      <c r="H2602" t="s">
        <v>143</v>
      </c>
      <c r="I2602" t="s">
        <v>144</v>
      </c>
      <c r="J2602" t="s">
        <v>145</v>
      </c>
      <c r="K2602" t="s">
        <v>146</v>
      </c>
      <c r="L2602" t="s">
        <v>6059</v>
      </c>
      <c r="M2602" t="s">
        <v>5968</v>
      </c>
      <c r="N2602" t="s">
        <v>6060</v>
      </c>
      <c r="O2602" t="s">
        <v>147</v>
      </c>
      <c r="R2602" t="s">
        <v>6065</v>
      </c>
      <c r="S2602" t="s">
        <v>2854</v>
      </c>
      <c r="V2602" t="s">
        <v>2855</v>
      </c>
      <c r="W2602" t="s">
        <v>2856</v>
      </c>
      <c r="AD2602" t="s">
        <v>6066</v>
      </c>
    </row>
    <row r="2603" spans="1:32" x14ac:dyDescent="0.25">
      <c r="A2603" t="s">
        <v>33</v>
      </c>
      <c r="D2603" t="s">
        <v>2847</v>
      </c>
      <c r="E2603" t="s">
        <v>2848</v>
      </c>
      <c r="F2603" t="s">
        <v>87</v>
      </c>
      <c r="G2603" t="s">
        <v>6058</v>
      </c>
      <c r="H2603" t="s">
        <v>143</v>
      </c>
      <c r="I2603" t="s">
        <v>144</v>
      </c>
      <c r="J2603" t="s">
        <v>145</v>
      </c>
      <c r="K2603" t="s">
        <v>262</v>
      </c>
      <c r="L2603" t="s">
        <v>6059</v>
      </c>
      <c r="M2603" t="s">
        <v>5968</v>
      </c>
      <c r="N2603" t="s">
        <v>6060</v>
      </c>
      <c r="O2603" t="s">
        <v>147</v>
      </c>
      <c r="R2603" t="s">
        <v>6067</v>
      </c>
      <c r="S2603" t="s">
        <v>2854</v>
      </c>
      <c r="V2603" t="s">
        <v>2855</v>
      </c>
      <c r="W2603" t="s">
        <v>2856</v>
      </c>
      <c r="AD2603" t="s">
        <v>6066</v>
      </c>
    </row>
    <row r="2604" spans="1:32" x14ac:dyDescent="0.25">
      <c r="A2604" t="s">
        <v>33</v>
      </c>
      <c r="D2604" t="s">
        <v>2847</v>
      </c>
      <c r="E2604" t="s">
        <v>2848</v>
      </c>
      <c r="F2604" t="s">
        <v>87</v>
      </c>
      <c r="G2604" t="s">
        <v>6058</v>
      </c>
      <c r="H2604" t="s">
        <v>153</v>
      </c>
      <c r="I2604" t="s">
        <v>90</v>
      </c>
      <c r="J2604" t="s">
        <v>154</v>
      </c>
      <c r="K2604" t="s">
        <v>155</v>
      </c>
      <c r="L2604" t="s">
        <v>6059</v>
      </c>
      <c r="N2604" t="s">
        <v>6060</v>
      </c>
      <c r="O2604" t="s">
        <v>386</v>
      </c>
      <c r="R2604" t="s">
        <v>6068</v>
      </c>
      <c r="S2604" t="s">
        <v>2854</v>
      </c>
      <c r="V2604" t="s">
        <v>2855</v>
      </c>
      <c r="W2604" t="s">
        <v>2856</v>
      </c>
      <c r="AC2604" t="s">
        <v>6069</v>
      </c>
      <c r="AD2604" t="s">
        <v>6070</v>
      </c>
      <c r="AE2604" t="s">
        <v>2995</v>
      </c>
      <c r="AF2604">
        <v>9</v>
      </c>
    </row>
    <row r="2605" spans="1:32" x14ac:dyDescent="0.25">
      <c r="A2605" t="s">
        <v>33</v>
      </c>
      <c r="D2605" t="s">
        <v>2847</v>
      </c>
      <c r="E2605" t="s">
        <v>2848</v>
      </c>
      <c r="F2605" t="s">
        <v>87</v>
      </c>
      <c r="G2605" t="s">
        <v>6058</v>
      </c>
      <c r="H2605" t="s">
        <v>89</v>
      </c>
      <c r="I2605" t="s">
        <v>90</v>
      </c>
      <c r="J2605" t="s">
        <v>91</v>
      </c>
      <c r="K2605" t="s">
        <v>92</v>
      </c>
      <c r="L2605" t="s">
        <v>6059</v>
      </c>
      <c r="M2605" t="s">
        <v>94</v>
      </c>
      <c r="N2605" t="s">
        <v>6060</v>
      </c>
      <c r="O2605" t="s">
        <v>383</v>
      </c>
      <c r="P2605">
        <v>1E-3</v>
      </c>
      <c r="R2605" t="s">
        <v>6071</v>
      </c>
      <c r="S2605" t="s">
        <v>2854</v>
      </c>
      <c r="V2605" t="s">
        <v>2855</v>
      </c>
      <c r="W2605" t="s">
        <v>2856</v>
      </c>
      <c r="AD2605" t="s">
        <v>6072</v>
      </c>
    </row>
    <row r="2606" spans="1:32" x14ac:dyDescent="0.25">
      <c r="A2606" t="s">
        <v>33</v>
      </c>
      <c r="D2606" t="s">
        <v>2847</v>
      </c>
      <c r="E2606" t="s">
        <v>2848</v>
      </c>
      <c r="F2606" t="s">
        <v>87</v>
      </c>
      <c r="G2606" t="s">
        <v>6058</v>
      </c>
      <c r="H2606" t="s">
        <v>143</v>
      </c>
      <c r="I2606" t="s">
        <v>90</v>
      </c>
      <c r="J2606" t="s">
        <v>145</v>
      </c>
      <c r="K2606" t="s">
        <v>146</v>
      </c>
      <c r="L2606" t="s">
        <v>6059</v>
      </c>
      <c r="M2606" t="s">
        <v>5968</v>
      </c>
      <c r="N2606" t="s">
        <v>6060</v>
      </c>
      <c r="O2606" t="s">
        <v>380</v>
      </c>
      <c r="R2606" t="s">
        <v>6073</v>
      </c>
      <c r="S2606" t="s">
        <v>2854</v>
      </c>
      <c r="V2606" t="s">
        <v>2855</v>
      </c>
      <c r="W2606" t="s">
        <v>2856</v>
      </c>
      <c r="AD2606" t="s">
        <v>6074</v>
      </c>
    </row>
    <row r="2607" spans="1:32" x14ac:dyDescent="0.25">
      <c r="A2607" t="s">
        <v>33</v>
      </c>
      <c r="D2607" t="s">
        <v>2847</v>
      </c>
      <c r="E2607" t="s">
        <v>2848</v>
      </c>
      <c r="F2607" t="s">
        <v>87</v>
      </c>
      <c r="G2607" t="s">
        <v>6058</v>
      </c>
      <c r="H2607" t="s">
        <v>143</v>
      </c>
      <c r="I2607" t="s">
        <v>90</v>
      </c>
      <c r="J2607" t="s">
        <v>145</v>
      </c>
      <c r="K2607" t="s">
        <v>262</v>
      </c>
      <c r="L2607" t="s">
        <v>6059</v>
      </c>
      <c r="M2607" t="s">
        <v>5968</v>
      </c>
      <c r="N2607" t="s">
        <v>6060</v>
      </c>
      <c r="O2607" t="s">
        <v>380</v>
      </c>
      <c r="R2607" t="s">
        <v>6075</v>
      </c>
      <c r="S2607" t="s">
        <v>2854</v>
      </c>
      <c r="V2607" t="s">
        <v>2855</v>
      </c>
      <c r="W2607" t="s">
        <v>2856</v>
      </c>
      <c r="AD2607" t="s">
        <v>6074</v>
      </c>
    </row>
    <row r="2608" spans="1:32" x14ac:dyDescent="0.25">
      <c r="A2608" t="s">
        <v>33</v>
      </c>
      <c r="D2608" t="s">
        <v>2847</v>
      </c>
      <c r="E2608" t="s">
        <v>2848</v>
      </c>
      <c r="F2608" t="s">
        <v>87</v>
      </c>
      <c r="G2608" t="s">
        <v>6058</v>
      </c>
      <c r="H2608" t="s">
        <v>38</v>
      </c>
      <c r="I2608" t="s">
        <v>106</v>
      </c>
      <c r="J2608" t="s">
        <v>40</v>
      </c>
      <c r="K2608" t="s">
        <v>41</v>
      </c>
      <c r="L2608" t="s">
        <v>6059</v>
      </c>
      <c r="M2608" t="s">
        <v>5968</v>
      </c>
      <c r="N2608" t="s">
        <v>6060</v>
      </c>
      <c r="O2608" t="s">
        <v>109</v>
      </c>
      <c r="R2608" t="s">
        <v>6076</v>
      </c>
      <c r="S2608" t="s">
        <v>2854</v>
      </c>
      <c r="V2608" t="s">
        <v>2855</v>
      </c>
      <c r="W2608" t="s">
        <v>2856</v>
      </c>
      <c r="AD2608" t="s">
        <v>6077</v>
      </c>
    </row>
    <row r="2609" spans="1:32" x14ac:dyDescent="0.25">
      <c r="A2609" t="s">
        <v>33</v>
      </c>
      <c r="D2609" t="s">
        <v>2847</v>
      </c>
      <c r="E2609" t="s">
        <v>2848</v>
      </c>
      <c r="F2609" t="s">
        <v>87</v>
      </c>
      <c r="G2609" t="s">
        <v>6058</v>
      </c>
      <c r="H2609" t="s">
        <v>38</v>
      </c>
      <c r="I2609" t="s">
        <v>25</v>
      </c>
      <c r="J2609" t="s">
        <v>69</v>
      </c>
      <c r="K2609" t="s">
        <v>41</v>
      </c>
      <c r="L2609" t="s">
        <v>6059</v>
      </c>
      <c r="M2609" t="s">
        <v>5968</v>
      </c>
      <c r="N2609" t="s">
        <v>6060</v>
      </c>
      <c r="O2609" t="s">
        <v>512</v>
      </c>
      <c r="R2609" t="s">
        <v>991</v>
      </c>
      <c r="S2609" t="s">
        <v>2854</v>
      </c>
      <c r="V2609" t="s">
        <v>2855</v>
      </c>
      <c r="W2609" t="s">
        <v>2856</v>
      </c>
      <c r="AD2609" t="s">
        <v>6078</v>
      </c>
    </row>
    <row r="2610" spans="1:32" x14ac:dyDescent="0.25">
      <c r="A2610" t="s">
        <v>33</v>
      </c>
      <c r="D2610" t="s">
        <v>2847</v>
      </c>
      <c r="E2610" t="s">
        <v>2848</v>
      </c>
      <c r="F2610" t="s">
        <v>87</v>
      </c>
      <c r="G2610" t="s">
        <v>6058</v>
      </c>
      <c r="H2610" t="s">
        <v>38</v>
      </c>
      <c r="I2610" t="s">
        <v>24</v>
      </c>
      <c r="J2610" t="s">
        <v>69</v>
      </c>
      <c r="K2610" t="s">
        <v>41</v>
      </c>
      <c r="L2610" t="s">
        <v>6059</v>
      </c>
      <c r="M2610" t="s">
        <v>5968</v>
      </c>
      <c r="N2610" t="s">
        <v>6060</v>
      </c>
      <c r="O2610" t="s">
        <v>509</v>
      </c>
      <c r="R2610" t="s">
        <v>993</v>
      </c>
      <c r="S2610" t="s">
        <v>2854</v>
      </c>
      <c r="V2610" t="s">
        <v>2855</v>
      </c>
      <c r="W2610" t="s">
        <v>2856</v>
      </c>
      <c r="AD2610" t="s">
        <v>6079</v>
      </c>
    </row>
    <row r="2611" spans="1:32" x14ac:dyDescent="0.25">
      <c r="A2611" t="s">
        <v>33</v>
      </c>
      <c r="D2611" t="s">
        <v>2847</v>
      </c>
      <c r="E2611" t="s">
        <v>2848</v>
      </c>
      <c r="F2611" t="s">
        <v>87</v>
      </c>
      <c r="G2611" t="s">
        <v>6080</v>
      </c>
      <c r="H2611" t="s">
        <v>153</v>
      </c>
      <c r="I2611" t="s">
        <v>144</v>
      </c>
      <c r="J2611" t="s">
        <v>154</v>
      </c>
      <c r="K2611" t="s">
        <v>155</v>
      </c>
      <c r="L2611" t="s">
        <v>6081</v>
      </c>
      <c r="N2611" t="s">
        <v>6082</v>
      </c>
      <c r="O2611" t="s">
        <v>156</v>
      </c>
      <c r="R2611" t="s">
        <v>6083</v>
      </c>
      <c r="S2611" t="s">
        <v>2854</v>
      </c>
      <c r="V2611" t="s">
        <v>2855</v>
      </c>
      <c r="W2611" t="s">
        <v>2856</v>
      </c>
      <c r="AD2611" t="s">
        <v>6084</v>
      </c>
    </row>
    <row r="2612" spans="1:32" x14ac:dyDescent="0.25">
      <c r="A2612" t="s">
        <v>33</v>
      </c>
      <c r="D2612" t="s">
        <v>2847</v>
      </c>
      <c r="E2612" t="s">
        <v>2848</v>
      </c>
      <c r="F2612" t="s">
        <v>87</v>
      </c>
      <c r="G2612" t="s">
        <v>6080</v>
      </c>
      <c r="H2612" t="s">
        <v>89</v>
      </c>
      <c r="I2612" t="s">
        <v>144</v>
      </c>
      <c r="J2612" t="s">
        <v>91</v>
      </c>
      <c r="K2612" t="s">
        <v>92</v>
      </c>
      <c r="L2612" t="s">
        <v>6081</v>
      </c>
      <c r="M2612" t="s">
        <v>94</v>
      </c>
      <c r="N2612" t="s">
        <v>6082</v>
      </c>
      <c r="O2612" t="s">
        <v>150</v>
      </c>
      <c r="P2612">
        <v>1E-3</v>
      </c>
      <c r="R2612" t="s">
        <v>6085</v>
      </c>
      <c r="S2612" t="s">
        <v>2854</v>
      </c>
      <c r="V2612" t="s">
        <v>2855</v>
      </c>
      <c r="W2612" t="s">
        <v>2856</v>
      </c>
      <c r="AD2612" t="s">
        <v>6086</v>
      </c>
    </row>
    <row r="2613" spans="1:32" x14ac:dyDescent="0.25">
      <c r="A2613" t="s">
        <v>33</v>
      </c>
      <c r="D2613" t="s">
        <v>2847</v>
      </c>
      <c r="E2613" t="s">
        <v>2848</v>
      </c>
      <c r="F2613" t="s">
        <v>87</v>
      </c>
      <c r="G2613" t="s">
        <v>6080</v>
      </c>
      <c r="H2613" t="s">
        <v>143</v>
      </c>
      <c r="I2613" t="s">
        <v>144</v>
      </c>
      <c r="J2613" t="s">
        <v>145</v>
      </c>
      <c r="K2613" t="s">
        <v>146</v>
      </c>
      <c r="L2613" t="s">
        <v>6081</v>
      </c>
      <c r="M2613" t="s">
        <v>1879</v>
      </c>
      <c r="N2613" t="s">
        <v>6082</v>
      </c>
      <c r="O2613" t="s">
        <v>147</v>
      </c>
      <c r="R2613" t="s">
        <v>6087</v>
      </c>
      <c r="S2613" t="s">
        <v>2854</v>
      </c>
      <c r="V2613" t="s">
        <v>2855</v>
      </c>
      <c r="W2613" t="s">
        <v>2856</v>
      </c>
      <c r="X2613" t="s">
        <v>1881</v>
      </c>
      <c r="AD2613" t="s">
        <v>6088</v>
      </c>
    </row>
    <row r="2614" spans="1:32" x14ac:dyDescent="0.25">
      <c r="A2614" t="s">
        <v>33</v>
      </c>
      <c r="D2614" t="s">
        <v>2847</v>
      </c>
      <c r="E2614" t="s">
        <v>2848</v>
      </c>
      <c r="F2614" t="s">
        <v>87</v>
      </c>
      <c r="G2614" t="s">
        <v>6080</v>
      </c>
      <c r="H2614" t="s">
        <v>143</v>
      </c>
      <c r="I2614" t="s">
        <v>144</v>
      </c>
      <c r="J2614" t="s">
        <v>145</v>
      </c>
      <c r="K2614" t="s">
        <v>262</v>
      </c>
      <c r="L2614" t="s">
        <v>6081</v>
      </c>
      <c r="M2614" t="s">
        <v>1879</v>
      </c>
      <c r="N2614" t="s">
        <v>6082</v>
      </c>
      <c r="O2614" t="s">
        <v>147</v>
      </c>
      <c r="R2614" t="s">
        <v>6089</v>
      </c>
      <c r="S2614" t="s">
        <v>2854</v>
      </c>
      <c r="V2614" t="s">
        <v>2855</v>
      </c>
      <c r="W2614" t="s">
        <v>2856</v>
      </c>
      <c r="X2614" t="s">
        <v>1881</v>
      </c>
      <c r="AD2614" t="s">
        <v>6088</v>
      </c>
    </row>
    <row r="2615" spans="1:32" x14ac:dyDescent="0.25">
      <c r="A2615" t="s">
        <v>33</v>
      </c>
      <c r="D2615" t="s">
        <v>2847</v>
      </c>
      <c r="E2615" t="s">
        <v>2848</v>
      </c>
      <c r="F2615" t="s">
        <v>87</v>
      </c>
      <c r="G2615" t="s">
        <v>6080</v>
      </c>
      <c r="H2615" t="s">
        <v>153</v>
      </c>
      <c r="I2615" t="s">
        <v>90</v>
      </c>
      <c r="J2615" t="s">
        <v>154</v>
      </c>
      <c r="K2615" t="s">
        <v>155</v>
      </c>
      <c r="L2615" t="s">
        <v>6081</v>
      </c>
      <c r="N2615" t="s">
        <v>6082</v>
      </c>
      <c r="O2615" t="s">
        <v>386</v>
      </c>
      <c r="R2615" t="s">
        <v>6090</v>
      </c>
      <c r="S2615" t="s">
        <v>2854</v>
      </c>
      <c r="V2615" t="s">
        <v>2855</v>
      </c>
      <c r="W2615" t="s">
        <v>2856</v>
      </c>
      <c r="AC2615" t="s">
        <v>6091</v>
      </c>
      <c r="AD2615" t="s">
        <v>6092</v>
      </c>
      <c r="AE2615" t="s">
        <v>2995</v>
      </c>
      <c r="AF2615">
        <v>10</v>
      </c>
    </row>
    <row r="2616" spans="1:32" x14ac:dyDescent="0.25">
      <c r="A2616" t="s">
        <v>33</v>
      </c>
      <c r="D2616" t="s">
        <v>2847</v>
      </c>
      <c r="E2616" t="s">
        <v>2848</v>
      </c>
      <c r="F2616" t="s">
        <v>87</v>
      </c>
      <c r="G2616" t="s">
        <v>6080</v>
      </c>
      <c r="H2616" t="s">
        <v>89</v>
      </c>
      <c r="I2616" t="s">
        <v>90</v>
      </c>
      <c r="J2616" t="s">
        <v>91</v>
      </c>
      <c r="K2616" t="s">
        <v>92</v>
      </c>
      <c r="L2616" t="s">
        <v>6081</v>
      </c>
      <c r="M2616" t="s">
        <v>94</v>
      </c>
      <c r="N2616" t="s">
        <v>6082</v>
      </c>
      <c r="O2616" t="s">
        <v>383</v>
      </c>
      <c r="P2616">
        <v>1E-3</v>
      </c>
      <c r="R2616" t="s">
        <v>6093</v>
      </c>
      <c r="S2616" t="s">
        <v>2854</v>
      </c>
      <c r="V2616" t="s">
        <v>2855</v>
      </c>
      <c r="W2616" t="s">
        <v>2856</v>
      </c>
      <c r="AD2616" t="s">
        <v>6094</v>
      </c>
    </row>
    <row r="2617" spans="1:32" x14ac:dyDescent="0.25">
      <c r="A2617" t="s">
        <v>33</v>
      </c>
      <c r="D2617" t="s">
        <v>2847</v>
      </c>
      <c r="E2617" t="s">
        <v>2848</v>
      </c>
      <c r="F2617" t="s">
        <v>87</v>
      </c>
      <c r="G2617" t="s">
        <v>6080</v>
      </c>
      <c r="H2617" t="s">
        <v>143</v>
      </c>
      <c r="I2617" t="s">
        <v>90</v>
      </c>
      <c r="J2617" t="s">
        <v>145</v>
      </c>
      <c r="K2617" t="s">
        <v>146</v>
      </c>
      <c r="L2617" t="s">
        <v>6081</v>
      </c>
      <c r="M2617" t="s">
        <v>1879</v>
      </c>
      <c r="N2617" t="s">
        <v>6082</v>
      </c>
      <c r="O2617" t="s">
        <v>380</v>
      </c>
      <c r="R2617" t="s">
        <v>6095</v>
      </c>
      <c r="S2617" t="s">
        <v>2854</v>
      </c>
      <c r="V2617" t="s">
        <v>2855</v>
      </c>
      <c r="W2617" t="s">
        <v>2856</v>
      </c>
      <c r="X2617" t="s">
        <v>1881</v>
      </c>
      <c r="AD2617" t="s">
        <v>6096</v>
      </c>
    </row>
    <row r="2618" spans="1:32" x14ac:dyDescent="0.25">
      <c r="A2618" t="s">
        <v>33</v>
      </c>
      <c r="D2618" t="s">
        <v>2847</v>
      </c>
      <c r="E2618" t="s">
        <v>2848</v>
      </c>
      <c r="F2618" t="s">
        <v>87</v>
      </c>
      <c r="G2618" t="s">
        <v>6080</v>
      </c>
      <c r="H2618" t="s">
        <v>143</v>
      </c>
      <c r="I2618" t="s">
        <v>90</v>
      </c>
      <c r="J2618" t="s">
        <v>145</v>
      </c>
      <c r="K2618" t="s">
        <v>262</v>
      </c>
      <c r="L2618" t="s">
        <v>6081</v>
      </c>
      <c r="M2618" t="s">
        <v>1879</v>
      </c>
      <c r="N2618" t="s">
        <v>6082</v>
      </c>
      <c r="O2618" t="s">
        <v>380</v>
      </c>
      <c r="R2618" t="s">
        <v>6097</v>
      </c>
      <c r="S2618" t="s">
        <v>2854</v>
      </c>
      <c r="V2618" t="s">
        <v>2855</v>
      </c>
      <c r="W2618" t="s">
        <v>2856</v>
      </c>
      <c r="X2618" t="s">
        <v>1881</v>
      </c>
      <c r="AD2618" t="s">
        <v>6096</v>
      </c>
    </row>
    <row r="2619" spans="1:32" x14ac:dyDescent="0.25">
      <c r="A2619" t="s">
        <v>33</v>
      </c>
      <c r="D2619" t="s">
        <v>2847</v>
      </c>
      <c r="E2619" t="s">
        <v>2848</v>
      </c>
      <c r="F2619" t="s">
        <v>87</v>
      </c>
      <c r="G2619" t="s">
        <v>6080</v>
      </c>
      <c r="H2619" t="s">
        <v>38</v>
      </c>
      <c r="I2619" t="s">
        <v>106</v>
      </c>
      <c r="J2619" t="s">
        <v>40</v>
      </c>
      <c r="K2619" t="s">
        <v>41</v>
      </c>
      <c r="L2619" t="s">
        <v>6081</v>
      </c>
      <c r="M2619" t="s">
        <v>1879</v>
      </c>
      <c r="N2619" t="s">
        <v>6082</v>
      </c>
      <c r="O2619" t="s">
        <v>109</v>
      </c>
      <c r="R2619" t="s">
        <v>6098</v>
      </c>
      <c r="S2619" t="s">
        <v>2854</v>
      </c>
      <c r="V2619" t="s">
        <v>2855</v>
      </c>
      <c r="W2619" t="s">
        <v>2856</v>
      </c>
      <c r="X2619" t="s">
        <v>1881</v>
      </c>
      <c r="AD2619" t="s">
        <v>6099</v>
      </c>
    </row>
    <row r="2620" spans="1:32" x14ac:dyDescent="0.25">
      <c r="A2620" t="s">
        <v>33</v>
      </c>
      <c r="D2620" t="s">
        <v>2847</v>
      </c>
      <c r="E2620" t="s">
        <v>2848</v>
      </c>
      <c r="F2620" t="s">
        <v>87</v>
      </c>
      <c r="G2620" t="s">
        <v>6080</v>
      </c>
      <c r="H2620" t="s">
        <v>38</v>
      </c>
      <c r="I2620" t="s">
        <v>25</v>
      </c>
      <c r="J2620" t="s">
        <v>69</v>
      </c>
      <c r="K2620" t="s">
        <v>41</v>
      </c>
      <c r="L2620" t="s">
        <v>6081</v>
      </c>
      <c r="M2620" t="s">
        <v>1879</v>
      </c>
      <c r="N2620" t="s">
        <v>6082</v>
      </c>
      <c r="O2620" t="s">
        <v>512</v>
      </c>
      <c r="R2620" t="s">
        <v>521</v>
      </c>
      <c r="S2620" t="s">
        <v>2854</v>
      </c>
      <c r="V2620" t="s">
        <v>2855</v>
      </c>
      <c r="W2620" t="s">
        <v>2856</v>
      </c>
      <c r="X2620" t="s">
        <v>1881</v>
      </c>
      <c r="AD2620" t="s">
        <v>6100</v>
      </c>
    </row>
    <row r="2621" spans="1:32" x14ac:dyDescent="0.25">
      <c r="A2621" t="s">
        <v>33</v>
      </c>
      <c r="D2621" t="s">
        <v>2847</v>
      </c>
      <c r="E2621" t="s">
        <v>2848</v>
      </c>
      <c r="F2621" t="s">
        <v>87</v>
      </c>
      <c r="G2621" t="s">
        <v>6080</v>
      </c>
      <c r="H2621" t="s">
        <v>38</v>
      </c>
      <c r="I2621" t="s">
        <v>24</v>
      </c>
      <c r="J2621" t="s">
        <v>69</v>
      </c>
      <c r="K2621" t="s">
        <v>41</v>
      </c>
      <c r="L2621" t="s">
        <v>6081</v>
      </c>
      <c r="M2621" t="s">
        <v>1879</v>
      </c>
      <c r="N2621" t="s">
        <v>6082</v>
      </c>
      <c r="O2621" t="s">
        <v>509</v>
      </c>
      <c r="R2621" t="s">
        <v>519</v>
      </c>
      <c r="S2621" t="s">
        <v>2854</v>
      </c>
      <c r="V2621" t="s">
        <v>2855</v>
      </c>
      <c r="W2621" t="s">
        <v>2856</v>
      </c>
      <c r="X2621" t="s">
        <v>1881</v>
      </c>
      <c r="AD2621" t="s">
        <v>6101</v>
      </c>
    </row>
    <row r="2622" spans="1:32" x14ac:dyDescent="0.25">
      <c r="A2622" t="s">
        <v>33</v>
      </c>
      <c r="D2622" t="s">
        <v>2847</v>
      </c>
      <c r="E2622" t="s">
        <v>2848</v>
      </c>
      <c r="F2622" t="s">
        <v>87</v>
      </c>
      <c r="G2622" t="s">
        <v>6102</v>
      </c>
      <c r="H2622" t="s">
        <v>153</v>
      </c>
      <c r="I2622" t="s">
        <v>144</v>
      </c>
      <c r="J2622" t="s">
        <v>154</v>
      </c>
      <c r="K2622" t="s">
        <v>155</v>
      </c>
      <c r="L2622" t="s">
        <v>6103</v>
      </c>
      <c r="N2622" t="s">
        <v>6104</v>
      </c>
      <c r="O2622" t="s">
        <v>156</v>
      </c>
      <c r="R2622" t="s">
        <v>6105</v>
      </c>
      <c r="S2622" t="s">
        <v>2854</v>
      </c>
      <c r="V2622" t="s">
        <v>2855</v>
      </c>
      <c r="W2622" t="s">
        <v>2856</v>
      </c>
      <c r="AD2622" t="s">
        <v>6106</v>
      </c>
    </row>
    <row r="2623" spans="1:32" x14ac:dyDescent="0.25">
      <c r="A2623" t="s">
        <v>33</v>
      </c>
      <c r="D2623" t="s">
        <v>2847</v>
      </c>
      <c r="E2623" t="s">
        <v>2848</v>
      </c>
      <c r="F2623" t="s">
        <v>87</v>
      </c>
      <c r="G2623" t="s">
        <v>6102</v>
      </c>
      <c r="H2623" t="s">
        <v>89</v>
      </c>
      <c r="I2623" t="s">
        <v>144</v>
      </c>
      <c r="J2623" t="s">
        <v>91</v>
      </c>
      <c r="K2623" t="s">
        <v>92</v>
      </c>
      <c r="L2623" t="s">
        <v>6103</v>
      </c>
      <c r="M2623" t="s">
        <v>94</v>
      </c>
      <c r="N2623" t="s">
        <v>6104</v>
      </c>
      <c r="O2623" t="s">
        <v>150</v>
      </c>
      <c r="P2623">
        <v>1E-3</v>
      </c>
      <c r="R2623" t="s">
        <v>6107</v>
      </c>
      <c r="S2623" t="s">
        <v>2854</v>
      </c>
      <c r="V2623" t="s">
        <v>2855</v>
      </c>
      <c r="W2623" t="s">
        <v>2856</v>
      </c>
      <c r="AD2623" t="s">
        <v>6108</v>
      </c>
    </row>
    <row r="2624" spans="1:32" x14ac:dyDescent="0.25">
      <c r="A2624" t="s">
        <v>33</v>
      </c>
      <c r="D2624" t="s">
        <v>2847</v>
      </c>
      <c r="E2624" t="s">
        <v>2848</v>
      </c>
      <c r="F2624" t="s">
        <v>87</v>
      </c>
      <c r="G2624" t="s">
        <v>6102</v>
      </c>
      <c r="H2624" t="s">
        <v>143</v>
      </c>
      <c r="I2624" t="s">
        <v>144</v>
      </c>
      <c r="J2624" t="s">
        <v>145</v>
      </c>
      <c r="K2624" t="s">
        <v>146</v>
      </c>
      <c r="L2624" t="s">
        <v>6103</v>
      </c>
      <c r="M2624" t="s">
        <v>5968</v>
      </c>
      <c r="N2624" t="s">
        <v>6104</v>
      </c>
      <c r="O2624" t="s">
        <v>147</v>
      </c>
      <c r="R2624" t="s">
        <v>6109</v>
      </c>
      <c r="S2624" t="s">
        <v>2854</v>
      </c>
      <c r="V2624" t="s">
        <v>2855</v>
      </c>
      <c r="W2624" t="s">
        <v>2856</v>
      </c>
      <c r="AD2624" t="s">
        <v>6110</v>
      </c>
    </row>
    <row r="2625" spans="1:32" x14ac:dyDescent="0.25">
      <c r="A2625" t="s">
        <v>33</v>
      </c>
      <c r="D2625" t="s">
        <v>2847</v>
      </c>
      <c r="E2625" t="s">
        <v>2848</v>
      </c>
      <c r="F2625" t="s">
        <v>87</v>
      </c>
      <c r="G2625" t="s">
        <v>6102</v>
      </c>
      <c r="H2625" t="s">
        <v>143</v>
      </c>
      <c r="I2625" t="s">
        <v>144</v>
      </c>
      <c r="J2625" t="s">
        <v>145</v>
      </c>
      <c r="K2625" t="s">
        <v>262</v>
      </c>
      <c r="L2625" t="s">
        <v>6103</v>
      </c>
      <c r="M2625" t="s">
        <v>5968</v>
      </c>
      <c r="N2625" t="s">
        <v>6104</v>
      </c>
      <c r="O2625" t="s">
        <v>147</v>
      </c>
      <c r="R2625" t="s">
        <v>6111</v>
      </c>
      <c r="S2625" t="s">
        <v>2854</v>
      </c>
      <c r="V2625" t="s">
        <v>2855</v>
      </c>
      <c r="W2625" t="s">
        <v>2856</v>
      </c>
      <c r="AD2625" t="s">
        <v>6110</v>
      </c>
    </row>
    <row r="2626" spans="1:32" x14ac:dyDescent="0.25">
      <c r="A2626" t="s">
        <v>33</v>
      </c>
      <c r="D2626" t="s">
        <v>2847</v>
      </c>
      <c r="E2626" t="s">
        <v>2848</v>
      </c>
      <c r="F2626" t="s">
        <v>87</v>
      </c>
      <c r="G2626" t="s">
        <v>6102</v>
      </c>
      <c r="H2626" t="s">
        <v>153</v>
      </c>
      <c r="I2626" t="s">
        <v>90</v>
      </c>
      <c r="J2626" t="s">
        <v>154</v>
      </c>
      <c r="K2626" t="s">
        <v>155</v>
      </c>
      <c r="L2626" t="s">
        <v>6103</v>
      </c>
      <c r="N2626" t="s">
        <v>6104</v>
      </c>
      <c r="O2626" t="s">
        <v>386</v>
      </c>
      <c r="R2626" t="s">
        <v>6112</v>
      </c>
      <c r="S2626" t="s">
        <v>2854</v>
      </c>
      <c r="V2626" t="s">
        <v>2855</v>
      </c>
      <c r="W2626" t="s">
        <v>2856</v>
      </c>
      <c r="AC2626" t="s">
        <v>6113</v>
      </c>
      <c r="AD2626" t="s">
        <v>6114</v>
      </c>
      <c r="AE2626" t="s">
        <v>3034</v>
      </c>
      <c r="AF2626">
        <v>8</v>
      </c>
    </row>
    <row r="2627" spans="1:32" x14ac:dyDescent="0.25">
      <c r="A2627" t="s">
        <v>33</v>
      </c>
      <c r="D2627" t="s">
        <v>2847</v>
      </c>
      <c r="E2627" t="s">
        <v>2848</v>
      </c>
      <c r="F2627" t="s">
        <v>87</v>
      </c>
      <c r="G2627" t="s">
        <v>6102</v>
      </c>
      <c r="H2627" t="s">
        <v>89</v>
      </c>
      <c r="I2627" t="s">
        <v>90</v>
      </c>
      <c r="J2627" t="s">
        <v>91</v>
      </c>
      <c r="K2627" t="s">
        <v>92</v>
      </c>
      <c r="L2627" t="s">
        <v>6103</v>
      </c>
      <c r="M2627" t="s">
        <v>94</v>
      </c>
      <c r="N2627" t="s">
        <v>6104</v>
      </c>
      <c r="O2627" t="s">
        <v>383</v>
      </c>
      <c r="P2627">
        <v>1E-3</v>
      </c>
      <c r="R2627" t="s">
        <v>6115</v>
      </c>
      <c r="S2627" t="s">
        <v>2854</v>
      </c>
      <c r="V2627" t="s">
        <v>2855</v>
      </c>
      <c r="W2627" t="s">
        <v>2856</v>
      </c>
      <c r="AD2627" t="s">
        <v>6116</v>
      </c>
    </row>
    <row r="2628" spans="1:32" x14ac:dyDescent="0.25">
      <c r="A2628" t="s">
        <v>33</v>
      </c>
      <c r="D2628" t="s">
        <v>2847</v>
      </c>
      <c r="E2628" t="s">
        <v>2848</v>
      </c>
      <c r="F2628" t="s">
        <v>87</v>
      </c>
      <c r="G2628" t="s">
        <v>6102</v>
      </c>
      <c r="H2628" t="s">
        <v>143</v>
      </c>
      <c r="I2628" t="s">
        <v>90</v>
      </c>
      <c r="J2628" t="s">
        <v>145</v>
      </c>
      <c r="K2628" t="s">
        <v>146</v>
      </c>
      <c r="L2628" t="s">
        <v>6103</v>
      </c>
      <c r="M2628" t="s">
        <v>5968</v>
      </c>
      <c r="N2628" t="s">
        <v>6104</v>
      </c>
      <c r="O2628" t="s">
        <v>380</v>
      </c>
      <c r="R2628" t="s">
        <v>6117</v>
      </c>
      <c r="S2628" t="s">
        <v>2854</v>
      </c>
      <c r="V2628" t="s">
        <v>2855</v>
      </c>
      <c r="W2628" t="s">
        <v>2856</v>
      </c>
      <c r="AD2628" t="s">
        <v>6118</v>
      </c>
    </row>
    <row r="2629" spans="1:32" x14ac:dyDescent="0.25">
      <c r="A2629" t="s">
        <v>33</v>
      </c>
      <c r="D2629" t="s">
        <v>2847</v>
      </c>
      <c r="E2629" t="s">
        <v>2848</v>
      </c>
      <c r="F2629" t="s">
        <v>87</v>
      </c>
      <c r="G2629" t="s">
        <v>6102</v>
      </c>
      <c r="H2629" t="s">
        <v>143</v>
      </c>
      <c r="I2629" t="s">
        <v>90</v>
      </c>
      <c r="J2629" t="s">
        <v>145</v>
      </c>
      <c r="K2629" t="s">
        <v>262</v>
      </c>
      <c r="L2629" t="s">
        <v>6103</v>
      </c>
      <c r="M2629" t="s">
        <v>5968</v>
      </c>
      <c r="N2629" t="s">
        <v>6104</v>
      </c>
      <c r="O2629" t="s">
        <v>380</v>
      </c>
      <c r="R2629" t="s">
        <v>6119</v>
      </c>
      <c r="S2629" t="s">
        <v>2854</v>
      </c>
      <c r="V2629" t="s">
        <v>2855</v>
      </c>
      <c r="W2629" t="s">
        <v>2856</v>
      </c>
      <c r="AD2629" t="s">
        <v>6118</v>
      </c>
    </row>
    <row r="2630" spans="1:32" x14ac:dyDescent="0.25">
      <c r="A2630" t="s">
        <v>33</v>
      </c>
      <c r="D2630" t="s">
        <v>2847</v>
      </c>
      <c r="E2630" t="s">
        <v>2848</v>
      </c>
      <c r="F2630" t="s">
        <v>87</v>
      </c>
      <c r="G2630" t="s">
        <v>6102</v>
      </c>
      <c r="H2630" t="s">
        <v>38</v>
      </c>
      <c r="I2630" t="s">
        <v>106</v>
      </c>
      <c r="J2630" t="s">
        <v>40</v>
      </c>
      <c r="K2630" t="s">
        <v>41</v>
      </c>
      <c r="L2630" t="s">
        <v>6103</v>
      </c>
      <c r="M2630" t="s">
        <v>5968</v>
      </c>
      <c r="N2630" t="s">
        <v>6104</v>
      </c>
      <c r="O2630" t="s">
        <v>109</v>
      </c>
      <c r="R2630" t="s">
        <v>6120</v>
      </c>
      <c r="S2630" t="s">
        <v>2854</v>
      </c>
      <c r="V2630" t="s">
        <v>2855</v>
      </c>
      <c r="W2630" t="s">
        <v>2856</v>
      </c>
      <c r="AD2630" t="s">
        <v>6121</v>
      </c>
    </row>
    <row r="2631" spans="1:32" x14ac:dyDescent="0.25">
      <c r="A2631" t="s">
        <v>33</v>
      </c>
      <c r="D2631" t="s">
        <v>2847</v>
      </c>
      <c r="E2631" t="s">
        <v>2848</v>
      </c>
      <c r="F2631" t="s">
        <v>87</v>
      </c>
      <c r="G2631" t="s">
        <v>6102</v>
      </c>
      <c r="H2631" t="s">
        <v>38</v>
      </c>
      <c r="I2631" t="s">
        <v>25</v>
      </c>
      <c r="J2631" t="s">
        <v>69</v>
      </c>
      <c r="K2631" t="s">
        <v>41</v>
      </c>
      <c r="L2631" t="s">
        <v>6103</v>
      </c>
      <c r="M2631" t="s">
        <v>5968</v>
      </c>
      <c r="N2631" t="s">
        <v>6104</v>
      </c>
      <c r="O2631" t="s">
        <v>512</v>
      </c>
      <c r="R2631" t="s">
        <v>1863</v>
      </c>
      <c r="S2631" t="s">
        <v>2854</v>
      </c>
      <c r="V2631" t="s">
        <v>2855</v>
      </c>
      <c r="W2631" t="s">
        <v>2856</v>
      </c>
      <c r="AD2631" t="s">
        <v>6122</v>
      </c>
    </row>
    <row r="2632" spans="1:32" x14ac:dyDescent="0.25">
      <c r="A2632" t="s">
        <v>33</v>
      </c>
      <c r="D2632" t="s">
        <v>2847</v>
      </c>
      <c r="E2632" t="s">
        <v>2848</v>
      </c>
      <c r="F2632" t="s">
        <v>87</v>
      </c>
      <c r="G2632" t="s">
        <v>6102</v>
      </c>
      <c r="H2632" t="s">
        <v>38</v>
      </c>
      <c r="I2632" t="s">
        <v>24</v>
      </c>
      <c r="J2632" t="s">
        <v>69</v>
      </c>
      <c r="K2632" t="s">
        <v>41</v>
      </c>
      <c r="L2632" t="s">
        <v>6103</v>
      </c>
      <c r="M2632" t="s">
        <v>5968</v>
      </c>
      <c r="N2632" t="s">
        <v>6104</v>
      </c>
      <c r="O2632" t="s">
        <v>509</v>
      </c>
      <c r="R2632" t="s">
        <v>1865</v>
      </c>
      <c r="S2632" t="s">
        <v>2854</v>
      </c>
      <c r="V2632" t="s">
        <v>2855</v>
      </c>
      <c r="W2632" t="s">
        <v>2856</v>
      </c>
      <c r="AD2632" t="s">
        <v>6123</v>
      </c>
    </row>
    <row r="2633" spans="1:32" x14ac:dyDescent="0.25">
      <c r="A2633" t="s">
        <v>33</v>
      </c>
      <c r="D2633" t="s">
        <v>2847</v>
      </c>
      <c r="E2633" t="s">
        <v>2848</v>
      </c>
      <c r="F2633" t="s">
        <v>87</v>
      </c>
      <c r="G2633" t="s">
        <v>6124</v>
      </c>
      <c r="H2633" t="s">
        <v>153</v>
      </c>
      <c r="I2633" t="s">
        <v>144</v>
      </c>
      <c r="J2633" t="s">
        <v>154</v>
      </c>
      <c r="K2633" t="s">
        <v>155</v>
      </c>
      <c r="L2633" t="s">
        <v>6125</v>
      </c>
      <c r="N2633" t="s">
        <v>6126</v>
      </c>
      <c r="O2633" t="s">
        <v>156</v>
      </c>
      <c r="R2633" t="s">
        <v>6127</v>
      </c>
      <c r="S2633" t="s">
        <v>2854</v>
      </c>
      <c r="V2633" t="s">
        <v>2855</v>
      </c>
      <c r="W2633" t="s">
        <v>2856</v>
      </c>
      <c r="AD2633" t="s">
        <v>6128</v>
      </c>
    </row>
    <row r="2634" spans="1:32" x14ac:dyDescent="0.25">
      <c r="A2634" t="s">
        <v>33</v>
      </c>
      <c r="D2634" t="s">
        <v>2847</v>
      </c>
      <c r="E2634" t="s">
        <v>2848</v>
      </c>
      <c r="F2634" t="s">
        <v>87</v>
      </c>
      <c r="G2634" t="s">
        <v>6124</v>
      </c>
      <c r="H2634" t="s">
        <v>89</v>
      </c>
      <c r="I2634" t="s">
        <v>144</v>
      </c>
      <c r="J2634" t="s">
        <v>91</v>
      </c>
      <c r="K2634" t="s">
        <v>92</v>
      </c>
      <c r="L2634" t="s">
        <v>6125</v>
      </c>
      <c r="M2634" t="s">
        <v>94</v>
      </c>
      <c r="N2634" t="s">
        <v>6126</v>
      </c>
      <c r="O2634" t="s">
        <v>150</v>
      </c>
      <c r="P2634">
        <v>1E-3</v>
      </c>
      <c r="R2634" t="s">
        <v>6129</v>
      </c>
      <c r="S2634" t="s">
        <v>2854</v>
      </c>
      <c r="V2634" t="s">
        <v>2855</v>
      </c>
      <c r="W2634" t="s">
        <v>2856</v>
      </c>
      <c r="AD2634" t="s">
        <v>6130</v>
      </c>
    </row>
    <row r="2635" spans="1:32" x14ac:dyDescent="0.25">
      <c r="A2635" t="s">
        <v>33</v>
      </c>
      <c r="D2635" t="s">
        <v>2847</v>
      </c>
      <c r="E2635" t="s">
        <v>2848</v>
      </c>
      <c r="F2635" t="s">
        <v>87</v>
      </c>
      <c r="G2635" t="s">
        <v>6124</v>
      </c>
      <c r="H2635" t="s">
        <v>143</v>
      </c>
      <c r="I2635" t="s">
        <v>144</v>
      </c>
      <c r="J2635" t="s">
        <v>145</v>
      </c>
      <c r="K2635" t="s">
        <v>146</v>
      </c>
      <c r="L2635" t="s">
        <v>6125</v>
      </c>
      <c r="M2635" t="s">
        <v>1879</v>
      </c>
      <c r="N2635" t="s">
        <v>6126</v>
      </c>
      <c r="O2635" t="s">
        <v>147</v>
      </c>
      <c r="R2635" t="s">
        <v>6131</v>
      </c>
      <c r="S2635" t="s">
        <v>2854</v>
      </c>
      <c r="V2635" t="s">
        <v>2855</v>
      </c>
      <c r="W2635" t="s">
        <v>2856</v>
      </c>
      <c r="X2635" t="s">
        <v>1881</v>
      </c>
      <c r="AD2635" t="s">
        <v>6132</v>
      </c>
    </row>
    <row r="2636" spans="1:32" x14ac:dyDescent="0.25">
      <c r="A2636" t="s">
        <v>33</v>
      </c>
      <c r="D2636" t="s">
        <v>2847</v>
      </c>
      <c r="E2636" t="s">
        <v>2848</v>
      </c>
      <c r="F2636" t="s">
        <v>87</v>
      </c>
      <c r="G2636" t="s">
        <v>6124</v>
      </c>
      <c r="H2636" t="s">
        <v>143</v>
      </c>
      <c r="I2636" t="s">
        <v>144</v>
      </c>
      <c r="J2636" t="s">
        <v>145</v>
      </c>
      <c r="K2636" t="s">
        <v>262</v>
      </c>
      <c r="L2636" t="s">
        <v>6125</v>
      </c>
      <c r="M2636" t="s">
        <v>1879</v>
      </c>
      <c r="N2636" t="s">
        <v>6126</v>
      </c>
      <c r="O2636" t="s">
        <v>147</v>
      </c>
      <c r="R2636" t="s">
        <v>6133</v>
      </c>
      <c r="S2636" t="s">
        <v>2854</v>
      </c>
      <c r="V2636" t="s">
        <v>2855</v>
      </c>
      <c r="W2636" t="s">
        <v>2856</v>
      </c>
      <c r="X2636" t="s">
        <v>1881</v>
      </c>
      <c r="AD2636" t="s">
        <v>6132</v>
      </c>
    </row>
    <row r="2637" spans="1:32" x14ac:dyDescent="0.25">
      <c r="A2637" t="s">
        <v>33</v>
      </c>
      <c r="D2637" t="s">
        <v>2847</v>
      </c>
      <c r="E2637" t="s">
        <v>2848</v>
      </c>
      <c r="F2637" t="s">
        <v>87</v>
      </c>
      <c r="G2637" t="s">
        <v>6124</v>
      </c>
      <c r="H2637" t="s">
        <v>153</v>
      </c>
      <c r="I2637" t="s">
        <v>90</v>
      </c>
      <c r="J2637" t="s">
        <v>154</v>
      </c>
      <c r="K2637" t="s">
        <v>155</v>
      </c>
      <c r="L2637" t="s">
        <v>6125</v>
      </c>
      <c r="N2637" t="s">
        <v>6126</v>
      </c>
      <c r="O2637" t="s">
        <v>386</v>
      </c>
      <c r="R2637" t="s">
        <v>6134</v>
      </c>
      <c r="S2637" t="s">
        <v>2854</v>
      </c>
      <c r="V2637" t="s">
        <v>2855</v>
      </c>
      <c r="W2637" t="s">
        <v>2856</v>
      </c>
      <c r="AC2637" t="s">
        <v>6135</v>
      </c>
      <c r="AD2637" t="s">
        <v>6136</v>
      </c>
      <c r="AE2637" t="s">
        <v>3034</v>
      </c>
      <c r="AF2637">
        <v>9</v>
      </c>
    </row>
    <row r="2638" spans="1:32" x14ac:dyDescent="0.25">
      <c r="A2638" t="s">
        <v>33</v>
      </c>
      <c r="D2638" t="s">
        <v>2847</v>
      </c>
      <c r="E2638" t="s">
        <v>2848</v>
      </c>
      <c r="F2638" t="s">
        <v>87</v>
      </c>
      <c r="G2638" t="s">
        <v>6124</v>
      </c>
      <c r="H2638" t="s">
        <v>89</v>
      </c>
      <c r="I2638" t="s">
        <v>90</v>
      </c>
      <c r="J2638" t="s">
        <v>91</v>
      </c>
      <c r="K2638" t="s">
        <v>92</v>
      </c>
      <c r="L2638" t="s">
        <v>6125</v>
      </c>
      <c r="M2638" t="s">
        <v>94</v>
      </c>
      <c r="N2638" t="s">
        <v>6126</v>
      </c>
      <c r="O2638" t="s">
        <v>383</v>
      </c>
      <c r="P2638">
        <v>1E-3</v>
      </c>
      <c r="R2638" t="s">
        <v>6137</v>
      </c>
      <c r="S2638" t="s">
        <v>2854</v>
      </c>
      <c r="V2638" t="s">
        <v>2855</v>
      </c>
      <c r="W2638" t="s">
        <v>2856</v>
      </c>
      <c r="AD2638" t="s">
        <v>6138</v>
      </c>
    </row>
    <row r="2639" spans="1:32" x14ac:dyDescent="0.25">
      <c r="A2639" t="s">
        <v>33</v>
      </c>
      <c r="D2639" t="s">
        <v>2847</v>
      </c>
      <c r="E2639" t="s">
        <v>2848</v>
      </c>
      <c r="F2639" t="s">
        <v>87</v>
      </c>
      <c r="G2639" t="s">
        <v>6124</v>
      </c>
      <c r="H2639" t="s">
        <v>143</v>
      </c>
      <c r="I2639" t="s">
        <v>90</v>
      </c>
      <c r="J2639" t="s">
        <v>145</v>
      </c>
      <c r="K2639" t="s">
        <v>146</v>
      </c>
      <c r="L2639" t="s">
        <v>6125</v>
      </c>
      <c r="M2639" t="s">
        <v>1879</v>
      </c>
      <c r="N2639" t="s">
        <v>6126</v>
      </c>
      <c r="O2639" t="s">
        <v>380</v>
      </c>
      <c r="R2639" t="s">
        <v>6139</v>
      </c>
      <c r="S2639" t="s">
        <v>2854</v>
      </c>
      <c r="V2639" t="s">
        <v>2855</v>
      </c>
      <c r="W2639" t="s">
        <v>2856</v>
      </c>
      <c r="X2639" t="s">
        <v>1881</v>
      </c>
      <c r="AD2639" t="s">
        <v>6140</v>
      </c>
    </row>
    <row r="2640" spans="1:32" x14ac:dyDescent="0.25">
      <c r="A2640" t="s">
        <v>33</v>
      </c>
      <c r="D2640" t="s">
        <v>2847</v>
      </c>
      <c r="E2640" t="s">
        <v>2848</v>
      </c>
      <c r="F2640" t="s">
        <v>87</v>
      </c>
      <c r="G2640" t="s">
        <v>6124</v>
      </c>
      <c r="H2640" t="s">
        <v>143</v>
      </c>
      <c r="I2640" t="s">
        <v>90</v>
      </c>
      <c r="J2640" t="s">
        <v>145</v>
      </c>
      <c r="K2640" t="s">
        <v>262</v>
      </c>
      <c r="L2640" t="s">
        <v>6125</v>
      </c>
      <c r="M2640" t="s">
        <v>1879</v>
      </c>
      <c r="N2640" t="s">
        <v>6126</v>
      </c>
      <c r="O2640" t="s">
        <v>380</v>
      </c>
      <c r="R2640" t="s">
        <v>6141</v>
      </c>
      <c r="S2640" t="s">
        <v>2854</v>
      </c>
      <c r="V2640" t="s">
        <v>2855</v>
      </c>
      <c r="W2640" t="s">
        <v>2856</v>
      </c>
      <c r="X2640" t="s">
        <v>1881</v>
      </c>
      <c r="AD2640" t="s">
        <v>6140</v>
      </c>
    </row>
    <row r="2641" spans="1:32" x14ac:dyDescent="0.25">
      <c r="A2641" t="s">
        <v>33</v>
      </c>
      <c r="D2641" t="s">
        <v>2847</v>
      </c>
      <c r="E2641" t="s">
        <v>2848</v>
      </c>
      <c r="F2641" t="s">
        <v>87</v>
      </c>
      <c r="G2641" t="s">
        <v>6124</v>
      </c>
      <c r="H2641" t="s">
        <v>38</v>
      </c>
      <c r="I2641" t="s">
        <v>106</v>
      </c>
      <c r="J2641" t="s">
        <v>40</v>
      </c>
      <c r="K2641" t="s">
        <v>41</v>
      </c>
      <c r="L2641" t="s">
        <v>6125</v>
      </c>
      <c r="M2641" t="s">
        <v>1879</v>
      </c>
      <c r="N2641" t="s">
        <v>6126</v>
      </c>
      <c r="O2641" t="s">
        <v>109</v>
      </c>
      <c r="R2641" t="s">
        <v>6142</v>
      </c>
      <c r="S2641" t="s">
        <v>2854</v>
      </c>
      <c r="V2641" t="s">
        <v>2855</v>
      </c>
      <c r="W2641" t="s">
        <v>2856</v>
      </c>
      <c r="X2641" t="s">
        <v>1881</v>
      </c>
      <c r="AD2641" t="s">
        <v>6143</v>
      </c>
    </row>
    <row r="2642" spans="1:32" x14ac:dyDescent="0.25">
      <c r="A2642" t="s">
        <v>33</v>
      </c>
      <c r="D2642" t="s">
        <v>2847</v>
      </c>
      <c r="E2642" t="s">
        <v>2848</v>
      </c>
      <c r="F2642" t="s">
        <v>87</v>
      </c>
      <c r="G2642" t="s">
        <v>6124</v>
      </c>
      <c r="H2642" t="s">
        <v>38</v>
      </c>
      <c r="I2642" t="s">
        <v>25</v>
      </c>
      <c r="J2642" t="s">
        <v>69</v>
      </c>
      <c r="K2642" t="s">
        <v>41</v>
      </c>
      <c r="L2642" t="s">
        <v>6125</v>
      </c>
      <c r="M2642" t="s">
        <v>1879</v>
      </c>
      <c r="N2642" t="s">
        <v>6126</v>
      </c>
      <c r="O2642" t="s">
        <v>512</v>
      </c>
      <c r="R2642" t="s">
        <v>2624</v>
      </c>
      <c r="S2642" t="s">
        <v>2854</v>
      </c>
      <c r="V2642" t="s">
        <v>2855</v>
      </c>
      <c r="W2642" t="s">
        <v>2856</v>
      </c>
      <c r="X2642" t="s">
        <v>1881</v>
      </c>
      <c r="AD2642" t="s">
        <v>6144</v>
      </c>
    </row>
    <row r="2643" spans="1:32" x14ac:dyDescent="0.25">
      <c r="A2643" t="s">
        <v>33</v>
      </c>
      <c r="D2643" t="s">
        <v>2847</v>
      </c>
      <c r="E2643" t="s">
        <v>2848</v>
      </c>
      <c r="F2643" t="s">
        <v>87</v>
      </c>
      <c r="G2643" t="s">
        <v>6124</v>
      </c>
      <c r="H2643" t="s">
        <v>38</v>
      </c>
      <c r="I2643" t="s">
        <v>24</v>
      </c>
      <c r="J2643" t="s">
        <v>69</v>
      </c>
      <c r="K2643" t="s">
        <v>41</v>
      </c>
      <c r="L2643" t="s">
        <v>6125</v>
      </c>
      <c r="M2643" t="s">
        <v>1879</v>
      </c>
      <c r="N2643" t="s">
        <v>6126</v>
      </c>
      <c r="O2643" t="s">
        <v>509</v>
      </c>
      <c r="R2643" t="s">
        <v>2625</v>
      </c>
      <c r="S2643" t="s">
        <v>2854</v>
      </c>
      <c r="V2643" t="s">
        <v>2855</v>
      </c>
      <c r="W2643" t="s">
        <v>2856</v>
      </c>
      <c r="X2643" t="s">
        <v>1881</v>
      </c>
      <c r="AD2643" t="s">
        <v>6145</v>
      </c>
    </row>
    <row r="2644" spans="1:32" x14ac:dyDescent="0.25">
      <c r="A2644" t="s">
        <v>33</v>
      </c>
      <c r="D2644" t="s">
        <v>2847</v>
      </c>
      <c r="E2644" t="s">
        <v>2848</v>
      </c>
      <c r="F2644" t="s">
        <v>87</v>
      </c>
      <c r="G2644" t="s">
        <v>6146</v>
      </c>
      <c r="H2644" t="s">
        <v>153</v>
      </c>
      <c r="I2644" t="s">
        <v>144</v>
      </c>
      <c r="J2644" t="s">
        <v>154</v>
      </c>
      <c r="K2644" t="s">
        <v>155</v>
      </c>
      <c r="L2644" t="s">
        <v>6147</v>
      </c>
      <c r="N2644" t="s">
        <v>6148</v>
      </c>
      <c r="O2644" t="s">
        <v>156</v>
      </c>
      <c r="R2644" t="s">
        <v>6149</v>
      </c>
      <c r="S2644" t="s">
        <v>2854</v>
      </c>
      <c r="V2644" t="s">
        <v>2855</v>
      </c>
      <c r="W2644" t="s">
        <v>2856</v>
      </c>
      <c r="AD2644" t="s">
        <v>6150</v>
      </c>
    </row>
    <row r="2645" spans="1:32" x14ac:dyDescent="0.25">
      <c r="A2645" t="s">
        <v>33</v>
      </c>
      <c r="D2645" t="s">
        <v>2847</v>
      </c>
      <c r="E2645" t="s">
        <v>2848</v>
      </c>
      <c r="F2645" t="s">
        <v>87</v>
      </c>
      <c r="G2645" t="s">
        <v>6146</v>
      </c>
      <c r="H2645" t="s">
        <v>89</v>
      </c>
      <c r="I2645" t="s">
        <v>144</v>
      </c>
      <c r="J2645" t="s">
        <v>91</v>
      </c>
      <c r="K2645" t="s">
        <v>92</v>
      </c>
      <c r="L2645" t="s">
        <v>6147</v>
      </c>
      <c r="M2645" t="s">
        <v>94</v>
      </c>
      <c r="N2645" t="s">
        <v>6148</v>
      </c>
      <c r="O2645" t="s">
        <v>150</v>
      </c>
      <c r="P2645">
        <v>1E-3</v>
      </c>
      <c r="R2645" t="s">
        <v>6151</v>
      </c>
      <c r="S2645" t="s">
        <v>2854</v>
      </c>
      <c r="V2645" t="s">
        <v>2855</v>
      </c>
      <c r="W2645" t="s">
        <v>2856</v>
      </c>
      <c r="AD2645" t="s">
        <v>6152</v>
      </c>
    </row>
    <row r="2646" spans="1:32" x14ac:dyDescent="0.25">
      <c r="A2646" t="s">
        <v>33</v>
      </c>
      <c r="D2646" t="s">
        <v>2847</v>
      </c>
      <c r="E2646" t="s">
        <v>2848</v>
      </c>
      <c r="F2646" t="s">
        <v>87</v>
      </c>
      <c r="G2646" t="s">
        <v>6146</v>
      </c>
      <c r="H2646" t="s">
        <v>143</v>
      </c>
      <c r="I2646" t="s">
        <v>144</v>
      </c>
      <c r="J2646" t="s">
        <v>145</v>
      </c>
      <c r="K2646" t="s">
        <v>146</v>
      </c>
      <c r="L2646" t="s">
        <v>6147</v>
      </c>
      <c r="M2646" t="s">
        <v>5968</v>
      </c>
      <c r="N2646" t="s">
        <v>6148</v>
      </c>
      <c r="O2646" t="s">
        <v>147</v>
      </c>
      <c r="R2646" t="s">
        <v>6153</v>
      </c>
      <c r="S2646" t="s">
        <v>2854</v>
      </c>
      <c r="V2646" t="s">
        <v>2855</v>
      </c>
      <c r="W2646" t="s">
        <v>2856</v>
      </c>
      <c r="AD2646" t="s">
        <v>6154</v>
      </c>
    </row>
    <row r="2647" spans="1:32" x14ac:dyDescent="0.25">
      <c r="A2647" t="s">
        <v>33</v>
      </c>
      <c r="D2647" t="s">
        <v>2847</v>
      </c>
      <c r="E2647" t="s">
        <v>2848</v>
      </c>
      <c r="F2647" t="s">
        <v>87</v>
      </c>
      <c r="G2647" t="s">
        <v>6146</v>
      </c>
      <c r="H2647" t="s">
        <v>143</v>
      </c>
      <c r="I2647" t="s">
        <v>144</v>
      </c>
      <c r="J2647" t="s">
        <v>145</v>
      </c>
      <c r="K2647" t="s">
        <v>262</v>
      </c>
      <c r="L2647" t="s">
        <v>6147</v>
      </c>
      <c r="M2647" t="s">
        <v>5968</v>
      </c>
      <c r="N2647" t="s">
        <v>6148</v>
      </c>
      <c r="O2647" t="s">
        <v>147</v>
      </c>
      <c r="R2647" t="s">
        <v>6155</v>
      </c>
      <c r="S2647" t="s">
        <v>2854</v>
      </c>
      <c r="V2647" t="s">
        <v>2855</v>
      </c>
      <c r="W2647" t="s">
        <v>2856</v>
      </c>
      <c r="AD2647" t="s">
        <v>6154</v>
      </c>
    </row>
    <row r="2648" spans="1:32" x14ac:dyDescent="0.25">
      <c r="A2648" t="s">
        <v>33</v>
      </c>
      <c r="D2648" t="s">
        <v>2847</v>
      </c>
      <c r="E2648" t="s">
        <v>2848</v>
      </c>
      <c r="F2648" t="s">
        <v>87</v>
      </c>
      <c r="G2648" t="s">
        <v>6146</v>
      </c>
      <c r="H2648" t="s">
        <v>38</v>
      </c>
      <c r="I2648" t="s">
        <v>106</v>
      </c>
      <c r="J2648" t="s">
        <v>40</v>
      </c>
      <c r="K2648" t="s">
        <v>41</v>
      </c>
      <c r="L2648" t="s">
        <v>6147</v>
      </c>
      <c r="M2648" t="s">
        <v>5968</v>
      </c>
      <c r="N2648" t="s">
        <v>6148</v>
      </c>
      <c r="O2648" t="s">
        <v>109</v>
      </c>
      <c r="R2648" t="s">
        <v>6156</v>
      </c>
      <c r="S2648" t="s">
        <v>2854</v>
      </c>
      <c r="V2648" t="s">
        <v>2855</v>
      </c>
      <c r="W2648" t="s">
        <v>2856</v>
      </c>
      <c r="AD2648" t="s">
        <v>6157</v>
      </c>
    </row>
    <row r="2649" spans="1:32" x14ac:dyDescent="0.25">
      <c r="A2649" t="s">
        <v>33</v>
      </c>
      <c r="D2649" t="s">
        <v>2847</v>
      </c>
      <c r="E2649" t="s">
        <v>2848</v>
      </c>
      <c r="F2649" t="s">
        <v>87</v>
      </c>
      <c r="G2649" t="s">
        <v>6146</v>
      </c>
      <c r="H2649" t="s">
        <v>38</v>
      </c>
      <c r="I2649" t="s">
        <v>25</v>
      </c>
      <c r="J2649" t="s">
        <v>69</v>
      </c>
      <c r="K2649" t="s">
        <v>41</v>
      </c>
      <c r="L2649" t="s">
        <v>6147</v>
      </c>
      <c r="M2649" t="s">
        <v>5968</v>
      </c>
      <c r="N2649" t="s">
        <v>6148</v>
      </c>
      <c r="O2649" t="s">
        <v>512</v>
      </c>
      <c r="R2649" t="s">
        <v>1849</v>
      </c>
      <c r="S2649" t="s">
        <v>2854</v>
      </c>
      <c r="V2649" t="s">
        <v>2855</v>
      </c>
      <c r="W2649" t="s">
        <v>2856</v>
      </c>
      <c r="AD2649" t="s">
        <v>6158</v>
      </c>
    </row>
    <row r="2650" spans="1:32" x14ac:dyDescent="0.25">
      <c r="A2650" t="s">
        <v>33</v>
      </c>
      <c r="D2650" t="s">
        <v>2847</v>
      </c>
      <c r="E2650" t="s">
        <v>2848</v>
      </c>
      <c r="F2650" t="s">
        <v>87</v>
      </c>
      <c r="G2650" t="s">
        <v>6146</v>
      </c>
      <c r="H2650" t="s">
        <v>38</v>
      </c>
      <c r="I2650" t="s">
        <v>24</v>
      </c>
      <c r="J2650" t="s">
        <v>69</v>
      </c>
      <c r="K2650" t="s">
        <v>41</v>
      </c>
      <c r="L2650" t="s">
        <v>6147</v>
      </c>
      <c r="M2650" t="s">
        <v>5968</v>
      </c>
      <c r="N2650" t="s">
        <v>6148</v>
      </c>
      <c r="O2650" t="s">
        <v>509</v>
      </c>
      <c r="R2650" t="s">
        <v>1851</v>
      </c>
      <c r="S2650" t="s">
        <v>2854</v>
      </c>
      <c r="V2650" t="s">
        <v>2855</v>
      </c>
      <c r="W2650" t="s">
        <v>2856</v>
      </c>
      <c r="AD2650" t="s">
        <v>6159</v>
      </c>
    </row>
    <row r="2651" spans="1:32" x14ac:dyDescent="0.25">
      <c r="A2651" t="s">
        <v>33</v>
      </c>
      <c r="D2651" t="s">
        <v>2847</v>
      </c>
      <c r="E2651" t="s">
        <v>2848</v>
      </c>
      <c r="F2651" t="s">
        <v>87</v>
      </c>
      <c r="G2651" t="s">
        <v>6160</v>
      </c>
      <c r="H2651" t="s">
        <v>153</v>
      </c>
      <c r="I2651" t="s">
        <v>144</v>
      </c>
      <c r="J2651" t="s">
        <v>154</v>
      </c>
      <c r="K2651" t="s">
        <v>155</v>
      </c>
      <c r="L2651" t="s">
        <v>6161</v>
      </c>
      <c r="N2651" t="s">
        <v>6162</v>
      </c>
      <c r="O2651" t="s">
        <v>156</v>
      </c>
      <c r="R2651" t="s">
        <v>6163</v>
      </c>
      <c r="S2651" t="s">
        <v>2854</v>
      </c>
      <c r="V2651" t="s">
        <v>2855</v>
      </c>
      <c r="W2651" t="s">
        <v>2856</v>
      </c>
      <c r="AD2651" t="s">
        <v>6164</v>
      </c>
    </row>
    <row r="2652" spans="1:32" x14ac:dyDescent="0.25">
      <c r="A2652" t="s">
        <v>33</v>
      </c>
      <c r="D2652" t="s">
        <v>2847</v>
      </c>
      <c r="E2652" t="s">
        <v>2848</v>
      </c>
      <c r="F2652" t="s">
        <v>87</v>
      </c>
      <c r="G2652" t="s">
        <v>6160</v>
      </c>
      <c r="H2652" t="s">
        <v>89</v>
      </c>
      <c r="I2652" t="s">
        <v>144</v>
      </c>
      <c r="J2652" t="s">
        <v>91</v>
      </c>
      <c r="K2652" t="s">
        <v>92</v>
      </c>
      <c r="L2652" t="s">
        <v>6161</v>
      </c>
      <c r="M2652" t="s">
        <v>94</v>
      </c>
      <c r="N2652" t="s">
        <v>6162</v>
      </c>
      <c r="O2652" t="s">
        <v>150</v>
      </c>
      <c r="P2652">
        <v>1E-3</v>
      </c>
      <c r="R2652" t="s">
        <v>6165</v>
      </c>
      <c r="S2652" t="s">
        <v>2854</v>
      </c>
      <c r="V2652" t="s">
        <v>2855</v>
      </c>
      <c r="W2652" t="s">
        <v>2856</v>
      </c>
      <c r="AD2652" t="s">
        <v>6166</v>
      </c>
    </row>
    <row r="2653" spans="1:32" x14ac:dyDescent="0.25">
      <c r="A2653" t="s">
        <v>33</v>
      </c>
      <c r="D2653" t="s">
        <v>2847</v>
      </c>
      <c r="E2653" t="s">
        <v>2848</v>
      </c>
      <c r="F2653" t="s">
        <v>87</v>
      </c>
      <c r="G2653" t="s">
        <v>6160</v>
      </c>
      <c r="H2653" t="s">
        <v>143</v>
      </c>
      <c r="I2653" t="s">
        <v>144</v>
      </c>
      <c r="J2653" t="s">
        <v>145</v>
      </c>
      <c r="K2653" t="s">
        <v>146</v>
      </c>
      <c r="L2653" t="s">
        <v>6161</v>
      </c>
      <c r="M2653" t="s">
        <v>1879</v>
      </c>
      <c r="N2653" t="s">
        <v>6162</v>
      </c>
      <c r="O2653" t="s">
        <v>147</v>
      </c>
      <c r="R2653" t="s">
        <v>6167</v>
      </c>
      <c r="S2653" t="s">
        <v>2854</v>
      </c>
      <c r="V2653" t="s">
        <v>2855</v>
      </c>
      <c r="W2653" t="s">
        <v>2856</v>
      </c>
      <c r="X2653" t="s">
        <v>1881</v>
      </c>
      <c r="AD2653" t="s">
        <v>6168</v>
      </c>
    </row>
    <row r="2654" spans="1:32" x14ac:dyDescent="0.25">
      <c r="A2654" t="s">
        <v>33</v>
      </c>
      <c r="D2654" t="s">
        <v>2847</v>
      </c>
      <c r="E2654" t="s">
        <v>2848</v>
      </c>
      <c r="F2654" t="s">
        <v>87</v>
      </c>
      <c r="G2654" t="s">
        <v>6160</v>
      </c>
      <c r="H2654" t="s">
        <v>143</v>
      </c>
      <c r="I2654" t="s">
        <v>144</v>
      </c>
      <c r="J2654" t="s">
        <v>145</v>
      </c>
      <c r="K2654" t="s">
        <v>262</v>
      </c>
      <c r="L2654" t="s">
        <v>6161</v>
      </c>
      <c r="M2654" t="s">
        <v>1879</v>
      </c>
      <c r="N2654" t="s">
        <v>6162</v>
      </c>
      <c r="O2654" t="s">
        <v>147</v>
      </c>
      <c r="R2654" t="s">
        <v>6169</v>
      </c>
      <c r="S2654" t="s">
        <v>2854</v>
      </c>
      <c r="V2654" t="s">
        <v>2855</v>
      </c>
      <c r="W2654" t="s">
        <v>2856</v>
      </c>
      <c r="X2654" t="s">
        <v>1881</v>
      </c>
      <c r="AD2654" t="s">
        <v>6168</v>
      </c>
    </row>
    <row r="2655" spans="1:32" x14ac:dyDescent="0.25">
      <c r="A2655" t="s">
        <v>33</v>
      </c>
      <c r="D2655" t="s">
        <v>2847</v>
      </c>
      <c r="E2655" t="s">
        <v>2848</v>
      </c>
      <c r="F2655" t="s">
        <v>87</v>
      </c>
      <c r="G2655" t="s">
        <v>6160</v>
      </c>
      <c r="H2655" t="s">
        <v>153</v>
      </c>
      <c r="I2655" t="s">
        <v>90</v>
      </c>
      <c r="J2655" t="s">
        <v>154</v>
      </c>
      <c r="K2655" t="s">
        <v>155</v>
      </c>
      <c r="L2655" t="s">
        <v>6161</v>
      </c>
      <c r="N2655" t="s">
        <v>6162</v>
      </c>
      <c r="O2655" t="s">
        <v>386</v>
      </c>
      <c r="R2655" t="s">
        <v>6170</v>
      </c>
      <c r="S2655" t="s">
        <v>2854</v>
      </c>
      <c r="V2655" t="s">
        <v>2855</v>
      </c>
      <c r="W2655" t="s">
        <v>2856</v>
      </c>
      <c r="AC2655" t="s">
        <v>6171</v>
      </c>
      <c r="AD2655" t="s">
        <v>6172</v>
      </c>
      <c r="AE2655" t="s">
        <v>3034</v>
      </c>
      <c r="AF2655">
        <v>10</v>
      </c>
    </row>
    <row r="2656" spans="1:32" x14ac:dyDescent="0.25">
      <c r="A2656" t="s">
        <v>33</v>
      </c>
      <c r="D2656" t="s">
        <v>2847</v>
      </c>
      <c r="E2656" t="s">
        <v>2848</v>
      </c>
      <c r="F2656" t="s">
        <v>87</v>
      </c>
      <c r="G2656" t="s">
        <v>6160</v>
      </c>
      <c r="H2656" t="s">
        <v>89</v>
      </c>
      <c r="I2656" t="s">
        <v>90</v>
      </c>
      <c r="J2656" t="s">
        <v>91</v>
      </c>
      <c r="K2656" t="s">
        <v>92</v>
      </c>
      <c r="L2656" t="s">
        <v>6161</v>
      </c>
      <c r="M2656" t="s">
        <v>94</v>
      </c>
      <c r="N2656" t="s">
        <v>6162</v>
      </c>
      <c r="O2656" t="s">
        <v>383</v>
      </c>
      <c r="P2656">
        <v>1E-3</v>
      </c>
      <c r="R2656" t="s">
        <v>6173</v>
      </c>
      <c r="S2656" t="s">
        <v>2854</v>
      </c>
      <c r="V2656" t="s">
        <v>2855</v>
      </c>
      <c r="W2656" t="s">
        <v>2856</v>
      </c>
      <c r="AD2656" t="s">
        <v>6174</v>
      </c>
    </row>
    <row r="2657" spans="1:32" x14ac:dyDescent="0.25">
      <c r="A2657" t="s">
        <v>33</v>
      </c>
      <c r="D2657" t="s">
        <v>2847</v>
      </c>
      <c r="E2657" t="s">
        <v>2848</v>
      </c>
      <c r="F2657" t="s">
        <v>87</v>
      </c>
      <c r="G2657" t="s">
        <v>6160</v>
      </c>
      <c r="H2657" t="s">
        <v>143</v>
      </c>
      <c r="I2657" t="s">
        <v>90</v>
      </c>
      <c r="J2657" t="s">
        <v>145</v>
      </c>
      <c r="K2657" t="s">
        <v>146</v>
      </c>
      <c r="L2657" t="s">
        <v>6161</v>
      </c>
      <c r="M2657" t="s">
        <v>1879</v>
      </c>
      <c r="N2657" t="s">
        <v>6162</v>
      </c>
      <c r="O2657" t="s">
        <v>380</v>
      </c>
      <c r="R2657" t="s">
        <v>6175</v>
      </c>
      <c r="S2657" t="s">
        <v>2854</v>
      </c>
      <c r="V2657" t="s">
        <v>2855</v>
      </c>
      <c r="W2657" t="s">
        <v>2856</v>
      </c>
      <c r="X2657" t="s">
        <v>1881</v>
      </c>
      <c r="AD2657" t="s">
        <v>6176</v>
      </c>
    </row>
    <row r="2658" spans="1:32" x14ac:dyDescent="0.25">
      <c r="A2658" t="s">
        <v>33</v>
      </c>
      <c r="D2658" t="s">
        <v>2847</v>
      </c>
      <c r="E2658" t="s">
        <v>2848</v>
      </c>
      <c r="F2658" t="s">
        <v>87</v>
      </c>
      <c r="G2658" t="s">
        <v>6160</v>
      </c>
      <c r="H2658" t="s">
        <v>143</v>
      </c>
      <c r="I2658" t="s">
        <v>90</v>
      </c>
      <c r="J2658" t="s">
        <v>145</v>
      </c>
      <c r="K2658" t="s">
        <v>262</v>
      </c>
      <c r="L2658" t="s">
        <v>6161</v>
      </c>
      <c r="M2658" t="s">
        <v>1879</v>
      </c>
      <c r="N2658" t="s">
        <v>6162</v>
      </c>
      <c r="O2658" t="s">
        <v>380</v>
      </c>
      <c r="R2658" t="s">
        <v>6177</v>
      </c>
      <c r="S2658" t="s">
        <v>2854</v>
      </c>
      <c r="V2658" t="s">
        <v>2855</v>
      </c>
      <c r="W2658" t="s">
        <v>2856</v>
      </c>
      <c r="X2658" t="s">
        <v>1881</v>
      </c>
      <c r="AD2658" t="s">
        <v>6176</v>
      </c>
    </row>
    <row r="2659" spans="1:32" x14ac:dyDescent="0.25">
      <c r="A2659" t="s">
        <v>33</v>
      </c>
      <c r="D2659" t="s">
        <v>2847</v>
      </c>
      <c r="E2659" t="s">
        <v>2848</v>
      </c>
      <c r="F2659" t="s">
        <v>87</v>
      </c>
      <c r="G2659" t="s">
        <v>6160</v>
      </c>
      <c r="H2659" t="s">
        <v>38</v>
      </c>
      <c r="I2659" t="s">
        <v>106</v>
      </c>
      <c r="J2659" t="s">
        <v>40</v>
      </c>
      <c r="K2659" t="s">
        <v>41</v>
      </c>
      <c r="L2659" t="s">
        <v>6161</v>
      </c>
      <c r="M2659" t="s">
        <v>1879</v>
      </c>
      <c r="N2659" t="s">
        <v>6162</v>
      </c>
      <c r="O2659" t="s">
        <v>109</v>
      </c>
      <c r="R2659" t="s">
        <v>6178</v>
      </c>
      <c r="S2659" t="s">
        <v>2854</v>
      </c>
      <c r="V2659" t="s">
        <v>2855</v>
      </c>
      <c r="W2659" t="s">
        <v>2856</v>
      </c>
      <c r="X2659" t="s">
        <v>1881</v>
      </c>
      <c r="AD2659" t="s">
        <v>6179</v>
      </c>
    </row>
    <row r="2660" spans="1:32" x14ac:dyDescent="0.25">
      <c r="A2660" t="s">
        <v>33</v>
      </c>
      <c r="D2660" t="s">
        <v>2847</v>
      </c>
      <c r="E2660" t="s">
        <v>2848</v>
      </c>
      <c r="F2660" t="s">
        <v>87</v>
      </c>
      <c r="G2660" t="s">
        <v>6160</v>
      </c>
      <c r="H2660" t="s">
        <v>38</v>
      </c>
      <c r="I2660" t="s">
        <v>25</v>
      </c>
      <c r="J2660" t="s">
        <v>69</v>
      </c>
      <c r="K2660" t="s">
        <v>41</v>
      </c>
      <c r="L2660" t="s">
        <v>6161</v>
      </c>
      <c r="M2660" t="s">
        <v>1879</v>
      </c>
      <c r="N2660" t="s">
        <v>6162</v>
      </c>
      <c r="O2660" t="s">
        <v>512</v>
      </c>
      <c r="R2660" t="s">
        <v>1937</v>
      </c>
      <c r="S2660" t="s">
        <v>2854</v>
      </c>
      <c r="V2660" t="s">
        <v>2855</v>
      </c>
      <c r="W2660" t="s">
        <v>2856</v>
      </c>
      <c r="X2660" t="s">
        <v>1881</v>
      </c>
      <c r="AD2660" t="s">
        <v>6180</v>
      </c>
    </row>
    <row r="2661" spans="1:32" x14ac:dyDescent="0.25">
      <c r="A2661" t="s">
        <v>33</v>
      </c>
      <c r="D2661" t="s">
        <v>2847</v>
      </c>
      <c r="E2661" t="s">
        <v>2848</v>
      </c>
      <c r="F2661" t="s">
        <v>87</v>
      </c>
      <c r="G2661" t="s">
        <v>6160</v>
      </c>
      <c r="H2661" t="s">
        <v>38</v>
      </c>
      <c r="I2661" t="s">
        <v>24</v>
      </c>
      <c r="J2661" t="s">
        <v>69</v>
      </c>
      <c r="K2661" t="s">
        <v>41</v>
      </c>
      <c r="L2661" t="s">
        <v>6161</v>
      </c>
      <c r="M2661" t="s">
        <v>1879</v>
      </c>
      <c r="N2661" t="s">
        <v>6162</v>
      </c>
      <c r="O2661" t="s">
        <v>509</v>
      </c>
      <c r="R2661" t="s">
        <v>1939</v>
      </c>
      <c r="S2661" t="s">
        <v>2854</v>
      </c>
      <c r="V2661" t="s">
        <v>2855</v>
      </c>
      <c r="W2661" t="s">
        <v>2856</v>
      </c>
      <c r="X2661" t="s">
        <v>1881</v>
      </c>
      <c r="AD2661" t="s">
        <v>6181</v>
      </c>
    </row>
    <row r="2662" spans="1:32" x14ac:dyDescent="0.25">
      <c r="A2662" t="s">
        <v>33</v>
      </c>
      <c r="D2662" t="s">
        <v>2847</v>
      </c>
      <c r="E2662" t="s">
        <v>2848</v>
      </c>
      <c r="F2662" t="s">
        <v>87</v>
      </c>
      <c r="G2662" t="s">
        <v>6182</v>
      </c>
      <c r="H2662" t="s">
        <v>153</v>
      </c>
      <c r="I2662" t="s">
        <v>144</v>
      </c>
      <c r="J2662" t="s">
        <v>154</v>
      </c>
      <c r="K2662" t="s">
        <v>155</v>
      </c>
      <c r="L2662" t="s">
        <v>6183</v>
      </c>
      <c r="N2662" t="s">
        <v>6184</v>
      </c>
      <c r="O2662" t="s">
        <v>156</v>
      </c>
      <c r="R2662" t="s">
        <v>6185</v>
      </c>
      <c r="S2662" t="s">
        <v>2854</v>
      </c>
      <c r="V2662" t="s">
        <v>2855</v>
      </c>
      <c r="W2662" t="s">
        <v>2856</v>
      </c>
      <c r="AD2662" t="s">
        <v>6186</v>
      </c>
    </row>
    <row r="2663" spans="1:32" x14ac:dyDescent="0.25">
      <c r="A2663" t="s">
        <v>33</v>
      </c>
      <c r="D2663" t="s">
        <v>2847</v>
      </c>
      <c r="E2663" t="s">
        <v>2848</v>
      </c>
      <c r="F2663" t="s">
        <v>87</v>
      </c>
      <c r="G2663" t="s">
        <v>6182</v>
      </c>
      <c r="H2663" t="s">
        <v>89</v>
      </c>
      <c r="I2663" t="s">
        <v>144</v>
      </c>
      <c r="J2663" t="s">
        <v>91</v>
      </c>
      <c r="K2663" t="s">
        <v>92</v>
      </c>
      <c r="L2663" t="s">
        <v>6183</v>
      </c>
      <c r="M2663" t="s">
        <v>94</v>
      </c>
      <c r="N2663" t="s">
        <v>6184</v>
      </c>
      <c r="O2663" t="s">
        <v>150</v>
      </c>
      <c r="P2663">
        <v>1E-3</v>
      </c>
      <c r="R2663" t="s">
        <v>6187</v>
      </c>
      <c r="S2663" t="s">
        <v>2854</v>
      </c>
      <c r="V2663" t="s">
        <v>2855</v>
      </c>
      <c r="W2663" t="s">
        <v>2856</v>
      </c>
      <c r="AD2663" t="s">
        <v>6188</v>
      </c>
    </row>
    <row r="2664" spans="1:32" x14ac:dyDescent="0.25">
      <c r="A2664" t="s">
        <v>33</v>
      </c>
      <c r="D2664" t="s">
        <v>2847</v>
      </c>
      <c r="E2664" t="s">
        <v>2848</v>
      </c>
      <c r="F2664" t="s">
        <v>87</v>
      </c>
      <c r="G2664" t="s">
        <v>6182</v>
      </c>
      <c r="H2664" t="s">
        <v>143</v>
      </c>
      <c r="I2664" t="s">
        <v>144</v>
      </c>
      <c r="J2664" t="s">
        <v>145</v>
      </c>
      <c r="K2664" t="s">
        <v>146</v>
      </c>
      <c r="L2664" t="s">
        <v>6183</v>
      </c>
      <c r="M2664" t="s">
        <v>5968</v>
      </c>
      <c r="N2664" t="s">
        <v>6184</v>
      </c>
      <c r="O2664" t="s">
        <v>147</v>
      </c>
      <c r="R2664" t="s">
        <v>6189</v>
      </c>
      <c r="S2664" t="s">
        <v>2854</v>
      </c>
      <c r="V2664" t="s">
        <v>2855</v>
      </c>
      <c r="W2664" t="s">
        <v>2856</v>
      </c>
      <c r="AD2664" t="s">
        <v>6190</v>
      </c>
    </row>
    <row r="2665" spans="1:32" x14ac:dyDescent="0.25">
      <c r="A2665" t="s">
        <v>33</v>
      </c>
      <c r="D2665" t="s">
        <v>2847</v>
      </c>
      <c r="E2665" t="s">
        <v>2848</v>
      </c>
      <c r="F2665" t="s">
        <v>87</v>
      </c>
      <c r="G2665" t="s">
        <v>6182</v>
      </c>
      <c r="H2665" t="s">
        <v>143</v>
      </c>
      <c r="I2665" t="s">
        <v>144</v>
      </c>
      <c r="J2665" t="s">
        <v>145</v>
      </c>
      <c r="K2665" t="s">
        <v>262</v>
      </c>
      <c r="L2665" t="s">
        <v>6183</v>
      </c>
      <c r="M2665" t="s">
        <v>5968</v>
      </c>
      <c r="N2665" t="s">
        <v>6184</v>
      </c>
      <c r="O2665" t="s">
        <v>147</v>
      </c>
      <c r="R2665" t="s">
        <v>6191</v>
      </c>
      <c r="S2665" t="s">
        <v>2854</v>
      </c>
      <c r="V2665" t="s">
        <v>2855</v>
      </c>
      <c r="W2665" t="s">
        <v>2856</v>
      </c>
      <c r="AD2665" t="s">
        <v>6190</v>
      </c>
    </row>
    <row r="2666" spans="1:32" x14ac:dyDescent="0.25">
      <c r="A2666" t="s">
        <v>33</v>
      </c>
      <c r="D2666" t="s">
        <v>2847</v>
      </c>
      <c r="E2666" t="s">
        <v>2848</v>
      </c>
      <c r="F2666" t="s">
        <v>87</v>
      </c>
      <c r="G2666" t="s">
        <v>6182</v>
      </c>
      <c r="H2666" t="s">
        <v>153</v>
      </c>
      <c r="I2666" t="s">
        <v>90</v>
      </c>
      <c r="J2666" t="s">
        <v>154</v>
      </c>
      <c r="K2666" t="s">
        <v>155</v>
      </c>
      <c r="L2666" t="s">
        <v>6183</v>
      </c>
      <c r="N2666" t="s">
        <v>6184</v>
      </c>
      <c r="O2666" t="s">
        <v>386</v>
      </c>
      <c r="R2666" t="s">
        <v>6192</v>
      </c>
      <c r="S2666" t="s">
        <v>2854</v>
      </c>
      <c r="V2666" t="s">
        <v>2855</v>
      </c>
      <c r="W2666" t="s">
        <v>2856</v>
      </c>
      <c r="AC2666" t="s">
        <v>6193</v>
      </c>
      <c r="AD2666" t="s">
        <v>6194</v>
      </c>
      <c r="AE2666" t="s">
        <v>3034</v>
      </c>
      <c r="AF2666">
        <v>11</v>
      </c>
    </row>
    <row r="2667" spans="1:32" x14ac:dyDescent="0.25">
      <c r="A2667" t="s">
        <v>33</v>
      </c>
      <c r="D2667" t="s">
        <v>2847</v>
      </c>
      <c r="E2667" t="s">
        <v>2893</v>
      </c>
      <c r="F2667" t="s">
        <v>87</v>
      </c>
      <c r="G2667" t="s">
        <v>5569</v>
      </c>
      <c r="H2667" t="s">
        <v>153</v>
      </c>
      <c r="I2667" t="s">
        <v>144</v>
      </c>
      <c r="J2667" t="s">
        <v>154</v>
      </c>
      <c r="K2667" t="s">
        <v>155</v>
      </c>
      <c r="L2667" t="s">
        <v>5570</v>
      </c>
      <c r="N2667" t="s">
        <v>5571</v>
      </c>
      <c r="O2667" t="s">
        <v>156</v>
      </c>
      <c r="R2667" t="s">
        <v>6195</v>
      </c>
      <c r="S2667" t="s">
        <v>2864</v>
      </c>
      <c r="V2667" t="s">
        <v>2855</v>
      </c>
      <c r="W2667" t="s">
        <v>2898</v>
      </c>
      <c r="AD2667" t="s">
        <v>6196</v>
      </c>
    </row>
    <row r="2668" spans="1:32" x14ac:dyDescent="0.25">
      <c r="A2668" t="s">
        <v>33</v>
      </c>
      <c r="D2668" t="s">
        <v>2847</v>
      </c>
      <c r="E2668" t="s">
        <v>2893</v>
      </c>
      <c r="F2668" t="s">
        <v>87</v>
      </c>
      <c r="G2668" t="s">
        <v>5569</v>
      </c>
      <c r="H2668" t="s">
        <v>89</v>
      </c>
      <c r="I2668" t="s">
        <v>144</v>
      </c>
      <c r="J2668" t="s">
        <v>91</v>
      </c>
      <c r="K2668" t="s">
        <v>92</v>
      </c>
      <c r="L2668" t="s">
        <v>5570</v>
      </c>
      <c r="M2668" t="s">
        <v>94</v>
      </c>
      <c r="N2668" t="s">
        <v>5571</v>
      </c>
      <c r="O2668" t="s">
        <v>150</v>
      </c>
      <c r="P2668">
        <v>1E-3</v>
      </c>
      <c r="R2668" t="s">
        <v>6197</v>
      </c>
      <c r="S2668" t="s">
        <v>2864</v>
      </c>
      <c r="V2668" t="s">
        <v>2855</v>
      </c>
      <c r="W2668" t="s">
        <v>2898</v>
      </c>
      <c r="AD2668" t="s">
        <v>6198</v>
      </c>
    </row>
    <row r="2669" spans="1:32" x14ac:dyDescent="0.25">
      <c r="A2669" t="s">
        <v>33</v>
      </c>
      <c r="D2669" t="s">
        <v>2847</v>
      </c>
      <c r="E2669" t="s">
        <v>2893</v>
      </c>
      <c r="F2669" t="s">
        <v>87</v>
      </c>
      <c r="G2669" t="s">
        <v>5569</v>
      </c>
      <c r="H2669" t="s">
        <v>153</v>
      </c>
      <c r="I2669" t="s">
        <v>90</v>
      </c>
      <c r="J2669" t="s">
        <v>154</v>
      </c>
      <c r="K2669" t="s">
        <v>155</v>
      </c>
      <c r="L2669" t="s">
        <v>5570</v>
      </c>
      <c r="N2669" t="s">
        <v>5571</v>
      </c>
      <c r="O2669" t="s">
        <v>386</v>
      </c>
      <c r="R2669" t="s">
        <v>6199</v>
      </c>
      <c r="S2669" t="s">
        <v>2864</v>
      </c>
      <c r="V2669" t="s">
        <v>2855</v>
      </c>
      <c r="W2669" t="s">
        <v>2898</v>
      </c>
      <c r="AC2669" t="s">
        <v>6200</v>
      </c>
      <c r="AD2669" t="s">
        <v>6201</v>
      </c>
      <c r="AE2669" t="s">
        <v>3508</v>
      </c>
      <c r="AF2669">
        <v>7</v>
      </c>
    </row>
    <row r="2670" spans="1:32" x14ac:dyDescent="0.25">
      <c r="A2670" t="s">
        <v>33</v>
      </c>
      <c r="D2670" t="s">
        <v>2847</v>
      </c>
      <c r="E2670" t="s">
        <v>2893</v>
      </c>
      <c r="F2670" t="s">
        <v>87</v>
      </c>
      <c r="G2670" t="s">
        <v>5569</v>
      </c>
      <c r="H2670" t="s">
        <v>89</v>
      </c>
      <c r="I2670" t="s">
        <v>90</v>
      </c>
      <c r="J2670" t="s">
        <v>91</v>
      </c>
      <c r="K2670" t="s">
        <v>92</v>
      </c>
      <c r="L2670" t="s">
        <v>5570</v>
      </c>
      <c r="M2670" t="s">
        <v>94</v>
      </c>
      <c r="N2670" t="s">
        <v>5571</v>
      </c>
      <c r="O2670" t="s">
        <v>383</v>
      </c>
      <c r="P2670">
        <v>1E-3</v>
      </c>
      <c r="R2670" t="s">
        <v>6202</v>
      </c>
      <c r="S2670" t="s">
        <v>2864</v>
      </c>
      <c r="V2670" t="s">
        <v>2855</v>
      </c>
      <c r="W2670" t="s">
        <v>2898</v>
      </c>
      <c r="AD2670" t="s">
        <v>6203</v>
      </c>
    </row>
    <row r="2671" spans="1:32" x14ac:dyDescent="0.25">
      <c r="A2671" t="s">
        <v>33</v>
      </c>
      <c r="D2671" t="s">
        <v>2847</v>
      </c>
      <c r="E2671" t="s">
        <v>2893</v>
      </c>
      <c r="F2671" t="s">
        <v>87</v>
      </c>
      <c r="G2671" t="s">
        <v>5569</v>
      </c>
      <c r="H2671" t="s">
        <v>38</v>
      </c>
      <c r="I2671" t="s">
        <v>106</v>
      </c>
      <c r="J2671" t="s">
        <v>40</v>
      </c>
      <c r="K2671" t="s">
        <v>41</v>
      </c>
      <c r="L2671" t="s">
        <v>5570</v>
      </c>
      <c r="M2671" t="s">
        <v>1879</v>
      </c>
      <c r="N2671" t="s">
        <v>5571</v>
      </c>
      <c r="O2671" t="s">
        <v>109</v>
      </c>
      <c r="R2671" t="s">
        <v>6204</v>
      </c>
      <c r="S2671" t="s">
        <v>2864</v>
      </c>
      <c r="V2671" t="s">
        <v>2855</v>
      </c>
      <c r="W2671" t="s">
        <v>2898</v>
      </c>
      <c r="X2671" t="s">
        <v>1881</v>
      </c>
      <c r="AD2671" t="s">
        <v>6205</v>
      </c>
    </row>
    <row r="2672" spans="1:32" x14ac:dyDescent="0.25">
      <c r="A2672" t="s">
        <v>33</v>
      </c>
      <c r="D2672" t="s">
        <v>2847</v>
      </c>
      <c r="E2672" t="s">
        <v>2893</v>
      </c>
      <c r="F2672" t="s">
        <v>87</v>
      </c>
      <c r="G2672" t="s">
        <v>5576</v>
      </c>
      <c r="H2672" t="s">
        <v>153</v>
      </c>
      <c r="I2672" t="s">
        <v>144</v>
      </c>
      <c r="J2672" t="s">
        <v>154</v>
      </c>
      <c r="K2672" t="s">
        <v>155</v>
      </c>
      <c r="L2672" t="s">
        <v>5577</v>
      </c>
      <c r="N2672" t="s">
        <v>5578</v>
      </c>
      <c r="O2672" t="s">
        <v>156</v>
      </c>
      <c r="R2672" t="s">
        <v>6206</v>
      </c>
      <c r="S2672" t="s">
        <v>2864</v>
      </c>
      <c r="V2672" t="s">
        <v>2855</v>
      </c>
      <c r="W2672" t="s">
        <v>2898</v>
      </c>
      <c r="AD2672" t="s">
        <v>6207</v>
      </c>
    </row>
    <row r="2673" spans="1:32" x14ac:dyDescent="0.25">
      <c r="A2673" t="s">
        <v>33</v>
      </c>
      <c r="D2673" t="s">
        <v>2847</v>
      </c>
      <c r="E2673" t="s">
        <v>2893</v>
      </c>
      <c r="F2673" t="s">
        <v>87</v>
      </c>
      <c r="G2673" t="s">
        <v>5576</v>
      </c>
      <c r="H2673" t="s">
        <v>89</v>
      </c>
      <c r="I2673" t="s">
        <v>144</v>
      </c>
      <c r="J2673" t="s">
        <v>91</v>
      </c>
      <c r="K2673" t="s">
        <v>92</v>
      </c>
      <c r="L2673" t="s">
        <v>5577</v>
      </c>
      <c r="M2673" t="s">
        <v>94</v>
      </c>
      <c r="N2673" t="s">
        <v>5578</v>
      </c>
      <c r="O2673" t="s">
        <v>150</v>
      </c>
      <c r="P2673">
        <v>1E-3</v>
      </c>
      <c r="R2673" t="s">
        <v>6208</v>
      </c>
      <c r="S2673" t="s">
        <v>2864</v>
      </c>
      <c r="V2673" t="s">
        <v>2855</v>
      </c>
      <c r="W2673" t="s">
        <v>2898</v>
      </c>
      <c r="AD2673" t="s">
        <v>6209</v>
      </c>
    </row>
    <row r="2674" spans="1:32" x14ac:dyDescent="0.25">
      <c r="A2674" t="s">
        <v>33</v>
      </c>
      <c r="D2674" t="s">
        <v>2847</v>
      </c>
      <c r="E2674" t="s">
        <v>2893</v>
      </c>
      <c r="F2674" t="s">
        <v>87</v>
      </c>
      <c r="G2674" t="s">
        <v>5576</v>
      </c>
      <c r="H2674" t="s">
        <v>153</v>
      </c>
      <c r="I2674" t="s">
        <v>90</v>
      </c>
      <c r="J2674" t="s">
        <v>154</v>
      </c>
      <c r="K2674" t="s">
        <v>155</v>
      </c>
      <c r="L2674" t="s">
        <v>5577</v>
      </c>
      <c r="N2674" t="s">
        <v>5578</v>
      </c>
      <c r="O2674" t="s">
        <v>386</v>
      </c>
      <c r="R2674" t="s">
        <v>6210</v>
      </c>
      <c r="S2674" t="s">
        <v>2864</v>
      </c>
      <c r="V2674" t="s">
        <v>2855</v>
      </c>
      <c r="W2674" t="s">
        <v>2898</v>
      </c>
      <c r="AC2674" t="s">
        <v>6211</v>
      </c>
      <c r="AD2674" t="s">
        <v>6212</v>
      </c>
      <c r="AE2674" t="s">
        <v>3508</v>
      </c>
      <c r="AF2674">
        <v>8</v>
      </c>
    </row>
    <row r="2675" spans="1:32" x14ac:dyDescent="0.25">
      <c r="A2675" t="s">
        <v>33</v>
      </c>
      <c r="D2675" t="s">
        <v>2847</v>
      </c>
      <c r="E2675" t="s">
        <v>2893</v>
      </c>
      <c r="F2675" t="s">
        <v>87</v>
      </c>
      <c r="G2675" t="s">
        <v>5576</v>
      </c>
      <c r="H2675" t="s">
        <v>89</v>
      </c>
      <c r="I2675" t="s">
        <v>90</v>
      </c>
      <c r="J2675" t="s">
        <v>91</v>
      </c>
      <c r="K2675" t="s">
        <v>92</v>
      </c>
      <c r="L2675" t="s">
        <v>5577</v>
      </c>
      <c r="M2675" t="s">
        <v>94</v>
      </c>
      <c r="N2675" t="s">
        <v>5578</v>
      </c>
      <c r="O2675" t="s">
        <v>383</v>
      </c>
      <c r="P2675">
        <v>1E-3</v>
      </c>
      <c r="R2675" t="s">
        <v>6213</v>
      </c>
      <c r="S2675" t="s">
        <v>2864</v>
      </c>
      <c r="V2675" t="s">
        <v>2855</v>
      </c>
      <c r="W2675" t="s">
        <v>2898</v>
      </c>
      <c r="AD2675" t="s">
        <v>6214</v>
      </c>
    </row>
    <row r="2676" spans="1:32" x14ac:dyDescent="0.25">
      <c r="A2676" t="s">
        <v>33</v>
      </c>
      <c r="D2676" t="s">
        <v>2847</v>
      </c>
      <c r="E2676" t="s">
        <v>2893</v>
      </c>
      <c r="F2676" t="s">
        <v>87</v>
      </c>
      <c r="G2676" t="s">
        <v>5576</v>
      </c>
      <c r="H2676" t="s">
        <v>38</v>
      </c>
      <c r="I2676" t="s">
        <v>106</v>
      </c>
      <c r="J2676" t="s">
        <v>40</v>
      </c>
      <c r="K2676" t="s">
        <v>41</v>
      </c>
      <c r="L2676" t="s">
        <v>5577</v>
      </c>
      <c r="M2676" t="s">
        <v>1879</v>
      </c>
      <c r="N2676" t="s">
        <v>5578</v>
      </c>
      <c r="O2676" t="s">
        <v>109</v>
      </c>
      <c r="R2676" t="s">
        <v>6215</v>
      </c>
      <c r="S2676" t="s">
        <v>2864</v>
      </c>
      <c r="V2676" t="s">
        <v>2855</v>
      </c>
      <c r="W2676" t="s">
        <v>2898</v>
      </c>
      <c r="X2676" t="s">
        <v>1881</v>
      </c>
      <c r="AD2676" t="s">
        <v>6216</v>
      </c>
    </row>
    <row r="2677" spans="1:32" x14ac:dyDescent="0.25">
      <c r="A2677" t="s">
        <v>33</v>
      </c>
      <c r="D2677" t="s">
        <v>2847</v>
      </c>
      <c r="E2677" t="s">
        <v>2848</v>
      </c>
      <c r="F2677" t="s">
        <v>87</v>
      </c>
      <c r="G2677" t="s">
        <v>6182</v>
      </c>
      <c r="H2677" t="s">
        <v>89</v>
      </c>
      <c r="I2677" t="s">
        <v>90</v>
      </c>
      <c r="J2677" t="s">
        <v>91</v>
      </c>
      <c r="K2677" t="s">
        <v>92</v>
      </c>
      <c r="L2677" t="s">
        <v>6183</v>
      </c>
      <c r="M2677" t="s">
        <v>94</v>
      </c>
      <c r="N2677" t="s">
        <v>6184</v>
      </c>
      <c r="O2677" t="s">
        <v>383</v>
      </c>
      <c r="P2677">
        <v>1E-3</v>
      </c>
      <c r="R2677" t="s">
        <v>6217</v>
      </c>
      <c r="S2677" t="s">
        <v>2854</v>
      </c>
      <c r="V2677" t="s">
        <v>2855</v>
      </c>
      <c r="W2677" t="s">
        <v>2856</v>
      </c>
      <c r="AD2677" t="s">
        <v>6218</v>
      </c>
    </row>
    <row r="2678" spans="1:32" x14ac:dyDescent="0.25">
      <c r="A2678" t="s">
        <v>33</v>
      </c>
      <c r="D2678" t="s">
        <v>2847</v>
      </c>
      <c r="E2678" t="s">
        <v>2869</v>
      </c>
      <c r="F2678" t="s">
        <v>2870</v>
      </c>
      <c r="G2678" t="s">
        <v>5730</v>
      </c>
      <c r="H2678" t="s">
        <v>280</v>
      </c>
      <c r="I2678" t="s">
        <v>504</v>
      </c>
      <c r="J2678" t="s">
        <v>282</v>
      </c>
      <c r="K2678" t="s">
        <v>283</v>
      </c>
      <c r="L2678" t="s">
        <v>5731</v>
      </c>
      <c r="N2678" t="s">
        <v>5732</v>
      </c>
      <c r="O2678" t="s">
        <v>505</v>
      </c>
      <c r="Q2678" t="s">
        <v>3457</v>
      </c>
      <c r="R2678" t="s">
        <v>3458</v>
      </c>
      <c r="S2678" t="s">
        <v>2882</v>
      </c>
      <c r="V2678" t="s">
        <v>2855</v>
      </c>
      <c r="W2678" t="s">
        <v>2856</v>
      </c>
      <c r="AD2678" t="s">
        <v>6219</v>
      </c>
    </row>
    <row r="2679" spans="1:32" x14ac:dyDescent="0.25">
      <c r="A2679" t="s">
        <v>33</v>
      </c>
      <c r="D2679" t="s">
        <v>2847</v>
      </c>
      <c r="E2679" t="s">
        <v>2859</v>
      </c>
      <c r="F2679" t="s">
        <v>87</v>
      </c>
      <c r="G2679" t="s">
        <v>3779</v>
      </c>
      <c r="H2679" t="s">
        <v>143</v>
      </c>
      <c r="I2679" t="s">
        <v>90</v>
      </c>
      <c r="J2679" t="s">
        <v>145</v>
      </c>
      <c r="K2679" t="s">
        <v>146</v>
      </c>
      <c r="L2679" t="s">
        <v>3780</v>
      </c>
      <c r="M2679" t="s">
        <v>3327</v>
      </c>
      <c r="N2679" t="s">
        <v>3781</v>
      </c>
      <c r="O2679" t="s">
        <v>380</v>
      </c>
      <c r="R2679" t="s">
        <v>6220</v>
      </c>
      <c r="S2679" t="s">
        <v>2864</v>
      </c>
      <c r="V2679" t="s">
        <v>2855</v>
      </c>
      <c r="W2679" t="s">
        <v>2865</v>
      </c>
      <c r="X2679" t="s">
        <v>1193</v>
      </c>
      <c r="AD2679" t="s">
        <v>6221</v>
      </c>
    </row>
    <row r="2680" spans="1:32" x14ac:dyDescent="0.25">
      <c r="A2680" t="s">
        <v>33</v>
      </c>
      <c r="D2680" t="s">
        <v>2847</v>
      </c>
      <c r="E2680" t="s">
        <v>2848</v>
      </c>
      <c r="F2680" t="s">
        <v>87</v>
      </c>
      <c r="G2680" t="s">
        <v>3986</v>
      </c>
      <c r="H2680" t="s">
        <v>143</v>
      </c>
      <c r="I2680" t="s">
        <v>90</v>
      </c>
      <c r="J2680" t="s">
        <v>145</v>
      </c>
      <c r="K2680" t="s">
        <v>146</v>
      </c>
      <c r="L2680" t="s">
        <v>3987</v>
      </c>
      <c r="M2680" t="s">
        <v>252</v>
      </c>
      <c r="N2680" t="s">
        <v>3988</v>
      </c>
      <c r="O2680" t="s">
        <v>380</v>
      </c>
      <c r="R2680" t="s">
        <v>6220</v>
      </c>
      <c r="S2680" t="s">
        <v>2882</v>
      </c>
      <c r="V2680" t="s">
        <v>2855</v>
      </c>
      <c r="W2680" t="s">
        <v>2856</v>
      </c>
      <c r="AD2680" t="s">
        <v>4694</v>
      </c>
    </row>
    <row r="2681" spans="1:32" x14ac:dyDescent="0.25">
      <c r="A2681" t="s">
        <v>33</v>
      </c>
      <c r="D2681" t="s">
        <v>2847</v>
      </c>
      <c r="E2681" t="s">
        <v>2859</v>
      </c>
      <c r="F2681" t="s">
        <v>87</v>
      </c>
      <c r="G2681" t="s">
        <v>3779</v>
      </c>
      <c r="H2681" t="s">
        <v>143</v>
      </c>
      <c r="I2681" t="s">
        <v>144</v>
      </c>
      <c r="J2681" t="s">
        <v>145</v>
      </c>
      <c r="K2681" t="s">
        <v>146</v>
      </c>
      <c r="L2681" t="s">
        <v>3780</v>
      </c>
      <c r="M2681" t="s">
        <v>3327</v>
      </c>
      <c r="N2681" t="s">
        <v>3781</v>
      </c>
      <c r="O2681" t="s">
        <v>147</v>
      </c>
      <c r="R2681" t="s">
        <v>6222</v>
      </c>
      <c r="S2681" t="s">
        <v>2864</v>
      </c>
      <c r="V2681" t="s">
        <v>2855</v>
      </c>
      <c r="W2681" t="s">
        <v>2865</v>
      </c>
      <c r="X2681" t="s">
        <v>1193</v>
      </c>
      <c r="AD2681" t="s">
        <v>6223</v>
      </c>
    </row>
    <row r="2682" spans="1:32" x14ac:dyDescent="0.25">
      <c r="A2682" t="s">
        <v>33</v>
      </c>
      <c r="D2682" t="s">
        <v>2847</v>
      </c>
      <c r="E2682" t="s">
        <v>2848</v>
      </c>
      <c r="F2682" t="s">
        <v>87</v>
      </c>
      <c r="G2682" t="s">
        <v>3986</v>
      </c>
      <c r="H2682" t="s">
        <v>143</v>
      </c>
      <c r="I2682" t="s">
        <v>144</v>
      </c>
      <c r="J2682" t="s">
        <v>145</v>
      </c>
      <c r="K2682" t="s">
        <v>146</v>
      </c>
      <c r="L2682" t="s">
        <v>3987</v>
      </c>
      <c r="M2682" t="s">
        <v>252</v>
      </c>
      <c r="N2682" t="s">
        <v>3988</v>
      </c>
      <c r="O2682" t="s">
        <v>147</v>
      </c>
      <c r="R2682" t="s">
        <v>6222</v>
      </c>
      <c r="S2682" t="s">
        <v>2882</v>
      </c>
      <c r="V2682" t="s">
        <v>2855</v>
      </c>
      <c r="W2682" t="s">
        <v>2856</v>
      </c>
      <c r="AD2682" t="s">
        <v>4698</v>
      </c>
    </row>
    <row r="2683" spans="1:32" x14ac:dyDescent="0.25">
      <c r="A2683" t="s">
        <v>33</v>
      </c>
      <c r="D2683" t="s">
        <v>2847</v>
      </c>
      <c r="E2683" t="s">
        <v>2859</v>
      </c>
      <c r="F2683" t="s">
        <v>87</v>
      </c>
      <c r="G2683" t="s">
        <v>3779</v>
      </c>
      <c r="H2683" t="s">
        <v>143</v>
      </c>
      <c r="I2683" t="s">
        <v>180</v>
      </c>
      <c r="J2683" t="s">
        <v>145</v>
      </c>
      <c r="K2683" t="s">
        <v>146</v>
      </c>
      <c r="L2683" t="s">
        <v>3780</v>
      </c>
      <c r="M2683" t="s">
        <v>3327</v>
      </c>
      <c r="N2683" t="s">
        <v>3781</v>
      </c>
      <c r="O2683" t="s">
        <v>181</v>
      </c>
      <c r="R2683" t="s">
        <v>6224</v>
      </c>
      <c r="S2683" t="s">
        <v>2864</v>
      </c>
      <c r="V2683" t="s">
        <v>2855</v>
      </c>
      <c r="W2683" t="s">
        <v>2865</v>
      </c>
      <c r="X2683" t="s">
        <v>1193</v>
      </c>
      <c r="AD2683" t="s">
        <v>6225</v>
      </c>
    </row>
    <row r="2684" spans="1:32" x14ac:dyDescent="0.25">
      <c r="A2684" t="s">
        <v>33</v>
      </c>
      <c r="D2684" t="s">
        <v>2847</v>
      </c>
      <c r="E2684" t="s">
        <v>2848</v>
      </c>
      <c r="F2684" t="s">
        <v>87</v>
      </c>
      <c r="G2684" t="s">
        <v>3986</v>
      </c>
      <c r="H2684" t="s">
        <v>143</v>
      </c>
      <c r="I2684" t="s">
        <v>180</v>
      </c>
      <c r="J2684" t="s">
        <v>145</v>
      </c>
      <c r="K2684" t="s">
        <v>146</v>
      </c>
      <c r="L2684" t="s">
        <v>3987</v>
      </c>
      <c r="M2684" t="s">
        <v>252</v>
      </c>
      <c r="N2684" t="s">
        <v>3988</v>
      </c>
      <c r="O2684" t="s">
        <v>181</v>
      </c>
      <c r="R2684" t="s">
        <v>6224</v>
      </c>
      <c r="S2684" t="s">
        <v>2882</v>
      </c>
      <c r="V2684" t="s">
        <v>2855</v>
      </c>
      <c r="W2684" t="s">
        <v>2856</v>
      </c>
      <c r="AD2684" t="s">
        <v>4710</v>
      </c>
    </row>
    <row r="2685" spans="1:32" x14ac:dyDescent="0.25">
      <c r="A2685" t="s">
        <v>33</v>
      </c>
      <c r="D2685" t="s">
        <v>2847</v>
      </c>
      <c r="E2685" t="s">
        <v>2848</v>
      </c>
      <c r="F2685" t="s">
        <v>87</v>
      </c>
      <c r="G2685" t="s">
        <v>3986</v>
      </c>
      <c r="H2685" t="s">
        <v>143</v>
      </c>
      <c r="I2685" t="s">
        <v>100</v>
      </c>
      <c r="J2685" t="s">
        <v>145</v>
      </c>
      <c r="K2685" t="s">
        <v>146</v>
      </c>
      <c r="L2685" t="s">
        <v>3987</v>
      </c>
      <c r="M2685" t="s">
        <v>252</v>
      </c>
      <c r="N2685" t="s">
        <v>3988</v>
      </c>
      <c r="O2685" t="s">
        <v>442</v>
      </c>
      <c r="R2685" t="s">
        <v>6226</v>
      </c>
      <c r="S2685" t="s">
        <v>2882</v>
      </c>
      <c r="V2685" t="s">
        <v>2855</v>
      </c>
      <c r="W2685" t="s">
        <v>2856</v>
      </c>
      <c r="AD2685" t="s">
        <v>4706</v>
      </c>
    </row>
    <row r="2686" spans="1:32" x14ac:dyDescent="0.25">
      <c r="A2686" t="s">
        <v>33</v>
      </c>
      <c r="D2686" t="s">
        <v>2847</v>
      </c>
      <c r="E2686" t="s">
        <v>2848</v>
      </c>
      <c r="F2686" t="s">
        <v>87</v>
      </c>
      <c r="G2686" t="s">
        <v>4003</v>
      </c>
      <c r="H2686" t="s">
        <v>143</v>
      </c>
      <c r="I2686" t="s">
        <v>90</v>
      </c>
      <c r="J2686" t="s">
        <v>145</v>
      </c>
      <c r="K2686" t="s">
        <v>146</v>
      </c>
      <c r="L2686" t="s">
        <v>4004</v>
      </c>
      <c r="M2686" t="s">
        <v>252</v>
      </c>
      <c r="N2686" t="s">
        <v>4005</v>
      </c>
      <c r="O2686" t="s">
        <v>380</v>
      </c>
      <c r="R2686" t="s">
        <v>6227</v>
      </c>
      <c r="S2686" t="s">
        <v>2882</v>
      </c>
      <c r="V2686" t="s">
        <v>2855</v>
      </c>
      <c r="W2686" t="s">
        <v>2856</v>
      </c>
      <c r="AD2686" t="s">
        <v>4720</v>
      </c>
    </row>
    <row r="2687" spans="1:32" x14ac:dyDescent="0.25">
      <c r="A2687" t="s">
        <v>33</v>
      </c>
      <c r="D2687" t="s">
        <v>2847</v>
      </c>
      <c r="E2687" t="s">
        <v>2859</v>
      </c>
      <c r="F2687" t="s">
        <v>87</v>
      </c>
      <c r="G2687" t="s">
        <v>3797</v>
      </c>
      <c r="H2687" t="s">
        <v>143</v>
      </c>
      <c r="I2687" t="s">
        <v>144</v>
      </c>
      <c r="J2687" t="s">
        <v>145</v>
      </c>
      <c r="K2687" t="s">
        <v>146</v>
      </c>
      <c r="L2687" t="s">
        <v>3798</v>
      </c>
      <c r="M2687" t="s">
        <v>176</v>
      </c>
      <c r="N2687" t="s">
        <v>3799</v>
      </c>
      <c r="O2687" t="s">
        <v>147</v>
      </c>
      <c r="R2687" t="s">
        <v>6228</v>
      </c>
      <c r="S2687" t="s">
        <v>2864</v>
      </c>
      <c r="V2687" t="s">
        <v>2855</v>
      </c>
      <c r="W2687" t="s">
        <v>2865</v>
      </c>
      <c r="AD2687" t="s">
        <v>6229</v>
      </c>
    </row>
    <row r="2688" spans="1:32" x14ac:dyDescent="0.25">
      <c r="A2688" t="s">
        <v>33</v>
      </c>
      <c r="D2688" t="s">
        <v>2847</v>
      </c>
      <c r="E2688" t="s">
        <v>2848</v>
      </c>
      <c r="F2688" t="s">
        <v>87</v>
      </c>
      <c r="G2688" t="s">
        <v>4003</v>
      </c>
      <c r="H2688" t="s">
        <v>143</v>
      </c>
      <c r="I2688" t="s">
        <v>144</v>
      </c>
      <c r="J2688" t="s">
        <v>145</v>
      </c>
      <c r="K2688" t="s">
        <v>146</v>
      </c>
      <c r="L2688" t="s">
        <v>4004</v>
      </c>
      <c r="M2688" t="s">
        <v>252</v>
      </c>
      <c r="N2688" t="s">
        <v>4005</v>
      </c>
      <c r="O2688" t="s">
        <v>147</v>
      </c>
      <c r="R2688" t="s">
        <v>6228</v>
      </c>
      <c r="S2688" t="s">
        <v>2882</v>
      </c>
      <c r="V2688" t="s">
        <v>2855</v>
      </c>
      <c r="W2688" t="s">
        <v>2856</v>
      </c>
      <c r="AD2688" t="s">
        <v>4724</v>
      </c>
    </row>
    <row r="2689" spans="1:30" x14ac:dyDescent="0.25">
      <c r="A2689" t="s">
        <v>33</v>
      </c>
      <c r="D2689" t="s">
        <v>2847</v>
      </c>
      <c r="E2689" t="s">
        <v>2859</v>
      </c>
      <c r="F2689" t="s">
        <v>87</v>
      </c>
      <c r="G2689" t="s">
        <v>3797</v>
      </c>
      <c r="H2689" t="s">
        <v>143</v>
      </c>
      <c r="I2689" t="s">
        <v>180</v>
      </c>
      <c r="J2689" t="s">
        <v>145</v>
      </c>
      <c r="K2689" t="s">
        <v>146</v>
      </c>
      <c r="L2689" t="s">
        <v>3798</v>
      </c>
      <c r="M2689" t="s">
        <v>176</v>
      </c>
      <c r="N2689" t="s">
        <v>3799</v>
      </c>
      <c r="O2689" t="s">
        <v>181</v>
      </c>
      <c r="R2689" t="s">
        <v>2642</v>
      </c>
      <c r="S2689" t="s">
        <v>2864</v>
      </c>
      <c r="V2689" t="s">
        <v>2855</v>
      </c>
      <c r="W2689" t="s">
        <v>2865</v>
      </c>
      <c r="AD2689" t="s">
        <v>6230</v>
      </c>
    </row>
    <row r="2690" spans="1:30" x14ac:dyDescent="0.25">
      <c r="A2690" t="s">
        <v>33</v>
      </c>
      <c r="D2690" t="s">
        <v>2847</v>
      </c>
      <c r="E2690" t="s">
        <v>2848</v>
      </c>
      <c r="F2690" t="s">
        <v>87</v>
      </c>
      <c r="G2690" t="s">
        <v>4003</v>
      </c>
      <c r="H2690" t="s">
        <v>143</v>
      </c>
      <c r="I2690" t="s">
        <v>180</v>
      </c>
      <c r="J2690" t="s">
        <v>145</v>
      </c>
      <c r="K2690" t="s">
        <v>146</v>
      </c>
      <c r="L2690" t="s">
        <v>4004</v>
      </c>
      <c r="M2690" t="s">
        <v>252</v>
      </c>
      <c r="N2690" t="s">
        <v>4005</v>
      </c>
      <c r="O2690" t="s">
        <v>181</v>
      </c>
      <c r="R2690" t="s">
        <v>2642</v>
      </c>
      <c r="S2690" t="s">
        <v>2882</v>
      </c>
      <c r="V2690" t="s">
        <v>2855</v>
      </c>
      <c r="W2690" t="s">
        <v>2856</v>
      </c>
      <c r="AD2690" t="s">
        <v>4736</v>
      </c>
    </row>
    <row r="2691" spans="1:30" x14ac:dyDescent="0.25">
      <c r="A2691" t="s">
        <v>33</v>
      </c>
      <c r="D2691" t="s">
        <v>2847</v>
      </c>
      <c r="E2691" t="s">
        <v>2848</v>
      </c>
      <c r="F2691" t="s">
        <v>87</v>
      </c>
      <c r="G2691" t="s">
        <v>4035</v>
      </c>
      <c r="H2691" t="s">
        <v>143</v>
      </c>
      <c r="I2691" t="s">
        <v>180</v>
      </c>
      <c r="J2691" t="s">
        <v>145</v>
      </c>
      <c r="K2691" t="s">
        <v>146</v>
      </c>
      <c r="L2691" t="s">
        <v>4036</v>
      </c>
      <c r="M2691" t="s">
        <v>252</v>
      </c>
      <c r="N2691" t="s">
        <v>4037</v>
      </c>
      <c r="O2691" t="s">
        <v>181</v>
      </c>
      <c r="R2691" t="s">
        <v>2642</v>
      </c>
      <c r="S2691" t="s">
        <v>2882</v>
      </c>
      <c r="V2691" t="s">
        <v>2855</v>
      </c>
      <c r="W2691" t="s">
        <v>2856</v>
      </c>
      <c r="AD2691" t="s">
        <v>4737</v>
      </c>
    </row>
    <row r="2692" spans="1:30" x14ac:dyDescent="0.25">
      <c r="A2692" t="s">
        <v>33</v>
      </c>
      <c r="D2692" t="s">
        <v>2847</v>
      </c>
      <c r="E2692" t="s">
        <v>2848</v>
      </c>
      <c r="F2692" t="s">
        <v>87</v>
      </c>
      <c r="G2692" t="s">
        <v>4003</v>
      </c>
      <c r="H2692" t="s">
        <v>143</v>
      </c>
      <c r="I2692" t="s">
        <v>100</v>
      </c>
      <c r="J2692" t="s">
        <v>145</v>
      </c>
      <c r="K2692" t="s">
        <v>146</v>
      </c>
      <c r="L2692" t="s">
        <v>4004</v>
      </c>
      <c r="M2692" t="s">
        <v>252</v>
      </c>
      <c r="N2692" t="s">
        <v>4005</v>
      </c>
      <c r="O2692" t="s">
        <v>442</v>
      </c>
      <c r="R2692" t="s">
        <v>2645</v>
      </c>
      <c r="S2692" t="s">
        <v>2882</v>
      </c>
      <c r="V2692" t="s">
        <v>2855</v>
      </c>
      <c r="W2692" t="s">
        <v>2856</v>
      </c>
      <c r="AD2692" t="s">
        <v>4732</v>
      </c>
    </row>
    <row r="2693" spans="1:30" x14ac:dyDescent="0.25">
      <c r="A2693" t="s">
        <v>33</v>
      </c>
      <c r="D2693" t="s">
        <v>2847</v>
      </c>
      <c r="E2693" t="s">
        <v>2859</v>
      </c>
      <c r="F2693" t="s">
        <v>87</v>
      </c>
      <c r="G2693" t="s">
        <v>3891</v>
      </c>
      <c r="H2693" t="s">
        <v>143</v>
      </c>
      <c r="I2693" t="s">
        <v>90</v>
      </c>
      <c r="J2693" t="s">
        <v>145</v>
      </c>
      <c r="K2693" t="s">
        <v>146</v>
      </c>
      <c r="L2693" t="s">
        <v>3892</v>
      </c>
      <c r="M2693" t="s">
        <v>3327</v>
      </c>
      <c r="N2693" t="s">
        <v>3781</v>
      </c>
      <c r="O2693" t="s">
        <v>380</v>
      </c>
      <c r="R2693" t="s">
        <v>6231</v>
      </c>
      <c r="S2693" t="s">
        <v>2864</v>
      </c>
      <c r="V2693" t="s">
        <v>2855</v>
      </c>
      <c r="W2693" t="s">
        <v>2865</v>
      </c>
      <c r="X2693" t="s">
        <v>1193</v>
      </c>
      <c r="AD2693" t="s">
        <v>6221</v>
      </c>
    </row>
    <row r="2694" spans="1:30" x14ac:dyDescent="0.25">
      <c r="A2694" t="s">
        <v>33</v>
      </c>
      <c r="D2694" t="s">
        <v>2847</v>
      </c>
      <c r="E2694" t="s">
        <v>2848</v>
      </c>
      <c r="F2694" t="s">
        <v>87</v>
      </c>
      <c r="G2694" t="s">
        <v>4015</v>
      </c>
      <c r="H2694" t="s">
        <v>143</v>
      </c>
      <c r="I2694" t="s">
        <v>90</v>
      </c>
      <c r="J2694" t="s">
        <v>145</v>
      </c>
      <c r="K2694" t="s">
        <v>146</v>
      </c>
      <c r="L2694" t="s">
        <v>4016</v>
      </c>
      <c r="M2694" t="s">
        <v>493</v>
      </c>
      <c r="N2694" t="s">
        <v>4017</v>
      </c>
      <c r="O2694" t="s">
        <v>380</v>
      </c>
      <c r="R2694" t="s">
        <v>6231</v>
      </c>
      <c r="S2694" t="s">
        <v>2882</v>
      </c>
      <c r="V2694" t="s">
        <v>2855</v>
      </c>
      <c r="W2694" t="s">
        <v>2856</v>
      </c>
      <c r="AD2694" t="s">
        <v>5844</v>
      </c>
    </row>
    <row r="2695" spans="1:30" x14ac:dyDescent="0.25">
      <c r="A2695" t="s">
        <v>33</v>
      </c>
      <c r="D2695" t="s">
        <v>2847</v>
      </c>
      <c r="E2695" t="s">
        <v>2859</v>
      </c>
      <c r="F2695" t="s">
        <v>87</v>
      </c>
      <c r="G2695" t="s">
        <v>3891</v>
      </c>
      <c r="H2695" t="s">
        <v>143</v>
      </c>
      <c r="I2695" t="s">
        <v>144</v>
      </c>
      <c r="J2695" t="s">
        <v>145</v>
      </c>
      <c r="K2695" t="s">
        <v>146</v>
      </c>
      <c r="L2695" t="s">
        <v>3892</v>
      </c>
      <c r="M2695" t="s">
        <v>3327</v>
      </c>
      <c r="N2695" t="s">
        <v>3781</v>
      </c>
      <c r="O2695" t="s">
        <v>147</v>
      </c>
      <c r="R2695" t="s">
        <v>6232</v>
      </c>
      <c r="S2695" t="s">
        <v>2864</v>
      </c>
      <c r="V2695" t="s">
        <v>2855</v>
      </c>
      <c r="W2695" t="s">
        <v>2865</v>
      </c>
      <c r="X2695" t="s">
        <v>1193</v>
      </c>
      <c r="AD2695" t="s">
        <v>6223</v>
      </c>
    </row>
    <row r="2696" spans="1:30" x14ac:dyDescent="0.25">
      <c r="A2696" t="s">
        <v>33</v>
      </c>
      <c r="D2696" t="s">
        <v>2847</v>
      </c>
      <c r="E2696" t="s">
        <v>2848</v>
      </c>
      <c r="F2696" t="s">
        <v>87</v>
      </c>
      <c r="G2696" t="s">
        <v>4015</v>
      </c>
      <c r="H2696" t="s">
        <v>143</v>
      </c>
      <c r="I2696" t="s">
        <v>144</v>
      </c>
      <c r="J2696" t="s">
        <v>145</v>
      </c>
      <c r="K2696" t="s">
        <v>146</v>
      </c>
      <c r="L2696" t="s">
        <v>4016</v>
      </c>
      <c r="M2696" t="s">
        <v>493</v>
      </c>
      <c r="N2696" t="s">
        <v>4017</v>
      </c>
      <c r="O2696" t="s">
        <v>147</v>
      </c>
      <c r="R2696" t="s">
        <v>6232</v>
      </c>
      <c r="S2696" t="s">
        <v>2882</v>
      </c>
      <c r="V2696" t="s">
        <v>2855</v>
      </c>
      <c r="W2696" t="s">
        <v>2856</v>
      </c>
      <c r="AD2696" t="s">
        <v>5852</v>
      </c>
    </row>
    <row r="2697" spans="1:30" x14ac:dyDescent="0.25">
      <c r="A2697" t="s">
        <v>33</v>
      </c>
      <c r="D2697" t="s">
        <v>2847</v>
      </c>
      <c r="E2697" t="s">
        <v>2859</v>
      </c>
      <c r="F2697" t="s">
        <v>87</v>
      </c>
      <c r="G2697" t="s">
        <v>3891</v>
      </c>
      <c r="H2697" t="s">
        <v>143</v>
      </c>
      <c r="I2697" t="s">
        <v>180</v>
      </c>
      <c r="J2697" t="s">
        <v>145</v>
      </c>
      <c r="K2697" t="s">
        <v>146</v>
      </c>
      <c r="L2697" t="s">
        <v>3892</v>
      </c>
      <c r="M2697" t="s">
        <v>3327</v>
      </c>
      <c r="N2697" t="s">
        <v>3781</v>
      </c>
      <c r="O2697" t="s">
        <v>181</v>
      </c>
      <c r="R2697" t="s">
        <v>6233</v>
      </c>
      <c r="S2697" t="s">
        <v>2864</v>
      </c>
      <c r="V2697" t="s">
        <v>2855</v>
      </c>
      <c r="W2697" t="s">
        <v>2865</v>
      </c>
      <c r="X2697" t="s">
        <v>1193</v>
      </c>
      <c r="AD2697" t="s">
        <v>6225</v>
      </c>
    </row>
    <row r="2698" spans="1:30" x14ac:dyDescent="0.25">
      <c r="A2698" t="s">
        <v>33</v>
      </c>
      <c r="D2698" t="s">
        <v>2847</v>
      </c>
      <c r="E2698" t="s">
        <v>2848</v>
      </c>
      <c r="F2698" t="s">
        <v>87</v>
      </c>
      <c r="G2698" t="s">
        <v>4015</v>
      </c>
      <c r="H2698" t="s">
        <v>143</v>
      </c>
      <c r="I2698" t="s">
        <v>180</v>
      </c>
      <c r="J2698" t="s">
        <v>145</v>
      </c>
      <c r="K2698" t="s">
        <v>146</v>
      </c>
      <c r="L2698" t="s">
        <v>4016</v>
      </c>
      <c r="M2698" t="s">
        <v>493</v>
      </c>
      <c r="N2698" t="s">
        <v>4017</v>
      </c>
      <c r="O2698" t="s">
        <v>181</v>
      </c>
      <c r="R2698" t="s">
        <v>6233</v>
      </c>
      <c r="S2698" t="s">
        <v>2882</v>
      </c>
      <c r="V2698" t="s">
        <v>2855</v>
      </c>
      <c r="W2698" t="s">
        <v>2856</v>
      </c>
      <c r="AD2698" t="s">
        <v>5864</v>
      </c>
    </row>
    <row r="2699" spans="1:30" x14ac:dyDescent="0.25">
      <c r="A2699" t="s">
        <v>33</v>
      </c>
      <c r="D2699" t="s">
        <v>2847</v>
      </c>
      <c r="E2699" t="s">
        <v>2848</v>
      </c>
      <c r="F2699" t="s">
        <v>87</v>
      </c>
      <c r="G2699" t="s">
        <v>4015</v>
      </c>
      <c r="H2699" t="s">
        <v>143</v>
      </c>
      <c r="I2699" t="s">
        <v>100</v>
      </c>
      <c r="J2699" t="s">
        <v>145</v>
      </c>
      <c r="K2699" t="s">
        <v>146</v>
      </c>
      <c r="L2699" t="s">
        <v>4016</v>
      </c>
      <c r="M2699" t="s">
        <v>493</v>
      </c>
      <c r="N2699" t="s">
        <v>4017</v>
      </c>
      <c r="O2699" t="s">
        <v>442</v>
      </c>
      <c r="R2699" t="s">
        <v>2653</v>
      </c>
      <c r="S2699" t="s">
        <v>2882</v>
      </c>
      <c r="V2699" t="s">
        <v>2855</v>
      </c>
      <c r="W2699" t="s">
        <v>2856</v>
      </c>
      <c r="AD2699" t="s">
        <v>5860</v>
      </c>
    </row>
    <row r="2700" spans="1:30" x14ac:dyDescent="0.25">
      <c r="A2700" t="s">
        <v>33</v>
      </c>
      <c r="D2700" t="s">
        <v>2847</v>
      </c>
      <c r="E2700" t="s">
        <v>2848</v>
      </c>
      <c r="F2700" t="s">
        <v>87</v>
      </c>
      <c r="G2700" t="s">
        <v>4024</v>
      </c>
      <c r="H2700" t="s">
        <v>143</v>
      </c>
      <c r="I2700" t="s">
        <v>90</v>
      </c>
      <c r="J2700" t="s">
        <v>145</v>
      </c>
      <c r="K2700" t="s">
        <v>146</v>
      </c>
      <c r="L2700" t="s">
        <v>4025</v>
      </c>
      <c r="M2700" t="s">
        <v>493</v>
      </c>
      <c r="N2700" t="s">
        <v>4026</v>
      </c>
      <c r="O2700" t="s">
        <v>380</v>
      </c>
      <c r="R2700" t="s">
        <v>2656</v>
      </c>
      <c r="S2700" t="s">
        <v>2882</v>
      </c>
      <c r="V2700" t="s">
        <v>2855</v>
      </c>
      <c r="W2700" t="s">
        <v>2856</v>
      </c>
      <c r="AD2700" t="s">
        <v>5870</v>
      </c>
    </row>
    <row r="2701" spans="1:30" x14ac:dyDescent="0.25">
      <c r="A2701" t="s">
        <v>33</v>
      </c>
      <c r="D2701" t="s">
        <v>2847</v>
      </c>
      <c r="E2701" t="s">
        <v>2859</v>
      </c>
      <c r="F2701" t="s">
        <v>87</v>
      </c>
      <c r="G2701" t="s">
        <v>3901</v>
      </c>
      <c r="H2701" t="s">
        <v>143</v>
      </c>
      <c r="I2701" t="s">
        <v>144</v>
      </c>
      <c r="J2701" t="s">
        <v>145</v>
      </c>
      <c r="K2701" t="s">
        <v>146</v>
      </c>
      <c r="L2701" t="s">
        <v>3902</v>
      </c>
      <c r="M2701" t="s">
        <v>176</v>
      </c>
      <c r="N2701" t="s">
        <v>3799</v>
      </c>
      <c r="O2701" t="s">
        <v>147</v>
      </c>
      <c r="R2701" t="s">
        <v>6234</v>
      </c>
      <c r="S2701" t="s">
        <v>2864</v>
      </c>
      <c r="V2701" t="s">
        <v>2855</v>
      </c>
      <c r="W2701" t="s">
        <v>2865</v>
      </c>
      <c r="AD2701" t="s">
        <v>6229</v>
      </c>
    </row>
    <row r="2702" spans="1:30" x14ac:dyDescent="0.25">
      <c r="A2702" t="s">
        <v>33</v>
      </c>
      <c r="D2702" t="s">
        <v>2847</v>
      </c>
      <c r="E2702" t="s">
        <v>2848</v>
      </c>
      <c r="F2702" t="s">
        <v>87</v>
      </c>
      <c r="G2702" t="s">
        <v>4024</v>
      </c>
      <c r="H2702" t="s">
        <v>143</v>
      </c>
      <c r="I2702" t="s">
        <v>144</v>
      </c>
      <c r="J2702" t="s">
        <v>145</v>
      </c>
      <c r="K2702" t="s">
        <v>146</v>
      </c>
      <c r="L2702" t="s">
        <v>4025</v>
      </c>
      <c r="M2702" t="s">
        <v>493</v>
      </c>
      <c r="N2702" t="s">
        <v>4026</v>
      </c>
      <c r="O2702" t="s">
        <v>147</v>
      </c>
      <c r="R2702" t="s">
        <v>6234</v>
      </c>
      <c r="S2702" t="s">
        <v>2882</v>
      </c>
      <c r="V2702" t="s">
        <v>2855</v>
      </c>
      <c r="W2702" t="s">
        <v>2856</v>
      </c>
      <c r="AD2702" t="s">
        <v>5878</v>
      </c>
    </row>
    <row r="2703" spans="1:30" x14ac:dyDescent="0.25">
      <c r="A2703" t="s">
        <v>33</v>
      </c>
      <c r="D2703" t="s">
        <v>2847</v>
      </c>
      <c r="E2703" t="s">
        <v>2848</v>
      </c>
      <c r="F2703" t="s">
        <v>87</v>
      </c>
      <c r="G2703" t="s">
        <v>4024</v>
      </c>
      <c r="H2703" t="s">
        <v>143</v>
      </c>
      <c r="I2703" t="s">
        <v>180</v>
      </c>
      <c r="J2703" t="s">
        <v>145</v>
      </c>
      <c r="K2703" t="s">
        <v>146</v>
      </c>
      <c r="L2703" t="s">
        <v>4025</v>
      </c>
      <c r="M2703" t="s">
        <v>493</v>
      </c>
      <c r="N2703" t="s">
        <v>4026</v>
      </c>
      <c r="O2703" t="s">
        <v>181</v>
      </c>
      <c r="R2703" t="s">
        <v>6235</v>
      </c>
      <c r="S2703" t="s">
        <v>2882</v>
      </c>
      <c r="V2703" t="s">
        <v>2855</v>
      </c>
      <c r="W2703" t="s">
        <v>2856</v>
      </c>
      <c r="AD2703" t="s">
        <v>5890</v>
      </c>
    </row>
    <row r="2704" spans="1:30" x14ac:dyDescent="0.25">
      <c r="A2704" t="s">
        <v>33</v>
      </c>
      <c r="D2704" t="s">
        <v>2847</v>
      </c>
      <c r="E2704" t="s">
        <v>2859</v>
      </c>
      <c r="F2704" t="s">
        <v>87</v>
      </c>
      <c r="G2704" t="s">
        <v>3901</v>
      </c>
      <c r="H2704" t="s">
        <v>143</v>
      </c>
      <c r="I2704" t="s">
        <v>180</v>
      </c>
      <c r="J2704" t="s">
        <v>145</v>
      </c>
      <c r="K2704" t="s">
        <v>146</v>
      </c>
      <c r="L2704" t="s">
        <v>3902</v>
      </c>
      <c r="M2704" t="s">
        <v>176</v>
      </c>
      <c r="N2704" t="s">
        <v>3799</v>
      </c>
      <c r="O2704" t="s">
        <v>181</v>
      </c>
      <c r="R2704" t="s">
        <v>6236</v>
      </c>
      <c r="S2704" t="s">
        <v>2864</v>
      </c>
      <c r="V2704" t="s">
        <v>2855</v>
      </c>
      <c r="W2704" t="s">
        <v>2865</v>
      </c>
      <c r="AD2704" t="s">
        <v>6230</v>
      </c>
    </row>
    <row r="2705" spans="1:30" x14ac:dyDescent="0.25">
      <c r="A2705" t="s">
        <v>33</v>
      </c>
      <c r="D2705" t="s">
        <v>2847</v>
      </c>
      <c r="E2705" t="s">
        <v>2848</v>
      </c>
      <c r="F2705" t="s">
        <v>87</v>
      </c>
      <c r="G2705" t="s">
        <v>4024</v>
      </c>
      <c r="H2705" t="s">
        <v>143</v>
      </c>
      <c r="I2705" t="s">
        <v>100</v>
      </c>
      <c r="J2705" t="s">
        <v>145</v>
      </c>
      <c r="K2705" t="s">
        <v>146</v>
      </c>
      <c r="L2705" t="s">
        <v>4025</v>
      </c>
      <c r="M2705" t="s">
        <v>493</v>
      </c>
      <c r="N2705" t="s">
        <v>4026</v>
      </c>
      <c r="O2705" t="s">
        <v>442</v>
      </c>
      <c r="R2705" t="s">
        <v>6236</v>
      </c>
      <c r="S2705" t="s">
        <v>2882</v>
      </c>
      <c r="V2705" t="s">
        <v>2855</v>
      </c>
      <c r="W2705" t="s">
        <v>2856</v>
      </c>
      <c r="AD2705" t="s">
        <v>5886</v>
      </c>
    </row>
    <row r="2706" spans="1:30" x14ac:dyDescent="0.25">
      <c r="A2706" t="s">
        <v>33</v>
      </c>
      <c r="D2706" t="s">
        <v>2847</v>
      </c>
      <c r="E2706" t="s">
        <v>2848</v>
      </c>
      <c r="F2706" t="s">
        <v>87</v>
      </c>
      <c r="G2706" t="s">
        <v>4035</v>
      </c>
      <c r="H2706" t="s">
        <v>143</v>
      </c>
      <c r="I2706" t="s">
        <v>90</v>
      </c>
      <c r="J2706" t="s">
        <v>145</v>
      </c>
      <c r="K2706" t="s">
        <v>146</v>
      </c>
      <c r="L2706" t="s">
        <v>4036</v>
      </c>
      <c r="M2706" t="s">
        <v>252</v>
      </c>
      <c r="N2706" t="s">
        <v>4037</v>
      </c>
      <c r="O2706" t="s">
        <v>380</v>
      </c>
      <c r="R2706" t="s">
        <v>6237</v>
      </c>
      <c r="S2706" t="s">
        <v>2882</v>
      </c>
      <c r="V2706" t="s">
        <v>2855</v>
      </c>
      <c r="W2706" t="s">
        <v>2856</v>
      </c>
      <c r="AD2706" t="s">
        <v>4877</v>
      </c>
    </row>
    <row r="2707" spans="1:30" x14ac:dyDescent="0.25">
      <c r="A2707" t="s">
        <v>33</v>
      </c>
      <c r="D2707" t="s">
        <v>2847</v>
      </c>
      <c r="E2707" t="s">
        <v>2859</v>
      </c>
      <c r="F2707" t="s">
        <v>87</v>
      </c>
      <c r="G2707" t="s">
        <v>3908</v>
      </c>
      <c r="H2707" t="s">
        <v>143</v>
      </c>
      <c r="I2707" t="s">
        <v>90</v>
      </c>
      <c r="J2707" t="s">
        <v>145</v>
      </c>
      <c r="K2707" t="s">
        <v>146</v>
      </c>
      <c r="L2707" t="s">
        <v>3909</v>
      </c>
      <c r="M2707" t="s">
        <v>3327</v>
      </c>
      <c r="N2707" t="s">
        <v>3910</v>
      </c>
      <c r="O2707" t="s">
        <v>380</v>
      </c>
      <c r="R2707" t="s">
        <v>6238</v>
      </c>
      <c r="S2707" t="s">
        <v>2864</v>
      </c>
      <c r="V2707" t="s">
        <v>2855</v>
      </c>
      <c r="W2707" t="s">
        <v>2865</v>
      </c>
      <c r="X2707" t="s">
        <v>1193</v>
      </c>
      <c r="AD2707" t="s">
        <v>6239</v>
      </c>
    </row>
    <row r="2708" spans="1:30" x14ac:dyDescent="0.25">
      <c r="A2708" t="s">
        <v>33</v>
      </c>
      <c r="D2708" t="s">
        <v>2847</v>
      </c>
      <c r="E2708" t="s">
        <v>2848</v>
      </c>
      <c r="F2708" t="s">
        <v>87</v>
      </c>
      <c r="G2708" t="s">
        <v>4035</v>
      </c>
      <c r="H2708" t="s">
        <v>143</v>
      </c>
      <c r="I2708" t="s">
        <v>144</v>
      </c>
      <c r="J2708" t="s">
        <v>145</v>
      </c>
      <c r="K2708" t="s">
        <v>146</v>
      </c>
      <c r="L2708" t="s">
        <v>4036</v>
      </c>
      <c r="M2708" t="s">
        <v>252</v>
      </c>
      <c r="N2708" t="s">
        <v>4037</v>
      </c>
      <c r="O2708" t="s">
        <v>147</v>
      </c>
      <c r="R2708" t="s">
        <v>6238</v>
      </c>
      <c r="S2708" t="s">
        <v>2882</v>
      </c>
      <c r="V2708" t="s">
        <v>2855</v>
      </c>
      <c r="W2708" t="s">
        <v>2856</v>
      </c>
      <c r="AD2708" t="s">
        <v>4881</v>
      </c>
    </row>
    <row r="2709" spans="1:30" x14ac:dyDescent="0.25">
      <c r="A2709" t="s">
        <v>33</v>
      </c>
      <c r="D2709" t="s">
        <v>2847</v>
      </c>
      <c r="E2709" t="s">
        <v>2859</v>
      </c>
      <c r="F2709" t="s">
        <v>87</v>
      </c>
      <c r="G2709" t="s">
        <v>3908</v>
      </c>
      <c r="H2709" t="s">
        <v>143</v>
      </c>
      <c r="I2709" t="s">
        <v>144</v>
      </c>
      <c r="J2709" t="s">
        <v>145</v>
      </c>
      <c r="K2709" t="s">
        <v>146</v>
      </c>
      <c r="L2709" t="s">
        <v>3909</v>
      </c>
      <c r="M2709" t="s">
        <v>3327</v>
      </c>
      <c r="N2709" t="s">
        <v>3910</v>
      </c>
      <c r="O2709" t="s">
        <v>147</v>
      </c>
      <c r="R2709" t="s">
        <v>6240</v>
      </c>
      <c r="S2709" t="s">
        <v>2864</v>
      </c>
      <c r="V2709" t="s">
        <v>2855</v>
      </c>
      <c r="W2709" t="s">
        <v>2865</v>
      </c>
      <c r="X2709" t="s">
        <v>1193</v>
      </c>
      <c r="AD2709" t="s">
        <v>6241</v>
      </c>
    </row>
    <row r="2710" spans="1:30" x14ac:dyDescent="0.25">
      <c r="A2710" t="s">
        <v>33</v>
      </c>
      <c r="D2710" t="s">
        <v>2847</v>
      </c>
      <c r="E2710" t="s">
        <v>2859</v>
      </c>
      <c r="F2710" t="s">
        <v>87</v>
      </c>
      <c r="G2710" t="s">
        <v>3908</v>
      </c>
      <c r="H2710" t="s">
        <v>143</v>
      </c>
      <c r="I2710" t="s">
        <v>180</v>
      </c>
      <c r="J2710" t="s">
        <v>145</v>
      </c>
      <c r="K2710" t="s">
        <v>146</v>
      </c>
      <c r="L2710" t="s">
        <v>3909</v>
      </c>
      <c r="M2710" t="s">
        <v>3327</v>
      </c>
      <c r="N2710" t="s">
        <v>3910</v>
      </c>
      <c r="O2710" t="s">
        <v>181</v>
      </c>
      <c r="R2710" t="s">
        <v>6242</v>
      </c>
      <c r="S2710" t="s">
        <v>2864</v>
      </c>
      <c r="V2710" t="s">
        <v>2855</v>
      </c>
      <c r="W2710" t="s">
        <v>2865</v>
      </c>
      <c r="X2710" t="s">
        <v>1193</v>
      </c>
      <c r="AD2710" t="s">
        <v>6243</v>
      </c>
    </row>
    <row r="2711" spans="1:30" x14ac:dyDescent="0.25">
      <c r="A2711" t="s">
        <v>33</v>
      </c>
      <c r="D2711" t="s">
        <v>2847</v>
      </c>
      <c r="E2711" t="s">
        <v>2848</v>
      </c>
      <c r="F2711" t="s">
        <v>87</v>
      </c>
      <c r="G2711" t="s">
        <v>4035</v>
      </c>
      <c r="H2711" t="s">
        <v>143</v>
      </c>
      <c r="I2711" t="s">
        <v>100</v>
      </c>
      <c r="J2711" t="s">
        <v>145</v>
      </c>
      <c r="K2711" t="s">
        <v>146</v>
      </c>
      <c r="L2711" t="s">
        <v>4036</v>
      </c>
      <c r="M2711" t="s">
        <v>252</v>
      </c>
      <c r="N2711" t="s">
        <v>4037</v>
      </c>
      <c r="O2711" t="s">
        <v>442</v>
      </c>
      <c r="R2711" t="s">
        <v>6242</v>
      </c>
      <c r="S2711" t="s">
        <v>2882</v>
      </c>
      <c r="V2711" t="s">
        <v>2855</v>
      </c>
      <c r="W2711" t="s">
        <v>2856</v>
      </c>
      <c r="AD2711" t="s">
        <v>4892</v>
      </c>
    </row>
    <row r="2712" spans="1:30" x14ac:dyDescent="0.25">
      <c r="A2712" t="s">
        <v>33</v>
      </c>
      <c r="D2712" t="s">
        <v>2847</v>
      </c>
      <c r="E2712" t="s">
        <v>2848</v>
      </c>
      <c r="F2712" t="s">
        <v>87</v>
      </c>
      <c r="G2712" t="s">
        <v>4049</v>
      </c>
      <c r="H2712" t="s">
        <v>143</v>
      </c>
      <c r="I2712" t="s">
        <v>90</v>
      </c>
      <c r="J2712" t="s">
        <v>145</v>
      </c>
      <c r="K2712" t="s">
        <v>146</v>
      </c>
      <c r="L2712" t="s">
        <v>4050</v>
      </c>
      <c r="M2712" t="s">
        <v>493</v>
      </c>
      <c r="N2712" t="s">
        <v>4051</v>
      </c>
      <c r="O2712" t="s">
        <v>380</v>
      </c>
      <c r="R2712" t="s">
        <v>6244</v>
      </c>
      <c r="S2712" t="s">
        <v>2882</v>
      </c>
      <c r="V2712" t="s">
        <v>2855</v>
      </c>
      <c r="W2712" t="s">
        <v>2856</v>
      </c>
      <c r="AD2712" t="s">
        <v>5896</v>
      </c>
    </row>
    <row r="2713" spans="1:30" x14ac:dyDescent="0.25">
      <c r="A2713" t="s">
        <v>33</v>
      </c>
      <c r="D2713" t="s">
        <v>2847</v>
      </c>
      <c r="E2713" t="s">
        <v>2848</v>
      </c>
      <c r="F2713" t="s">
        <v>87</v>
      </c>
      <c r="G2713" t="s">
        <v>4049</v>
      </c>
      <c r="H2713" t="s">
        <v>143</v>
      </c>
      <c r="I2713" t="s">
        <v>144</v>
      </c>
      <c r="J2713" t="s">
        <v>145</v>
      </c>
      <c r="K2713" t="s">
        <v>146</v>
      </c>
      <c r="L2713" t="s">
        <v>4050</v>
      </c>
      <c r="M2713" t="s">
        <v>493</v>
      </c>
      <c r="N2713" t="s">
        <v>4051</v>
      </c>
      <c r="O2713" t="s">
        <v>147</v>
      </c>
      <c r="R2713" t="s">
        <v>6245</v>
      </c>
      <c r="S2713" t="s">
        <v>2882</v>
      </c>
      <c r="V2713" t="s">
        <v>2855</v>
      </c>
      <c r="W2713" t="s">
        <v>2856</v>
      </c>
      <c r="AD2713" t="s">
        <v>5904</v>
      </c>
    </row>
    <row r="2714" spans="1:30" x14ac:dyDescent="0.25">
      <c r="A2714" t="s">
        <v>33</v>
      </c>
      <c r="D2714" t="s">
        <v>2847</v>
      </c>
      <c r="E2714" t="s">
        <v>2848</v>
      </c>
      <c r="F2714" t="s">
        <v>87</v>
      </c>
      <c r="G2714" t="s">
        <v>4049</v>
      </c>
      <c r="H2714" t="s">
        <v>143</v>
      </c>
      <c r="I2714" t="s">
        <v>180</v>
      </c>
      <c r="J2714" t="s">
        <v>145</v>
      </c>
      <c r="K2714" t="s">
        <v>146</v>
      </c>
      <c r="L2714" t="s">
        <v>4050</v>
      </c>
      <c r="M2714" t="s">
        <v>493</v>
      </c>
      <c r="N2714" t="s">
        <v>4051</v>
      </c>
      <c r="O2714" t="s">
        <v>181</v>
      </c>
      <c r="R2714" t="s">
        <v>6246</v>
      </c>
      <c r="S2714" t="s">
        <v>2882</v>
      </c>
      <c r="V2714" t="s">
        <v>2855</v>
      </c>
      <c r="W2714" t="s">
        <v>2856</v>
      </c>
      <c r="AD2714" t="s">
        <v>5916</v>
      </c>
    </row>
    <row r="2715" spans="1:30" x14ac:dyDescent="0.25">
      <c r="A2715" t="s">
        <v>33</v>
      </c>
      <c r="D2715" t="s">
        <v>2847</v>
      </c>
      <c r="E2715" t="s">
        <v>2848</v>
      </c>
      <c r="F2715" t="s">
        <v>87</v>
      </c>
      <c r="G2715" t="s">
        <v>4049</v>
      </c>
      <c r="H2715" t="s">
        <v>143</v>
      </c>
      <c r="I2715" t="s">
        <v>100</v>
      </c>
      <c r="J2715" t="s">
        <v>145</v>
      </c>
      <c r="K2715" t="s">
        <v>146</v>
      </c>
      <c r="L2715" t="s">
        <v>4050</v>
      </c>
      <c r="M2715" t="s">
        <v>493</v>
      </c>
      <c r="N2715" t="s">
        <v>4051</v>
      </c>
      <c r="O2715" t="s">
        <v>442</v>
      </c>
      <c r="R2715" t="s">
        <v>6247</v>
      </c>
      <c r="S2715" t="s">
        <v>2882</v>
      </c>
      <c r="V2715" t="s">
        <v>2855</v>
      </c>
      <c r="W2715" t="s">
        <v>2856</v>
      </c>
      <c r="AD2715" t="s">
        <v>5912</v>
      </c>
    </row>
    <row r="2716" spans="1:30" x14ac:dyDescent="0.25">
      <c r="A2716" t="s">
        <v>33</v>
      </c>
      <c r="D2716" t="s">
        <v>2847</v>
      </c>
      <c r="E2716" t="s">
        <v>2848</v>
      </c>
      <c r="F2716" t="s">
        <v>87</v>
      </c>
      <c r="G2716" t="s">
        <v>4060</v>
      </c>
      <c r="H2716" t="s">
        <v>143</v>
      </c>
      <c r="I2716" t="s">
        <v>90</v>
      </c>
      <c r="J2716" t="s">
        <v>145</v>
      </c>
      <c r="K2716" t="s">
        <v>146</v>
      </c>
      <c r="L2716" t="s">
        <v>4061</v>
      </c>
      <c r="M2716" t="s">
        <v>493</v>
      </c>
      <c r="N2716" t="s">
        <v>4062</v>
      </c>
      <c r="O2716" t="s">
        <v>380</v>
      </c>
      <c r="R2716" t="s">
        <v>6248</v>
      </c>
      <c r="S2716" t="s">
        <v>2882</v>
      </c>
      <c r="V2716" t="s">
        <v>2855</v>
      </c>
      <c r="W2716" t="s">
        <v>2856</v>
      </c>
      <c r="AD2716" t="s">
        <v>5922</v>
      </c>
    </row>
    <row r="2717" spans="1:30" x14ac:dyDescent="0.25">
      <c r="A2717" t="s">
        <v>33</v>
      </c>
      <c r="D2717" t="s">
        <v>2847</v>
      </c>
      <c r="E2717" t="s">
        <v>2848</v>
      </c>
      <c r="F2717" t="s">
        <v>87</v>
      </c>
      <c r="G2717" t="s">
        <v>4060</v>
      </c>
      <c r="H2717" t="s">
        <v>143</v>
      </c>
      <c r="I2717" t="s">
        <v>144</v>
      </c>
      <c r="J2717" t="s">
        <v>145</v>
      </c>
      <c r="K2717" t="s">
        <v>146</v>
      </c>
      <c r="L2717" t="s">
        <v>4061</v>
      </c>
      <c r="M2717" t="s">
        <v>493</v>
      </c>
      <c r="N2717" t="s">
        <v>4062</v>
      </c>
      <c r="O2717" t="s">
        <v>147</v>
      </c>
      <c r="R2717" t="s">
        <v>6249</v>
      </c>
      <c r="S2717" t="s">
        <v>2882</v>
      </c>
      <c r="V2717" t="s">
        <v>2855</v>
      </c>
      <c r="W2717" t="s">
        <v>2856</v>
      </c>
      <c r="AD2717" t="s">
        <v>5930</v>
      </c>
    </row>
    <row r="2718" spans="1:30" x14ac:dyDescent="0.25">
      <c r="A2718" t="s">
        <v>33</v>
      </c>
      <c r="D2718" t="s">
        <v>2847</v>
      </c>
      <c r="E2718" t="s">
        <v>2848</v>
      </c>
      <c r="F2718" t="s">
        <v>87</v>
      </c>
      <c r="G2718" t="s">
        <v>4060</v>
      </c>
      <c r="H2718" t="s">
        <v>143</v>
      </c>
      <c r="I2718" t="s">
        <v>180</v>
      </c>
      <c r="J2718" t="s">
        <v>145</v>
      </c>
      <c r="K2718" t="s">
        <v>146</v>
      </c>
      <c r="L2718" t="s">
        <v>4061</v>
      </c>
      <c r="M2718" t="s">
        <v>493</v>
      </c>
      <c r="N2718" t="s">
        <v>4062</v>
      </c>
      <c r="O2718" t="s">
        <v>181</v>
      </c>
      <c r="R2718" t="s">
        <v>6250</v>
      </c>
      <c r="S2718" t="s">
        <v>2882</v>
      </c>
      <c r="V2718" t="s">
        <v>2855</v>
      </c>
      <c r="W2718" t="s">
        <v>2856</v>
      </c>
      <c r="AD2718" t="s">
        <v>5942</v>
      </c>
    </row>
    <row r="2719" spans="1:30" x14ac:dyDescent="0.25">
      <c r="A2719" t="s">
        <v>33</v>
      </c>
      <c r="D2719" t="s">
        <v>2847</v>
      </c>
      <c r="E2719" t="s">
        <v>2848</v>
      </c>
      <c r="F2719" t="s">
        <v>87</v>
      </c>
      <c r="G2719" t="s">
        <v>4060</v>
      </c>
      <c r="H2719" t="s">
        <v>143</v>
      </c>
      <c r="I2719" t="s">
        <v>100</v>
      </c>
      <c r="J2719" t="s">
        <v>145</v>
      </c>
      <c r="K2719" t="s">
        <v>146</v>
      </c>
      <c r="L2719" t="s">
        <v>4061</v>
      </c>
      <c r="M2719" t="s">
        <v>493</v>
      </c>
      <c r="N2719" t="s">
        <v>4062</v>
      </c>
      <c r="O2719" t="s">
        <v>442</v>
      </c>
      <c r="R2719" t="s">
        <v>6251</v>
      </c>
      <c r="S2719" t="s">
        <v>2882</v>
      </c>
      <c r="V2719" t="s">
        <v>2855</v>
      </c>
      <c r="W2719" t="s">
        <v>2856</v>
      </c>
      <c r="AD2719" t="s">
        <v>5938</v>
      </c>
    </row>
    <row r="2720" spans="1:30" x14ac:dyDescent="0.25">
      <c r="A2720" t="s">
        <v>947</v>
      </c>
      <c r="B2720" t="s">
        <v>1948</v>
      </c>
      <c r="C2720" t="s">
        <v>949</v>
      </c>
      <c r="D2720" t="s">
        <v>2847</v>
      </c>
      <c r="E2720" t="s">
        <v>2893</v>
      </c>
      <c r="F2720" t="s">
        <v>866</v>
      </c>
      <c r="G2720" t="s">
        <v>6027</v>
      </c>
      <c r="H2720" t="s">
        <v>143</v>
      </c>
      <c r="I2720" t="s">
        <v>6252</v>
      </c>
      <c r="J2720" t="s">
        <v>745</v>
      </c>
      <c r="K2720" t="s">
        <v>262</v>
      </c>
      <c r="L2720" t="s">
        <v>6029</v>
      </c>
      <c r="M2720" t="s">
        <v>176</v>
      </c>
      <c r="N2720" t="s">
        <v>6030</v>
      </c>
      <c r="O2720" t="s">
        <v>6253</v>
      </c>
      <c r="R2720" t="s">
        <v>6254</v>
      </c>
      <c r="S2720" t="s">
        <v>2864</v>
      </c>
      <c r="V2720" t="s">
        <v>2855</v>
      </c>
      <c r="W2720" t="s">
        <v>2865</v>
      </c>
      <c r="AD2720" t="s">
        <v>6255</v>
      </c>
    </row>
    <row r="2721" spans="1:32" x14ac:dyDescent="0.25">
      <c r="A2721" t="s">
        <v>947</v>
      </c>
      <c r="B2721" t="s">
        <v>2672</v>
      </c>
      <c r="C2721" t="s">
        <v>949</v>
      </c>
      <c r="D2721" t="s">
        <v>2847</v>
      </c>
      <c r="E2721" t="s">
        <v>2893</v>
      </c>
      <c r="F2721" t="s">
        <v>866</v>
      </c>
      <c r="G2721" t="s">
        <v>6027</v>
      </c>
      <c r="H2721" t="s">
        <v>166</v>
      </c>
      <c r="I2721" t="s">
        <v>6256</v>
      </c>
      <c r="J2721" t="s">
        <v>167</v>
      </c>
      <c r="K2721" t="s">
        <v>41</v>
      </c>
      <c r="L2721" t="s">
        <v>6029</v>
      </c>
      <c r="N2721" t="s">
        <v>6030</v>
      </c>
      <c r="O2721" t="s">
        <v>6257</v>
      </c>
      <c r="Q2721" t="s">
        <v>6258</v>
      </c>
      <c r="R2721" t="s">
        <v>6259</v>
      </c>
      <c r="S2721" t="s">
        <v>2864</v>
      </c>
      <c r="V2721" t="s">
        <v>2855</v>
      </c>
      <c r="W2721" t="s">
        <v>2865</v>
      </c>
      <c r="AD2721" t="s">
        <v>6260</v>
      </c>
      <c r="AE2721" t="s">
        <v>6261</v>
      </c>
      <c r="AF2721">
        <v>1</v>
      </c>
    </row>
    <row r="2722" spans="1:32" x14ac:dyDescent="0.25">
      <c r="A2722" t="s">
        <v>33</v>
      </c>
      <c r="D2722" t="s">
        <v>2847</v>
      </c>
      <c r="E2722" t="s">
        <v>2848</v>
      </c>
      <c r="F2722" t="s">
        <v>87</v>
      </c>
      <c r="G2722" t="s">
        <v>389</v>
      </c>
      <c r="H2722" t="s">
        <v>143</v>
      </c>
      <c r="I2722" t="s">
        <v>144</v>
      </c>
      <c r="J2722" t="s">
        <v>145</v>
      </c>
      <c r="K2722" t="s">
        <v>146</v>
      </c>
      <c r="L2722" t="s">
        <v>390</v>
      </c>
      <c r="M2722" t="s">
        <v>53</v>
      </c>
      <c r="N2722" t="s">
        <v>4067</v>
      </c>
      <c r="O2722" t="s">
        <v>147</v>
      </c>
      <c r="R2722" t="s">
        <v>3469</v>
      </c>
      <c r="S2722" t="s">
        <v>2882</v>
      </c>
      <c r="V2722" t="s">
        <v>2855</v>
      </c>
      <c r="W2722" t="s">
        <v>2856</v>
      </c>
      <c r="X2722" t="s">
        <v>56</v>
      </c>
      <c r="AD2722" t="s">
        <v>5032</v>
      </c>
    </row>
    <row r="2723" spans="1:32" x14ac:dyDescent="0.25">
      <c r="A2723" t="s">
        <v>33</v>
      </c>
      <c r="D2723" t="s">
        <v>2847</v>
      </c>
      <c r="E2723" t="s">
        <v>2859</v>
      </c>
      <c r="F2723" t="s">
        <v>87</v>
      </c>
      <c r="G2723" t="s">
        <v>2884</v>
      </c>
      <c r="H2723" t="s">
        <v>143</v>
      </c>
      <c r="I2723" t="s">
        <v>180</v>
      </c>
      <c r="J2723" t="s">
        <v>145</v>
      </c>
      <c r="K2723" t="s">
        <v>146</v>
      </c>
      <c r="L2723" t="s">
        <v>2885</v>
      </c>
      <c r="M2723" t="s">
        <v>3327</v>
      </c>
      <c r="N2723" t="s">
        <v>2886</v>
      </c>
      <c r="O2723" t="s">
        <v>181</v>
      </c>
      <c r="R2723" t="s">
        <v>6262</v>
      </c>
      <c r="S2723" t="s">
        <v>2864</v>
      </c>
      <c r="V2723" t="s">
        <v>2855</v>
      </c>
      <c r="W2723" t="s">
        <v>2865</v>
      </c>
      <c r="X2723" t="s">
        <v>1193</v>
      </c>
      <c r="AD2723" t="s">
        <v>6263</v>
      </c>
    </row>
    <row r="2724" spans="1:32" x14ac:dyDescent="0.25">
      <c r="A2724" t="s">
        <v>33</v>
      </c>
      <c r="D2724" t="s">
        <v>2847</v>
      </c>
      <c r="E2724" t="s">
        <v>2848</v>
      </c>
      <c r="F2724" t="s">
        <v>87</v>
      </c>
      <c r="G2724" t="s">
        <v>389</v>
      </c>
      <c r="H2724" t="s">
        <v>143</v>
      </c>
      <c r="I2724" t="s">
        <v>180</v>
      </c>
      <c r="J2724" t="s">
        <v>145</v>
      </c>
      <c r="K2724" t="s">
        <v>146</v>
      </c>
      <c r="L2724" t="s">
        <v>390</v>
      </c>
      <c r="M2724" t="s">
        <v>53</v>
      </c>
      <c r="N2724" t="s">
        <v>4067</v>
      </c>
      <c r="O2724" t="s">
        <v>181</v>
      </c>
      <c r="R2724" t="s">
        <v>6262</v>
      </c>
      <c r="S2724" t="s">
        <v>2882</v>
      </c>
      <c r="V2724" t="s">
        <v>2855</v>
      </c>
      <c r="W2724" t="s">
        <v>2856</v>
      </c>
      <c r="X2724" t="s">
        <v>56</v>
      </c>
      <c r="AD2724" t="s">
        <v>5046</v>
      </c>
    </row>
    <row r="2725" spans="1:32" x14ac:dyDescent="0.25">
      <c r="A2725" t="s">
        <v>33</v>
      </c>
      <c r="D2725" t="s">
        <v>2847</v>
      </c>
      <c r="E2725" t="s">
        <v>2859</v>
      </c>
      <c r="F2725" t="s">
        <v>87</v>
      </c>
      <c r="G2725" t="s">
        <v>2884</v>
      </c>
      <c r="H2725" t="s">
        <v>143</v>
      </c>
      <c r="I2725" t="s">
        <v>100</v>
      </c>
      <c r="J2725" t="s">
        <v>145</v>
      </c>
      <c r="K2725" t="s">
        <v>146</v>
      </c>
      <c r="L2725" t="s">
        <v>2885</v>
      </c>
      <c r="M2725" t="s">
        <v>3327</v>
      </c>
      <c r="N2725" t="s">
        <v>2886</v>
      </c>
      <c r="O2725" t="s">
        <v>442</v>
      </c>
      <c r="R2725" t="s">
        <v>6264</v>
      </c>
      <c r="S2725" t="s">
        <v>2864</v>
      </c>
      <c r="V2725" t="s">
        <v>2855</v>
      </c>
      <c r="W2725" t="s">
        <v>2865</v>
      </c>
      <c r="X2725" t="s">
        <v>1193</v>
      </c>
      <c r="AD2725" t="s">
        <v>6265</v>
      </c>
    </row>
    <row r="2726" spans="1:32" x14ac:dyDescent="0.25">
      <c r="A2726" t="s">
        <v>33</v>
      </c>
      <c r="D2726" t="s">
        <v>2847</v>
      </c>
      <c r="E2726" t="s">
        <v>2848</v>
      </c>
      <c r="F2726" t="s">
        <v>87</v>
      </c>
      <c r="G2726" t="s">
        <v>389</v>
      </c>
      <c r="H2726" t="s">
        <v>143</v>
      </c>
      <c r="I2726" t="s">
        <v>100</v>
      </c>
      <c r="J2726" t="s">
        <v>145</v>
      </c>
      <c r="K2726" t="s">
        <v>146</v>
      </c>
      <c r="L2726" t="s">
        <v>390</v>
      </c>
      <c r="M2726" t="s">
        <v>53</v>
      </c>
      <c r="N2726" t="s">
        <v>4067</v>
      </c>
      <c r="O2726" t="s">
        <v>442</v>
      </c>
      <c r="R2726" t="s">
        <v>6264</v>
      </c>
      <c r="S2726" t="s">
        <v>2882</v>
      </c>
      <c r="V2726" t="s">
        <v>2855</v>
      </c>
      <c r="W2726" t="s">
        <v>2856</v>
      </c>
      <c r="X2726" t="s">
        <v>56</v>
      </c>
      <c r="AD2726" t="s">
        <v>5042</v>
      </c>
    </row>
    <row r="2727" spans="1:32" x14ac:dyDescent="0.25">
      <c r="A2727" t="s">
        <v>33</v>
      </c>
      <c r="D2727" t="s">
        <v>2847</v>
      </c>
      <c r="E2727" t="s">
        <v>2859</v>
      </c>
      <c r="F2727" t="s">
        <v>87</v>
      </c>
      <c r="G2727" t="s">
        <v>3953</v>
      </c>
      <c r="H2727" t="s">
        <v>143</v>
      </c>
      <c r="I2727" t="s">
        <v>90</v>
      </c>
      <c r="J2727" t="s">
        <v>145</v>
      </c>
      <c r="K2727" t="s">
        <v>146</v>
      </c>
      <c r="L2727" t="s">
        <v>3954</v>
      </c>
      <c r="M2727" t="s">
        <v>3327</v>
      </c>
      <c r="N2727" t="s">
        <v>3955</v>
      </c>
      <c r="O2727" t="s">
        <v>380</v>
      </c>
      <c r="R2727" t="s">
        <v>6266</v>
      </c>
      <c r="S2727" t="s">
        <v>2864</v>
      </c>
      <c r="V2727" t="s">
        <v>2855</v>
      </c>
      <c r="W2727" t="s">
        <v>2865</v>
      </c>
      <c r="X2727" t="s">
        <v>1193</v>
      </c>
      <c r="AD2727" t="s">
        <v>6267</v>
      </c>
    </row>
    <row r="2728" spans="1:32" x14ac:dyDescent="0.25">
      <c r="A2728" t="s">
        <v>33</v>
      </c>
      <c r="D2728" t="s">
        <v>2847</v>
      </c>
      <c r="E2728" t="s">
        <v>2859</v>
      </c>
      <c r="F2728" t="s">
        <v>87</v>
      </c>
      <c r="G2728" t="s">
        <v>3953</v>
      </c>
      <c r="H2728" t="s">
        <v>143</v>
      </c>
      <c r="I2728" t="s">
        <v>144</v>
      </c>
      <c r="J2728" t="s">
        <v>145</v>
      </c>
      <c r="K2728" t="s">
        <v>146</v>
      </c>
      <c r="L2728" t="s">
        <v>3954</v>
      </c>
      <c r="M2728" t="s">
        <v>3327</v>
      </c>
      <c r="N2728" t="s">
        <v>3955</v>
      </c>
      <c r="O2728" t="s">
        <v>147</v>
      </c>
      <c r="R2728" t="s">
        <v>6268</v>
      </c>
      <c r="S2728" t="s">
        <v>2864</v>
      </c>
      <c r="V2728" t="s">
        <v>2855</v>
      </c>
      <c r="W2728" t="s">
        <v>2865</v>
      </c>
      <c r="X2728" t="s">
        <v>1193</v>
      </c>
      <c r="AD2728" t="s">
        <v>6269</v>
      </c>
    </row>
    <row r="2729" spans="1:32" x14ac:dyDescent="0.25">
      <c r="A2729" t="s">
        <v>33</v>
      </c>
      <c r="D2729" t="s">
        <v>2847</v>
      </c>
      <c r="E2729" t="s">
        <v>2859</v>
      </c>
      <c r="F2729" t="s">
        <v>87</v>
      </c>
      <c r="G2729" t="s">
        <v>3953</v>
      </c>
      <c r="H2729" t="s">
        <v>143</v>
      </c>
      <c r="I2729" t="s">
        <v>180</v>
      </c>
      <c r="J2729" t="s">
        <v>145</v>
      </c>
      <c r="K2729" t="s">
        <v>146</v>
      </c>
      <c r="L2729" t="s">
        <v>3954</v>
      </c>
      <c r="M2729" t="s">
        <v>3327</v>
      </c>
      <c r="N2729" t="s">
        <v>3955</v>
      </c>
      <c r="O2729" t="s">
        <v>181</v>
      </c>
      <c r="R2729" t="s">
        <v>6270</v>
      </c>
      <c r="S2729" t="s">
        <v>2864</v>
      </c>
      <c r="V2729" t="s">
        <v>2855</v>
      </c>
      <c r="W2729" t="s">
        <v>2865</v>
      </c>
      <c r="X2729" t="s">
        <v>1193</v>
      </c>
      <c r="AD2729" t="s">
        <v>6271</v>
      </c>
    </row>
    <row r="2730" spans="1:32" x14ac:dyDescent="0.25">
      <c r="A2730" t="s">
        <v>33</v>
      </c>
      <c r="D2730" t="s">
        <v>2847</v>
      </c>
      <c r="E2730" t="s">
        <v>2859</v>
      </c>
      <c r="F2730" t="s">
        <v>87</v>
      </c>
      <c r="G2730" t="s">
        <v>4222</v>
      </c>
      <c r="H2730" t="s">
        <v>143</v>
      </c>
      <c r="I2730" t="s">
        <v>90</v>
      </c>
      <c r="J2730" t="s">
        <v>145</v>
      </c>
      <c r="K2730" t="s">
        <v>146</v>
      </c>
      <c r="L2730" t="s">
        <v>4223</v>
      </c>
      <c r="M2730" t="s">
        <v>252</v>
      </c>
      <c r="N2730" t="s">
        <v>4224</v>
      </c>
      <c r="O2730" t="s">
        <v>380</v>
      </c>
      <c r="R2730" t="s">
        <v>6272</v>
      </c>
      <c r="S2730" t="s">
        <v>2864</v>
      </c>
      <c r="V2730" t="s">
        <v>2855</v>
      </c>
      <c r="W2730" t="s">
        <v>2865</v>
      </c>
      <c r="AD2730" t="s">
        <v>6273</v>
      </c>
    </row>
    <row r="2731" spans="1:32" x14ac:dyDescent="0.25">
      <c r="A2731" t="s">
        <v>33</v>
      </c>
      <c r="D2731" t="s">
        <v>2847</v>
      </c>
      <c r="E2731" t="s">
        <v>2859</v>
      </c>
      <c r="F2731" t="s">
        <v>87</v>
      </c>
      <c r="G2731" t="s">
        <v>4222</v>
      </c>
      <c r="H2731" t="s">
        <v>143</v>
      </c>
      <c r="I2731" t="s">
        <v>144</v>
      </c>
      <c r="J2731" t="s">
        <v>145</v>
      </c>
      <c r="K2731" t="s">
        <v>146</v>
      </c>
      <c r="L2731" t="s">
        <v>4223</v>
      </c>
      <c r="M2731" t="s">
        <v>252</v>
      </c>
      <c r="N2731" t="s">
        <v>4224</v>
      </c>
      <c r="O2731" t="s">
        <v>147</v>
      </c>
      <c r="R2731" t="s">
        <v>6274</v>
      </c>
      <c r="S2731" t="s">
        <v>2864</v>
      </c>
      <c r="V2731" t="s">
        <v>2855</v>
      </c>
      <c r="W2731" t="s">
        <v>2865</v>
      </c>
      <c r="AD2731" t="s">
        <v>6275</v>
      </c>
    </row>
    <row r="2732" spans="1:32" x14ac:dyDescent="0.25">
      <c r="A2732" t="s">
        <v>33</v>
      </c>
      <c r="D2732" t="s">
        <v>2847</v>
      </c>
      <c r="E2732" t="s">
        <v>2859</v>
      </c>
      <c r="F2732" t="s">
        <v>87</v>
      </c>
      <c r="G2732" t="s">
        <v>4222</v>
      </c>
      <c r="H2732" t="s">
        <v>143</v>
      </c>
      <c r="I2732" t="s">
        <v>180</v>
      </c>
      <c r="J2732" t="s">
        <v>145</v>
      </c>
      <c r="K2732" t="s">
        <v>146</v>
      </c>
      <c r="L2732" t="s">
        <v>4223</v>
      </c>
      <c r="M2732" t="s">
        <v>252</v>
      </c>
      <c r="N2732" t="s">
        <v>4224</v>
      </c>
      <c r="O2732" t="s">
        <v>181</v>
      </c>
      <c r="R2732" t="s">
        <v>6276</v>
      </c>
      <c r="S2732" t="s">
        <v>2864</v>
      </c>
      <c r="V2732" t="s">
        <v>2855</v>
      </c>
      <c r="W2732" t="s">
        <v>2865</v>
      </c>
      <c r="AD2732" t="s">
        <v>6277</v>
      </c>
    </row>
    <row r="2733" spans="1:32" x14ac:dyDescent="0.25">
      <c r="A2733" t="s">
        <v>33</v>
      </c>
      <c r="D2733" t="s">
        <v>2847</v>
      </c>
      <c r="E2733" t="s">
        <v>2893</v>
      </c>
      <c r="F2733" t="s">
        <v>87</v>
      </c>
      <c r="G2733" t="s">
        <v>4857</v>
      </c>
      <c r="H2733" t="s">
        <v>143</v>
      </c>
      <c r="I2733" t="s">
        <v>100</v>
      </c>
      <c r="J2733" t="s">
        <v>145</v>
      </c>
      <c r="K2733" t="s">
        <v>146</v>
      </c>
      <c r="L2733" t="s">
        <v>4858</v>
      </c>
      <c r="M2733" t="s">
        <v>252</v>
      </c>
      <c r="N2733" t="s">
        <v>4859</v>
      </c>
      <c r="O2733" t="s">
        <v>442</v>
      </c>
      <c r="R2733" t="s">
        <v>6278</v>
      </c>
      <c r="S2733" t="s">
        <v>2864</v>
      </c>
      <c r="V2733" t="s">
        <v>2855</v>
      </c>
      <c r="W2733" t="s">
        <v>2898</v>
      </c>
      <c r="AD2733" t="s">
        <v>6279</v>
      </c>
    </row>
    <row r="2734" spans="1:32" x14ac:dyDescent="0.25">
      <c r="A2734" t="s">
        <v>33</v>
      </c>
      <c r="D2734" t="s">
        <v>2847</v>
      </c>
      <c r="E2734" t="s">
        <v>2893</v>
      </c>
      <c r="F2734" t="s">
        <v>87</v>
      </c>
      <c r="G2734" t="s">
        <v>4917</v>
      </c>
      <c r="H2734" t="s">
        <v>143</v>
      </c>
      <c r="I2734" t="s">
        <v>100</v>
      </c>
      <c r="J2734" t="s">
        <v>145</v>
      </c>
      <c r="K2734" t="s">
        <v>146</v>
      </c>
      <c r="L2734" t="s">
        <v>4918</v>
      </c>
      <c r="M2734" t="s">
        <v>252</v>
      </c>
      <c r="N2734" t="s">
        <v>4919</v>
      </c>
      <c r="O2734" t="s">
        <v>442</v>
      </c>
      <c r="R2734" t="s">
        <v>6278</v>
      </c>
      <c r="S2734" t="s">
        <v>2864</v>
      </c>
      <c r="V2734" t="s">
        <v>2855</v>
      </c>
      <c r="W2734" t="s">
        <v>2898</v>
      </c>
      <c r="AD2734" t="s">
        <v>6280</v>
      </c>
    </row>
    <row r="2735" spans="1:32" x14ac:dyDescent="0.25">
      <c r="A2735" t="s">
        <v>33</v>
      </c>
      <c r="D2735" t="s">
        <v>2847</v>
      </c>
      <c r="E2735" t="s">
        <v>2848</v>
      </c>
      <c r="F2735" t="s">
        <v>2849</v>
      </c>
      <c r="G2735" t="s">
        <v>5721</v>
      </c>
      <c r="H2735" t="s">
        <v>280</v>
      </c>
      <c r="I2735" t="s">
        <v>1263</v>
      </c>
      <c r="J2735" t="s">
        <v>282</v>
      </c>
      <c r="K2735" t="s">
        <v>283</v>
      </c>
      <c r="L2735" t="s">
        <v>5722</v>
      </c>
      <c r="N2735" t="s">
        <v>5723</v>
      </c>
      <c r="O2735" t="s">
        <v>1264</v>
      </c>
      <c r="Q2735" t="s">
        <v>6281</v>
      </c>
      <c r="R2735" t="s">
        <v>6282</v>
      </c>
      <c r="S2735" t="s">
        <v>2882</v>
      </c>
      <c r="V2735" t="s">
        <v>2855</v>
      </c>
      <c r="W2735" t="s">
        <v>2856</v>
      </c>
      <c r="AD2735" t="s">
        <v>6283</v>
      </c>
    </row>
    <row r="2736" spans="1:32" x14ac:dyDescent="0.25">
      <c r="A2736" t="s">
        <v>33</v>
      </c>
      <c r="D2736" t="s">
        <v>2847</v>
      </c>
      <c r="E2736" t="s">
        <v>2893</v>
      </c>
      <c r="F2736" t="s">
        <v>87</v>
      </c>
      <c r="G2736" t="s">
        <v>4917</v>
      </c>
      <c r="H2736" t="s">
        <v>143</v>
      </c>
      <c r="I2736" t="s">
        <v>180</v>
      </c>
      <c r="J2736" t="s">
        <v>145</v>
      </c>
      <c r="K2736" t="s">
        <v>146</v>
      </c>
      <c r="L2736" t="s">
        <v>4918</v>
      </c>
      <c r="M2736" t="s">
        <v>252</v>
      </c>
      <c r="N2736" t="s">
        <v>4919</v>
      </c>
      <c r="O2736" t="s">
        <v>181</v>
      </c>
      <c r="R2736" t="s">
        <v>5777</v>
      </c>
      <c r="S2736" t="s">
        <v>2864</v>
      </c>
      <c r="V2736" t="s">
        <v>2855</v>
      </c>
      <c r="W2736" t="s">
        <v>2898</v>
      </c>
      <c r="AD2736" t="s">
        <v>6284</v>
      </c>
    </row>
    <row r="2737" spans="1:30" x14ac:dyDescent="0.25">
      <c r="A2737" t="s">
        <v>33</v>
      </c>
      <c r="D2737" t="s">
        <v>2847</v>
      </c>
      <c r="E2737" t="s">
        <v>2893</v>
      </c>
      <c r="F2737" t="s">
        <v>87</v>
      </c>
      <c r="G2737" t="s">
        <v>4932</v>
      </c>
      <c r="H2737" t="s">
        <v>143</v>
      </c>
      <c r="I2737" t="s">
        <v>90</v>
      </c>
      <c r="J2737" t="s">
        <v>145</v>
      </c>
      <c r="K2737" t="s">
        <v>146</v>
      </c>
      <c r="L2737" t="s">
        <v>4933</v>
      </c>
      <c r="M2737" t="s">
        <v>252</v>
      </c>
      <c r="N2737" t="s">
        <v>4934</v>
      </c>
      <c r="O2737" t="s">
        <v>380</v>
      </c>
      <c r="R2737" t="s">
        <v>6285</v>
      </c>
      <c r="S2737" t="s">
        <v>2864</v>
      </c>
      <c r="V2737" t="s">
        <v>2855</v>
      </c>
      <c r="W2737" t="s">
        <v>2898</v>
      </c>
      <c r="AD2737" t="s">
        <v>6286</v>
      </c>
    </row>
    <row r="2738" spans="1:30" x14ac:dyDescent="0.25">
      <c r="A2738" t="s">
        <v>33</v>
      </c>
      <c r="D2738" t="s">
        <v>2847</v>
      </c>
      <c r="E2738" t="s">
        <v>2848</v>
      </c>
      <c r="F2738" t="s">
        <v>854</v>
      </c>
      <c r="G2738" t="s">
        <v>2988</v>
      </c>
      <c r="H2738" t="s">
        <v>280</v>
      </c>
      <c r="I2738" t="s">
        <v>3311</v>
      </c>
      <c r="J2738" t="s">
        <v>282</v>
      </c>
      <c r="K2738" t="s">
        <v>283</v>
      </c>
      <c r="L2738" t="s">
        <v>2989</v>
      </c>
      <c r="N2738" t="s">
        <v>2990</v>
      </c>
      <c r="O2738" t="s">
        <v>3312</v>
      </c>
      <c r="Q2738" t="s">
        <v>3313</v>
      </c>
      <c r="R2738" t="s">
        <v>6287</v>
      </c>
      <c r="S2738" t="s">
        <v>2882</v>
      </c>
      <c r="V2738" t="s">
        <v>2855</v>
      </c>
      <c r="W2738" t="s">
        <v>2856</v>
      </c>
      <c r="AD2738" t="s">
        <v>6288</v>
      </c>
    </row>
    <row r="2739" spans="1:30" x14ac:dyDescent="0.25">
      <c r="A2739" t="s">
        <v>33</v>
      </c>
      <c r="D2739" t="s">
        <v>2847</v>
      </c>
      <c r="E2739" t="s">
        <v>2893</v>
      </c>
      <c r="F2739" t="s">
        <v>87</v>
      </c>
      <c r="G2739" t="s">
        <v>4932</v>
      </c>
      <c r="H2739" t="s">
        <v>143</v>
      </c>
      <c r="I2739" t="s">
        <v>144</v>
      </c>
      <c r="J2739" t="s">
        <v>145</v>
      </c>
      <c r="K2739" t="s">
        <v>146</v>
      </c>
      <c r="L2739" t="s">
        <v>4933</v>
      </c>
      <c r="M2739" t="s">
        <v>252</v>
      </c>
      <c r="N2739" t="s">
        <v>4934</v>
      </c>
      <c r="O2739" t="s">
        <v>147</v>
      </c>
      <c r="R2739" t="s">
        <v>6287</v>
      </c>
      <c r="S2739" t="s">
        <v>2864</v>
      </c>
      <c r="V2739" t="s">
        <v>2855</v>
      </c>
      <c r="W2739" t="s">
        <v>2898</v>
      </c>
      <c r="AD2739" t="s">
        <v>6289</v>
      </c>
    </row>
    <row r="2740" spans="1:30" x14ac:dyDescent="0.25">
      <c r="A2740" t="s">
        <v>33</v>
      </c>
      <c r="D2740" t="s">
        <v>2847</v>
      </c>
      <c r="E2740" t="s">
        <v>2893</v>
      </c>
      <c r="F2740" t="s">
        <v>866</v>
      </c>
      <c r="G2740" t="s">
        <v>6027</v>
      </c>
      <c r="H2740" t="s">
        <v>143</v>
      </c>
      <c r="I2740" t="s">
        <v>1285</v>
      </c>
      <c r="J2740" t="s">
        <v>145</v>
      </c>
      <c r="K2740" t="s">
        <v>146</v>
      </c>
      <c r="L2740" t="s">
        <v>6029</v>
      </c>
      <c r="M2740" t="s">
        <v>3327</v>
      </c>
      <c r="N2740" t="s">
        <v>6030</v>
      </c>
      <c r="O2740" t="s">
        <v>1286</v>
      </c>
      <c r="R2740" t="s">
        <v>6290</v>
      </c>
      <c r="S2740" t="s">
        <v>2864</v>
      </c>
      <c r="V2740" t="s">
        <v>2855</v>
      </c>
      <c r="W2740" t="s">
        <v>2865</v>
      </c>
      <c r="X2740" t="s">
        <v>1193</v>
      </c>
      <c r="AD2740" t="s">
        <v>6291</v>
      </c>
    </row>
    <row r="2741" spans="1:30" x14ac:dyDescent="0.25">
      <c r="A2741" t="s">
        <v>33</v>
      </c>
      <c r="D2741" t="s">
        <v>2847</v>
      </c>
      <c r="E2741" t="s">
        <v>2893</v>
      </c>
      <c r="F2741" t="s">
        <v>87</v>
      </c>
      <c r="G2741" t="s">
        <v>4857</v>
      </c>
      <c r="H2741" t="s">
        <v>143</v>
      </c>
      <c r="I2741" t="s">
        <v>180</v>
      </c>
      <c r="J2741" t="s">
        <v>145</v>
      </c>
      <c r="K2741" t="s">
        <v>146</v>
      </c>
      <c r="L2741" t="s">
        <v>4858</v>
      </c>
      <c r="M2741" t="s">
        <v>252</v>
      </c>
      <c r="N2741" t="s">
        <v>4859</v>
      </c>
      <c r="O2741" t="s">
        <v>181</v>
      </c>
      <c r="R2741" t="s">
        <v>6292</v>
      </c>
      <c r="S2741" t="s">
        <v>2864</v>
      </c>
      <c r="V2741" t="s">
        <v>2855</v>
      </c>
      <c r="W2741" t="s">
        <v>2898</v>
      </c>
      <c r="AD2741" t="s">
        <v>6293</v>
      </c>
    </row>
    <row r="2742" spans="1:30" x14ac:dyDescent="0.25">
      <c r="A2742" t="s">
        <v>33</v>
      </c>
      <c r="D2742" t="s">
        <v>2847</v>
      </c>
      <c r="E2742" t="s">
        <v>2893</v>
      </c>
      <c r="F2742" t="s">
        <v>87</v>
      </c>
      <c r="G2742" t="s">
        <v>4903</v>
      </c>
      <c r="H2742" t="s">
        <v>143</v>
      </c>
      <c r="I2742" t="s">
        <v>90</v>
      </c>
      <c r="J2742" t="s">
        <v>145</v>
      </c>
      <c r="K2742" t="s">
        <v>146</v>
      </c>
      <c r="L2742" t="s">
        <v>4904</v>
      </c>
      <c r="M2742" t="s">
        <v>252</v>
      </c>
      <c r="N2742" t="s">
        <v>4905</v>
      </c>
      <c r="O2742" t="s">
        <v>380</v>
      </c>
      <c r="R2742" t="s">
        <v>6294</v>
      </c>
      <c r="S2742" t="s">
        <v>2864</v>
      </c>
      <c r="V2742" t="s">
        <v>2855</v>
      </c>
      <c r="W2742" t="s">
        <v>2898</v>
      </c>
      <c r="AD2742" t="s">
        <v>6295</v>
      </c>
    </row>
    <row r="2743" spans="1:30" x14ac:dyDescent="0.25">
      <c r="A2743" t="s">
        <v>33</v>
      </c>
      <c r="D2743" t="s">
        <v>2847</v>
      </c>
      <c r="E2743" t="s">
        <v>2893</v>
      </c>
      <c r="F2743" t="s">
        <v>87</v>
      </c>
      <c r="G2743" t="s">
        <v>4903</v>
      </c>
      <c r="H2743" t="s">
        <v>143</v>
      </c>
      <c r="I2743" t="s">
        <v>144</v>
      </c>
      <c r="J2743" t="s">
        <v>145</v>
      </c>
      <c r="K2743" t="s">
        <v>146</v>
      </c>
      <c r="L2743" t="s">
        <v>4904</v>
      </c>
      <c r="M2743" t="s">
        <v>252</v>
      </c>
      <c r="N2743" t="s">
        <v>4905</v>
      </c>
      <c r="O2743" t="s">
        <v>147</v>
      </c>
      <c r="R2743" t="s">
        <v>6296</v>
      </c>
      <c r="S2743" t="s">
        <v>2864</v>
      </c>
      <c r="V2743" t="s">
        <v>2855</v>
      </c>
      <c r="W2743" t="s">
        <v>2898</v>
      </c>
      <c r="AD2743" t="s">
        <v>6297</v>
      </c>
    </row>
    <row r="2744" spans="1:30" x14ac:dyDescent="0.25">
      <c r="A2744" t="s">
        <v>33</v>
      </c>
      <c r="D2744" t="s">
        <v>2847</v>
      </c>
      <c r="E2744" t="s">
        <v>2893</v>
      </c>
      <c r="F2744" t="s">
        <v>36</v>
      </c>
      <c r="G2744" t="s">
        <v>3524</v>
      </c>
      <c r="H2744" t="s">
        <v>143</v>
      </c>
      <c r="I2744" t="s">
        <v>90</v>
      </c>
      <c r="J2744" t="s">
        <v>145</v>
      </c>
      <c r="K2744" t="s">
        <v>146</v>
      </c>
      <c r="L2744" t="s">
        <v>3525</v>
      </c>
      <c r="M2744" t="s">
        <v>3483</v>
      </c>
      <c r="N2744" t="s">
        <v>3526</v>
      </c>
      <c r="O2744" t="s">
        <v>380</v>
      </c>
      <c r="R2744" t="s">
        <v>6298</v>
      </c>
      <c r="S2744" t="s">
        <v>2864</v>
      </c>
      <c r="V2744" t="s">
        <v>2855</v>
      </c>
      <c r="W2744" t="s">
        <v>2898</v>
      </c>
      <c r="X2744" t="s">
        <v>963</v>
      </c>
      <c r="AD2744" t="s">
        <v>6299</v>
      </c>
    </row>
    <row r="2745" spans="1:30" x14ac:dyDescent="0.25">
      <c r="A2745" t="s">
        <v>33</v>
      </c>
      <c r="D2745" t="s">
        <v>2847</v>
      </c>
      <c r="E2745" t="s">
        <v>2893</v>
      </c>
      <c r="F2745" t="s">
        <v>36</v>
      </c>
      <c r="G2745" t="s">
        <v>3524</v>
      </c>
      <c r="H2745" t="s">
        <v>143</v>
      </c>
      <c r="I2745" t="s">
        <v>144</v>
      </c>
      <c r="J2745" t="s">
        <v>145</v>
      </c>
      <c r="K2745" t="s">
        <v>146</v>
      </c>
      <c r="L2745" t="s">
        <v>3525</v>
      </c>
      <c r="M2745" t="s">
        <v>3483</v>
      </c>
      <c r="N2745" t="s">
        <v>3526</v>
      </c>
      <c r="O2745" t="s">
        <v>147</v>
      </c>
      <c r="R2745" t="s">
        <v>5263</v>
      </c>
      <c r="S2745" t="s">
        <v>2864</v>
      </c>
      <c r="V2745" t="s">
        <v>2855</v>
      </c>
      <c r="W2745" t="s">
        <v>2898</v>
      </c>
      <c r="X2745" t="s">
        <v>963</v>
      </c>
      <c r="AD2745" t="s">
        <v>6300</v>
      </c>
    </row>
    <row r="2746" spans="1:30" x14ac:dyDescent="0.25">
      <c r="A2746" t="s">
        <v>33</v>
      </c>
      <c r="D2746" t="s">
        <v>2847</v>
      </c>
      <c r="E2746" t="s">
        <v>2893</v>
      </c>
      <c r="F2746" t="s">
        <v>78</v>
      </c>
      <c r="G2746" t="s">
        <v>6036</v>
      </c>
      <c r="H2746" t="s">
        <v>143</v>
      </c>
      <c r="I2746" t="s">
        <v>272</v>
      </c>
      <c r="J2746" t="s">
        <v>145</v>
      </c>
      <c r="K2746" t="s">
        <v>146</v>
      </c>
      <c r="L2746" t="s">
        <v>6037</v>
      </c>
      <c r="N2746" t="s">
        <v>6038</v>
      </c>
      <c r="O2746" t="s">
        <v>273</v>
      </c>
      <c r="R2746" t="s">
        <v>6301</v>
      </c>
      <c r="S2746" t="s">
        <v>2864</v>
      </c>
      <c r="V2746" t="s">
        <v>2855</v>
      </c>
      <c r="W2746" t="s">
        <v>2898</v>
      </c>
      <c r="X2746" t="s">
        <v>270</v>
      </c>
      <c r="AD2746" t="s">
        <v>6302</v>
      </c>
    </row>
    <row r="2747" spans="1:30" x14ac:dyDescent="0.25">
      <c r="A2747" t="s">
        <v>33</v>
      </c>
      <c r="D2747" t="s">
        <v>2847</v>
      </c>
      <c r="E2747" t="s">
        <v>2893</v>
      </c>
      <c r="F2747" t="s">
        <v>36</v>
      </c>
      <c r="G2747" t="s">
        <v>3524</v>
      </c>
      <c r="H2747" t="s">
        <v>143</v>
      </c>
      <c r="I2747" t="s">
        <v>180</v>
      </c>
      <c r="J2747" t="s">
        <v>145</v>
      </c>
      <c r="K2747" t="s">
        <v>146</v>
      </c>
      <c r="L2747" t="s">
        <v>3525</v>
      </c>
      <c r="M2747" t="s">
        <v>3483</v>
      </c>
      <c r="N2747" t="s">
        <v>3526</v>
      </c>
      <c r="O2747" t="s">
        <v>181</v>
      </c>
      <c r="R2747" t="s">
        <v>6303</v>
      </c>
      <c r="S2747" t="s">
        <v>2864</v>
      </c>
      <c r="V2747" t="s">
        <v>2855</v>
      </c>
      <c r="W2747" t="s">
        <v>2898</v>
      </c>
      <c r="X2747" t="s">
        <v>963</v>
      </c>
      <c r="AD2747" t="s">
        <v>6304</v>
      </c>
    </row>
    <row r="2748" spans="1:30" x14ac:dyDescent="0.25">
      <c r="A2748" t="s">
        <v>33</v>
      </c>
      <c r="D2748" t="s">
        <v>2847</v>
      </c>
      <c r="E2748" t="s">
        <v>2893</v>
      </c>
      <c r="F2748" t="s">
        <v>36</v>
      </c>
      <c r="G2748" t="s">
        <v>3524</v>
      </c>
      <c r="H2748" t="s">
        <v>143</v>
      </c>
      <c r="I2748" t="s">
        <v>100</v>
      </c>
      <c r="J2748" t="s">
        <v>145</v>
      </c>
      <c r="K2748" t="s">
        <v>146</v>
      </c>
      <c r="L2748" t="s">
        <v>3525</v>
      </c>
      <c r="M2748" t="s">
        <v>3483</v>
      </c>
      <c r="N2748" t="s">
        <v>3526</v>
      </c>
      <c r="O2748" t="s">
        <v>442</v>
      </c>
      <c r="R2748" t="s">
        <v>6305</v>
      </c>
      <c r="S2748" t="s">
        <v>2864</v>
      </c>
      <c r="V2748" t="s">
        <v>2855</v>
      </c>
      <c r="W2748" t="s">
        <v>2898</v>
      </c>
      <c r="X2748" t="s">
        <v>963</v>
      </c>
      <c r="AD2748" t="s">
        <v>6306</v>
      </c>
    </row>
    <row r="2749" spans="1:30" x14ac:dyDescent="0.25">
      <c r="A2749" t="s">
        <v>33</v>
      </c>
      <c r="D2749" t="s">
        <v>2847</v>
      </c>
      <c r="E2749" t="s">
        <v>2893</v>
      </c>
      <c r="F2749" t="s">
        <v>87</v>
      </c>
      <c r="G2749" t="s">
        <v>5170</v>
      </c>
      <c r="H2749" t="s">
        <v>143</v>
      </c>
      <c r="I2749" t="s">
        <v>180</v>
      </c>
      <c r="J2749" t="s">
        <v>145</v>
      </c>
      <c r="K2749" t="s">
        <v>146</v>
      </c>
      <c r="L2749" t="s">
        <v>5171</v>
      </c>
      <c r="M2749" t="s">
        <v>252</v>
      </c>
      <c r="N2749" t="s">
        <v>5172</v>
      </c>
      <c r="O2749" t="s">
        <v>181</v>
      </c>
      <c r="R2749" t="s">
        <v>6307</v>
      </c>
      <c r="S2749" t="s">
        <v>2864</v>
      </c>
      <c r="V2749" t="s">
        <v>2855</v>
      </c>
      <c r="W2749" t="s">
        <v>2898</v>
      </c>
      <c r="AD2749" t="s">
        <v>6308</v>
      </c>
    </row>
    <row r="2750" spans="1:30" x14ac:dyDescent="0.25">
      <c r="A2750" t="s">
        <v>33</v>
      </c>
      <c r="D2750" t="s">
        <v>2847</v>
      </c>
      <c r="E2750" t="s">
        <v>2893</v>
      </c>
      <c r="F2750" t="s">
        <v>87</v>
      </c>
      <c r="G2750" t="s">
        <v>5170</v>
      </c>
      <c r="H2750" t="s">
        <v>143</v>
      </c>
      <c r="I2750" t="s">
        <v>100</v>
      </c>
      <c r="J2750" t="s">
        <v>145</v>
      </c>
      <c r="K2750" t="s">
        <v>146</v>
      </c>
      <c r="L2750" t="s">
        <v>5171</v>
      </c>
      <c r="M2750" t="s">
        <v>252</v>
      </c>
      <c r="N2750" t="s">
        <v>5172</v>
      </c>
      <c r="O2750" t="s">
        <v>442</v>
      </c>
      <c r="R2750" t="s">
        <v>6309</v>
      </c>
      <c r="S2750" t="s">
        <v>2864</v>
      </c>
      <c r="V2750" t="s">
        <v>2855</v>
      </c>
      <c r="W2750" t="s">
        <v>2898</v>
      </c>
      <c r="AD2750" t="s">
        <v>6310</v>
      </c>
    </row>
    <row r="2751" spans="1:30" x14ac:dyDescent="0.25">
      <c r="A2751" t="s">
        <v>33</v>
      </c>
      <c r="D2751" t="s">
        <v>2847</v>
      </c>
      <c r="E2751" t="s">
        <v>2893</v>
      </c>
      <c r="F2751" t="s">
        <v>87</v>
      </c>
      <c r="G2751" t="s">
        <v>5185</v>
      </c>
      <c r="H2751" t="s">
        <v>143</v>
      </c>
      <c r="I2751" t="s">
        <v>144</v>
      </c>
      <c r="J2751" t="s">
        <v>145</v>
      </c>
      <c r="K2751" t="s">
        <v>146</v>
      </c>
      <c r="L2751" t="s">
        <v>5186</v>
      </c>
      <c r="M2751" t="s">
        <v>252</v>
      </c>
      <c r="N2751" t="s">
        <v>5187</v>
      </c>
      <c r="O2751" t="s">
        <v>147</v>
      </c>
      <c r="R2751" t="s">
        <v>6311</v>
      </c>
      <c r="S2751" t="s">
        <v>2864</v>
      </c>
      <c r="V2751" t="s">
        <v>2855</v>
      </c>
      <c r="W2751" t="s">
        <v>2898</v>
      </c>
      <c r="AD2751" t="s">
        <v>6312</v>
      </c>
    </row>
    <row r="2752" spans="1:30" x14ac:dyDescent="0.25">
      <c r="A2752" t="s">
        <v>33</v>
      </c>
      <c r="D2752" t="s">
        <v>2847</v>
      </c>
      <c r="E2752" t="s">
        <v>2893</v>
      </c>
      <c r="F2752" t="s">
        <v>87</v>
      </c>
      <c r="G2752" t="s">
        <v>5185</v>
      </c>
      <c r="H2752" t="s">
        <v>143</v>
      </c>
      <c r="I2752" t="s">
        <v>90</v>
      </c>
      <c r="J2752" t="s">
        <v>145</v>
      </c>
      <c r="K2752" t="s">
        <v>146</v>
      </c>
      <c r="L2752" t="s">
        <v>5186</v>
      </c>
      <c r="M2752" t="s">
        <v>252</v>
      </c>
      <c r="N2752" t="s">
        <v>5187</v>
      </c>
      <c r="O2752" t="s">
        <v>380</v>
      </c>
      <c r="R2752" t="s">
        <v>6313</v>
      </c>
      <c r="S2752" t="s">
        <v>2864</v>
      </c>
      <c r="V2752" t="s">
        <v>2855</v>
      </c>
      <c r="W2752" t="s">
        <v>2898</v>
      </c>
      <c r="AD2752" t="s">
        <v>6314</v>
      </c>
    </row>
    <row r="2753" spans="1:30" x14ac:dyDescent="0.25">
      <c r="A2753" t="s">
        <v>947</v>
      </c>
      <c r="B2753" t="s">
        <v>1948</v>
      </c>
      <c r="C2753" t="s">
        <v>949</v>
      </c>
      <c r="D2753" t="s">
        <v>2847</v>
      </c>
      <c r="E2753" t="s">
        <v>2848</v>
      </c>
      <c r="F2753" t="s">
        <v>2849</v>
      </c>
      <c r="G2753" t="s">
        <v>6315</v>
      </c>
      <c r="H2753" t="s">
        <v>166</v>
      </c>
      <c r="I2753" t="s">
        <v>1279</v>
      </c>
      <c r="J2753" t="s">
        <v>167</v>
      </c>
      <c r="K2753" t="s">
        <v>41</v>
      </c>
      <c r="L2753" t="s">
        <v>6316</v>
      </c>
      <c r="N2753" t="s">
        <v>6317</v>
      </c>
      <c r="O2753" t="s">
        <v>6318</v>
      </c>
      <c r="Q2753" t="s">
        <v>1133</v>
      </c>
      <c r="R2753" t="s">
        <v>6319</v>
      </c>
      <c r="S2753" t="s">
        <v>2882</v>
      </c>
      <c r="V2753" t="s">
        <v>2855</v>
      </c>
      <c r="W2753" t="s">
        <v>2856</v>
      </c>
      <c r="AD2753" t="s">
        <v>6320</v>
      </c>
    </row>
    <row r="2754" spans="1:30" x14ac:dyDescent="0.25">
      <c r="A2754" t="s">
        <v>947</v>
      </c>
      <c r="B2754" t="s">
        <v>1948</v>
      </c>
      <c r="C2754" t="s">
        <v>949</v>
      </c>
      <c r="D2754" t="s">
        <v>2847</v>
      </c>
      <c r="E2754" t="s">
        <v>2848</v>
      </c>
      <c r="F2754" t="s">
        <v>2849</v>
      </c>
      <c r="G2754" t="s">
        <v>6315</v>
      </c>
      <c r="H2754" t="s">
        <v>166</v>
      </c>
      <c r="I2754" t="s">
        <v>2227</v>
      </c>
      <c r="J2754" t="s">
        <v>167</v>
      </c>
      <c r="K2754" t="s">
        <v>41</v>
      </c>
      <c r="L2754" t="s">
        <v>6316</v>
      </c>
      <c r="N2754" t="s">
        <v>6317</v>
      </c>
      <c r="O2754" t="s">
        <v>6321</v>
      </c>
      <c r="Q2754" t="s">
        <v>1133</v>
      </c>
      <c r="R2754" t="s">
        <v>6322</v>
      </c>
      <c r="S2754" t="s">
        <v>2882</v>
      </c>
      <c r="V2754" t="s">
        <v>2855</v>
      </c>
      <c r="W2754" t="s">
        <v>2856</v>
      </c>
      <c r="AD2754" t="s">
        <v>6323</v>
      </c>
    </row>
    <row r="2755" spans="1:30" x14ac:dyDescent="0.25">
      <c r="A2755" t="s">
        <v>33</v>
      </c>
      <c r="D2755" t="s">
        <v>2847</v>
      </c>
      <c r="E2755" t="s">
        <v>2893</v>
      </c>
      <c r="F2755" t="s">
        <v>87</v>
      </c>
      <c r="G2755" t="s">
        <v>5107</v>
      </c>
      <c r="H2755" t="s">
        <v>143</v>
      </c>
      <c r="I2755" t="s">
        <v>100</v>
      </c>
      <c r="J2755" t="s">
        <v>145</v>
      </c>
      <c r="K2755" t="s">
        <v>146</v>
      </c>
      <c r="L2755" t="s">
        <v>5108</v>
      </c>
      <c r="M2755" t="s">
        <v>252</v>
      </c>
      <c r="N2755" t="s">
        <v>5109</v>
      </c>
      <c r="O2755" t="s">
        <v>442</v>
      </c>
      <c r="R2755" t="s">
        <v>6324</v>
      </c>
      <c r="S2755" t="s">
        <v>2864</v>
      </c>
      <c r="V2755" t="s">
        <v>2855</v>
      </c>
      <c r="W2755" t="s">
        <v>2865</v>
      </c>
      <c r="AD2755" t="s">
        <v>6325</v>
      </c>
    </row>
    <row r="2756" spans="1:30" x14ac:dyDescent="0.25">
      <c r="A2756" t="s">
        <v>33</v>
      </c>
      <c r="D2756" t="s">
        <v>2847</v>
      </c>
      <c r="E2756" t="s">
        <v>2893</v>
      </c>
      <c r="F2756" t="s">
        <v>87</v>
      </c>
      <c r="G2756" t="s">
        <v>5107</v>
      </c>
      <c r="H2756" t="s">
        <v>143</v>
      </c>
      <c r="I2756" t="s">
        <v>180</v>
      </c>
      <c r="J2756" t="s">
        <v>145</v>
      </c>
      <c r="K2756" t="s">
        <v>146</v>
      </c>
      <c r="L2756" t="s">
        <v>5108</v>
      </c>
      <c r="M2756" t="s">
        <v>252</v>
      </c>
      <c r="N2756" t="s">
        <v>5109</v>
      </c>
      <c r="O2756" t="s">
        <v>181</v>
      </c>
      <c r="R2756" t="s">
        <v>5265</v>
      </c>
      <c r="S2756" t="s">
        <v>2864</v>
      </c>
      <c r="V2756" t="s">
        <v>2855</v>
      </c>
      <c r="W2756" t="s">
        <v>2865</v>
      </c>
      <c r="AD2756" t="s">
        <v>6326</v>
      </c>
    </row>
    <row r="2757" spans="1:30" x14ac:dyDescent="0.25">
      <c r="A2757" t="s">
        <v>33</v>
      </c>
      <c r="D2757" t="s">
        <v>2847</v>
      </c>
      <c r="E2757" t="s">
        <v>2893</v>
      </c>
      <c r="F2757" t="s">
        <v>78</v>
      </c>
      <c r="G2757" t="s">
        <v>6036</v>
      </c>
      <c r="H2757" t="s">
        <v>143</v>
      </c>
      <c r="I2757" t="s">
        <v>267</v>
      </c>
      <c r="J2757" t="s">
        <v>145</v>
      </c>
      <c r="K2757" t="s">
        <v>146</v>
      </c>
      <c r="L2757" t="s">
        <v>6037</v>
      </c>
      <c r="N2757" t="s">
        <v>6038</v>
      </c>
      <c r="O2757" t="s">
        <v>268</v>
      </c>
      <c r="R2757" t="s">
        <v>6327</v>
      </c>
      <c r="S2757" t="s">
        <v>2864</v>
      </c>
      <c r="V2757" t="s">
        <v>2855</v>
      </c>
      <c r="W2757" t="s">
        <v>2898</v>
      </c>
      <c r="X2757" t="s">
        <v>270</v>
      </c>
      <c r="AD2757" t="s">
        <v>6328</v>
      </c>
    </row>
    <row r="2758" spans="1:30" x14ac:dyDescent="0.25">
      <c r="A2758" t="s">
        <v>33</v>
      </c>
      <c r="D2758" t="s">
        <v>2847</v>
      </c>
      <c r="E2758" t="s">
        <v>2893</v>
      </c>
      <c r="F2758" t="s">
        <v>87</v>
      </c>
      <c r="G2758" t="s">
        <v>5122</v>
      </c>
      <c r="H2758" t="s">
        <v>143</v>
      </c>
      <c r="I2758" t="s">
        <v>90</v>
      </c>
      <c r="J2758" t="s">
        <v>145</v>
      </c>
      <c r="K2758" t="s">
        <v>146</v>
      </c>
      <c r="L2758" t="s">
        <v>5123</v>
      </c>
      <c r="M2758" t="s">
        <v>252</v>
      </c>
      <c r="N2758" t="s">
        <v>5124</v>
      </c>
      <c r="O2758" t="s">
        <v>380</v>
      </c>
      <c r="R2758" t="s">
        <v>6329</v>
      </c>
      <c r="S2758" t="s">
        <v>2864</v>
      </c>
      <c r="V2758" t="s">
        <v>2855</v>
      </c>
      <c r="W2758" t="s">
        <v>2865</v>
      </c>
      <c r="AD2758" t="s">
        <v>6330</v>
      </c>
    </row>
    <row r="2759" spans="1:30" x14ac:dyDescent="0.25">
      <c r="A2759" t="s">
        <v>33</v>
      </c>
      <c r="D2759" t="s">
        <v>2847</v>
      </c>
      <c r="E2759" t="s">
        <v>2893</v>
      </c>
      <c r="F2759" t="s">
        <v>87</v>
      </c>
      <c r="G2759" t="s">
        <v>5122</v>
      </c>
      <c r="H2759" t="s">
        <v>143</v>
      </c>
      <c r="I2759" t="s">
        <v>144</v>
      </c>
      <c r="J2759" t="s">
        <v>145</v>
      </c>
      <c r="K2759" t="s">
        <v>146</v>
      </c>
      <c r="L2759" t="s">
        <v>5123</v>
      </c>
      <c r="M2759" t="s">
        <v>252</v>
      </c>
      <c r="N2759" t="s">
        <v>5124</v>
      </c>
      <c r="O2759" t="s">
        <v>147</v>
      </c>
      <c r="R2759" t="s">
        <v>6331</v>
      </c>
      <c r="S2759" t="s">
        <v>2864</v>
      </c>
      <c r="V2759" t="s">
        <v>2855</v>
      </c>
      <c r="W2759" t="s">
        <v>2865</v>
      </c>
      <c r="AD2759" t="s">
        <v>6332</v>
      </c>
    </row>
    <row r="2760" spans="1:30" x14ac:dyDescent="0.25">
      <c r="A2760" t="s">
        <v>33</v>
      </c>
      <c r="D2760" t="s">
        <v>2847</v>
      </c>
      <c r="E2760" t="s">
        <v>2893</v>
      </c>
      <c r="F2760" t="s">
        <v>87</v>
      </c>
      <c r="G2760" t="s">
        <v>5151</v>
      </c>
      <c r="H2760" t="s">
        <v>143</v>
      </c>
      <c r="I2760" t="s">
        <v>144</v>
      </c>
      <c r="J2760" t="s">
        <v>145</v>
      </c>
      <c r="K2760" t="s">
        <v>146</v>
      </c>
      <c r="L2760" t="s">
        <v>5152</v>
      </c>
      <c r="M2760" t="s">
        <v>252</v>
      </c>
      <c r="N2760" t="s">
        <v>5153</v>
      </c>
      <c r="O2760" t="s">
        <v>147</v>
      </c>
      <c r="R2760" t="s">
        <v>6331</v>
      </c>
      <c r="S2760" t="s">
        <v>2864</v>
      </c>
      <c r="V2760" t="s">
        <v>2855</v>
      </c>
      <c r="W2760" t="s">
        <v>2865</v>
      </c>
      <c r="AD2760" t="s">
        <v>6333</v>
      </c>
    </row>
    <row r="2761" spans="1:30" x14ac:dyDescent="0.25">
      <c r="A2761" t="s">
        <v>33</v>
      </c>
      <c r="D2761" t="s">
        <v>2847</v>
      </c>
      <c r="E2761" t="s">
        <v>2893</v>
      </c>
      <c r="F2761" t="s">
        <v>87</v>
      </c>
      <c r="G2761" t="s">
        <v>5136</v>
      </c>
      <c r="H2761" t="s">
        <v>143</v>
      </c>
      <c r="I2761" t="s">
        <v>100</v>
      </c>
      <c r="J2761" t="s">
        <v>145</v>
      </c>
      <c r="K2761" t="s">
        <v>146</v>
      </c>
      <c r="L2761" t="s">
        <v>5137</v>
      </c>
      <c r="M2761" t="s">
        <v>252</v>
      </c>
      <c r="N2761" t="s">
        <v>5138</v>
      </c>
      <c r="O2761" t="s">
        <v>442</v>
      </c>
      <c r="R2761" t="s">
        <v>6334</v>
      </c>
      <c r="S2761" t="s">
        <v>2864</v>
      </c>
      <c r="V2761" t="s">
        <v>2855</v>
      </c>
      <c r="W2761" t="s">
        <v>2865</v>
      </c>
      <c r="AD2761" t="s">
        <v>6335</v>
      </c>
    </row>
    <row r="2762" spans="1:30" x14ac:dyDescent="0.25">
      <c r="A2762" t="s">
        <v>33</v>
      </c>
      <c r="D2762" t="s">
        <v>2847</v>
      </c>
      <c r="E2762" t="s">
        <v>2893</v>
      </c>
      <c r="F2762" t="s">
        <v>87</v>
      </c>
      <c r="G2762" t="s">
        <v>5136</v>
      </c>
      <c r="H2762" t="s">
        <v>143</v>
      </c>
      <c r="I2762" t="s">
        <v>180</v>
      </c>
      <c r="J2762" t="s">
        <v>145</v>
      </c>
      <c r="K2762" t="s">
        <v>146</v>
      </c>
      <c r="L2762" t="s">
        <v>5137</v>
      </c>
      <c r="M2762" t="s">
        <v>252</v>
      </c>
      <c r="N2762" t="s">
        <v>5138</v>
      </c>
      <c r="O2762" t="s">
        <v>181</v>
      </c>
      <c r="R2762" t="s">
        <v>6336</v>
      </c>
      <c r="S2762" t="s">
        <v>2864</v>
      </c>
      <c r="V2762" t="s">
        <v>2855</v>
      </c>
      <c r="W2762" t="s">
        <v>2865</v>
      </c>
      <c r="AD2762" t="s">
        <v>6337</v>
      </c>
    </row>
    <row r="2763" spans="1:30" x14ac:dyDescent="0.25">
      <c r="A2763" t="s">
        <v>33</v>
      </c>
      <c r="D2763" t="s">
        <v>2847</v>
      </c>
      <c r="E2763" t="s">
        <v>2893</v>
      </c>
      <c r="F2763" t="s">
        <v>87</v>
      </c>
      <c r="G2763" t="s">
        <v>5151</v>
      </c>
      <c r="H2763" t="s">
        <v>143</v>
      </c>
      <c r="I2763" t="s">
        <v>90</v>
      </c>
      <c r="J2763" t="s">
        <v>145</v>
      </c>
      <c r="K2763" t="s">
        <v>146</v>
      </c>
      <c r="L2763" t="s">
        <v>5152</v>
      </c>
      <c r="M2763" t="s">
        <v>252</v>
      </c>
      <c r="N2763" t="s">
        <v>5153</v>
      </c>
      <c r="O2763" t="s">
        <v>380</v>
      </c>
      <c r="R2763" t="s">
        <v>6338</v>
      </c>
      <c r="S2763" t="s">
        <v>2864</v>
      </c>
      <c r="V2763" t="s">
        <v>2855</v>
      </c>
      <c r="W2763" t="s">
        <v>2865</v>
      </c>
      <c r="AD2763" t="s">
        <v>6339</v>
      </c>
    </row>
    <row r="2764" spans="1:30" x14ac:dyDescent="0.25">
      <c r="A2764" t="s">
        <v>33</v>
      </c>
      <c r="D2764" t="s">
        <v>2847</v>
      </c>
      <c r="E2764" t="s">
        <v>2893</v>
      </c>
      <c r="F2764" t="s">
        <v>87</v>
      </c>
      <c r="G2764" t="s">
        <v>5151</v>
      </c>
      <c r="H2764" t="s">
        <v>143</v>
      </c>
      <c r="I2764" t="s">
        <v>100</v>
      </c>
      <c r="J2764" t="s">
        <v>145</v>
      </c>
      <c r="K2764" t="s">
        <v>146</v>
      </c>
      <c r="L2764" t="s">
        <v>5152</v>
      </c>
      <c r="M2764" t="s">
        <v>252</v>
      </c>
      <c r="N2764" t="s">
        <v>5153</v>
      </c>
      <c r="O2764" t="s">
        <v>442</v>
      </c>
      <c r="R2764" t="s">
        <v>6340</v>
      </c>
      <c r="S2764" t="s">
        <v>2864</v>
      </c>
      <c r="V2764" t="s">
        <v>2855</v>
      </c>
      <c r="W2764" t="s">
        <v>2865</v>
      </c>
      <c r="AD2764" t="s">
        <v>6341</v>
      </c>
    </row>
    <row r="2765" spans="1:30" x14ac:dyDescent="0.25">
      <c r="A2765" t="s">
        <v>33</v>
      </c>
      <c r="D2765" t="s">
        <v>2847</v>
      </c>
      <c r="E2765" t="s">
        <v>2893</v>
      </c>
      <c r="F2765" t="s">
        <v>36</v>
      </c>
      <c r="G2765" t="s">
        <v>3572</v>
      </c>
      <c r="H2765" t="s">
        <v>143</v>
      </c>
      <c r="I2765" t="s">
        <v>90</v>
      </c>
      <c r="J2765" t="s">
        <v>145</v>
      </c>
      <c r="K2765" t="s">
        <v>146</v>
      </c>
      <c r="L2765" t="s">
        <v>3573</v>
      </c>
      <c r="M2765" t="s">
        <v>3483</v>
      </c>
      <c r="N2765" t="s">
        <v>3574</v>
      </c>
      <c r="O2765" t="s">
        <v>380</v>
      </c>
      <c r="R2765" t="s">
        <v>6342</v>
      </c>
      <c r="S2765" t="s">
        <v>2864</v>
      </c>
      <c r="V2765" t="s">
        <v>2855</v>
      </c>
      <c r="W2765" t="s">
        <v>2865</v>
      </c>
      <c r="X2765" t="s">
        <v>963</v>
      </c>
      <c r="AD2765" t="s">
        <v>6343</v>
      </c>
    </row>
    <row r="2766" spans="1:30" x14ac:dyDescent="0.25">
      <c r="A2766" t="s">
        <v>33</v>
      </c>
      <c r="D2766" t="s">
        <v>2847</v>
      </c>
      <c r="E2766" t="s">
        <v>2893</v>
      </c>
      <c r="F2766" t="s">
        <v>36</v>
      </c>
      <c r="G2766" t="s">
        <v>3572</v>
      </c>
      <c r="H2766" t="s">
        <v>143</v>
      </c>
      <c r="I2766" t="s">
        <v>144</v>
      </c>
      <c r="J2766" t="s">
        <v>145</v>
      </c>
      <c r="K2766" t="s">
        <v>146</v>
      </c>
      <c r="L2766" t="s">
        <v>3573</v>
      </c>
      <c r="M2766" t="s">
        <v>3483</v>
      </c>
      <c r="N2766" t="s">
        <v>3574</v>
      </c>
      <c r="O2766" t="s">
        <v>147</v>
      </c>
      <c r="R2766" t="s">
        <v>6344</v>
      </c>
      <c r="S2766" t="s">
        <v>2864</v>
      </c>
      <c r="V2766" t="s">
        <v>2855</v>
      </c>
      <c r="W2766" t="s">
        <v>2865</v>
      </c>
      <c r="X2766" t="s">
        <v>963</v>
      </c>
      <c r="AD2766" t="s">
        <v>6345</v>
      </c>
    </row>
    <row r="2767" spans="1:30" x14ac:dyDescent="0.25">
      <c r="A2767" t="s">
        <v>33</v>
      </c>
      <c r="D2767" t="s">
        <v>2847</v>
      </c>
      <c r="E2767" t="s">
        <v>2893</v>
      </c>
      <c r="F2767" t="s">
        <v>36</v>
      </c>
      <c r="G2767" t="s">
        <v>3572</v>
      </c>
      <c r="H2767" t="s">
        <v>143</v>
      </c>
      <c r="I2767" t="s">
        <v>180</v>
      </c>
      <c r="J2767" t="s">
        <v>145</v>
      </c>
      <c r="K2767" t="s">
        <v>146</v>
      </c>
      <c r="L2767" t="s">
        <v>3573</v>
      </c>
      <c r="M2767" t="s">
        <v>3483</v>
      </c>
      <c r="N2767" t="s">
        <v>3574</v>
      </c>
      <c r="O2767" t="s">
        <v>181</v>
      </c>
      <c r="R2767" t="s">
        <v>6346</v>
      </c>
      <c r="S2767" t="s">
        <v>2864</v>
      </c>
      <c r="V2767" t="s">
        <v>2855</v>
      </c>
      <c r="W2767" t="s">
        <v>2865</v>
      </c>
      <c r="X2767" t="s">
        <v>963</v>
      </c>
      <c r="AD2767" t="s">
        <v>6347</v>
      </c>
    </row>
    <row r="2768" spans="1:30" x14ac:dyDescent="0.25">
      <c r="A2768" t="s">
        <v>33</v>
      </c>
      <c r="D2768" t="s">
        <v>2847</v>
      </c>
      <c r="E2768" t="s">
        <v>2893</v>
      </c>
      <c r="F2768" t="s">
        <v>87</v>
      </c>
      <c r="G2768" t="s">
        <v>4743</v>
      </c>
      <c r="H2768" t="s">
        <v>143</v>
      </c>
      <c r="I2768" t="s">
        <v>180</v>
      </c>
      <c r="J2768" t="s">
        <v>145</v>
      </c>
      <c r="K2768" t="s">
        <v>146</v>
      </c>
      <c r="L2768" t="s">
        <v>4744</v>
      </c>
      <c r="M2768" t="s">
        <v>252</v>
      </c>
      <c r="N2768" t="s">
        <v>4745</v>
      </c>
      <c r="O2768" t="s">
        <v>181</v>
      </c>
      <c r="R2768" t="s">
        <v>6348</v>
      </c>
      <c r="S2768" t="s">
        <v>2864</v>
      </c>
      <c r="V2768" t="s">
        <v>2855</v>
      </c>
      <c r="W2768" t="s">
        <v>2898</v>
      </c>
      <c r="AD2768" t="s">
        <v>6349</v>
      </c>
    </row>
    <row r="2769" spans="1:30" x14ac:dyDescent="0.25">
      <c r="A2769" t="s">
        <v>33</v>
      </c>
      <c r="D2769" t="s">
        <v>2847</v>
      </c>
      <c r="E2769" t="s">
        <v>2893</v>
      </c>
      <c r="F2769" t="s">
        <v>87</v>
      </c>
      <c r="G2769" t="s">
        <v>4743</v>
      </c>
      <c r="H2769" t="s">
        <v>143</v>
      </c>
      <c r="I2769" t="s">
        <v>100</v>
      </c>
      <c r="J2769" t="s">
        <v>145</v>
      </c>
      <c r="K2769" t="s">
        <v>146</v>
      </c>
      <c r="L2769" t="s">
        <v>4744</v>
      </c>
      <c r="M2769" t="s">
        <v>252</v>
      </c>
      <c r="N2769" t="s">
        <v>4745</v>
      </c>
      <c r="O2769" t="s">
        <v>442</v>
      </c>
      <c r="R2769" t="s">
        <v>6350</v>
      </c>
      <c r="S2769" t="s">
        <v>2864</v>
      </c>
      <c r="V2769" t="s">
        <v>2855</v>
      </c>
      <c r="W2769" t="s">
        <v>2898</v>
      </c>
      <c r="AD2769" t="s">
        <v>6351</v>
      </c>
    </row>
    <row r="2770" spans="1:30" x14ac:dyDescent="0.25">
      <c r="A2770" t="s">
        <v>33</v>
      </c>
      <c r="D2770" t="s">
        <v>2847</v>
      </c>
      <c r="E2770" t="s">
        <v>2893</v>
      </c>
      <c r="F2770" t="s">
        <v>87</v>
      </c>
      <c r="G2770" t="s">
        <v>4758</v>
      </c>
      <c r="H2770" t="s">
        <v>143</v>
      </c>
      <c r="I2770" t="s">
        <v>144</v>
      </c>
      <c r="J2770" t="s">
        <v>145</v>
      </c>
      <c r="K2770" t="s">
        <v>146</v>
      </c>
      <c r="L2770" t="s">
        <v>4759</v>
      </c>
      <c r="M2770" t="s">
        <v>252</v>
      </c>
      <c r="N2770" t="s">
        <v>4760</v>
      </c>
      <c r="O2770" t="s">
        <v>147</v>
      </c>
      <c r="R2770" t="s">
        <v>6352</v>
      </c>
      <c r="S2770" t="s">
        <v>2864</v>
      </c>
      <c r="V2770" t="s">
        <v>2855</v>
      </c>
      <c r="W2770" t="s">
        <v>2898</v>
      </c>
      <c r="AD2770" t="s">
        <v>6353</v>
      </c>
    </row>
    <row r="2771" spans="1:30" x14ac:dyDescent="0.25">
      <c r="A2771" t="s">
        <v>33</v>
      </c>
      <c r="D2771" t="s">
        <v>2847</v>
      </c>
      <c r="E2771" t="s">
        <v>2893</v>
      </c>
      <c r="F2771" t="s">
        <v>87</v>
      </c>
      <c r="G2771" t="s">
        <v>4758</v>
      </c>
      <c r="H2771" t="s">
        <v>143</v>
      </c>
      <c r="I2771" t="s">
        <v>90</v>
      </c>
      <c r="J2771" t="s">
        <v>145</v>
      </c>
      <c r="K2771" t="s">
        <v>146</v>
      </c>
      <c r="L2771" t="s">
        <v>4759</v>
      </c>
      <c r="M2771" t="s">
        <v>252</v>
      </c>
      <c r="N2771" t="s">
        <v>4760</v>
      </c>
      <c r="O2771" t="s">
        <v>380</v>
      </c>
      <c r="R2771" t="s">
        <v>6354</v>
      </c>
      <c r="S2771" t="s">
        <v>2864</v>
      </c>
      <c r="V2771" t="s">
        <v>2855</v>
      </c>
      <c r="W2771" t="s">
        <v>2898</v>
      </c>
      <c r="AD2771" t="s">
        <v>6355</v>
      </c>
    </row>
    <row r="2772" spans="1:30" x14ac:dyDescent="0.25">
      <c r="A2772" t="s">
        <v>33</v>
      </c>
      <c r="D2772" t="s">
        <v>2847</v>
      </c>
      <c r="E2772" t="s">
        <v>2893</v>
      </c>
      <c r="F2772" t="s">
        <v>87</v>
      </c>
      <c r="G2772" t="s">
        <v>4772</v>
      </c>
      <c r="H2772" t="s">
        <v>143</v>
      </c>
      <c r="I2772" t="s">
        <v>100</v>
      </c>
      <c r="J2772" t="s">
        <v>145</v>
      </c>
      <c r="K2772" t="s">
        <v>146</v>
      </c>
      <c r="L2772" t="s">
        <v>4773</v>
      </c>
      <c r="M2772" t="s">
        <v>252</v>
      </c>
      <c r="N2772" t="s">
        <v>4774</v>
      </c>
      <c r="O2772" t="s">
        <v>442</v>
      </c>
      <c r="R2772" t="s">
        <v>6356</v>
      </c>
      <c r="S2772" t="s">
        <v>2864</v>
      </c>
      <c r="V2772" t="s">
        <v>2855</v>
      </c>
      <c r="W2772" t="s">
        <v>2898</v>
      </c>
      <c r="AD2772" t="s">
        <v>6357</v>
      </c>
    </row>
    <row r="2773" spans="1:30" x14ac:dyDescent="0.25">
      <c r="A2773" t="s">
        <v>33</v>
      </c>
      <c r="D2773" t="s">
        <v>2847</v>
      </c>
      <c r="E2773" t="s">
        <v>2893</v>
      </c>
      <c r="F2773" t="s">
        <v>87</v>
      </c>
      <c r="G2773" t="s">
        <v>4772</v>
      </c>
      <c r="H2773" t="s">
        <v>143</v>
      </c>
      <c r="I2773" t="s">
        <v>180</v>
      </c>
      <c r="J2773" t="s">
        <v>145</v>
      </c>
      <c r="K2773" t="s">
        <v>146</v>
      </c>
      <c r="L2773" t="s">
        <v>4773</v>
      </c>
      <c r="M2773" t="s">
        <v>252</v>
      </c>
      <c r="N2773" t="s">
        <v>4774</v>
      </c>
      <c r="O2773" t="s">
        <v>181</v>
      </c>
      <c r="R2773" t="s">
        <v>6358</v>
      </c>
      <c r="S2773" t="s">
        <v>2864</v>
      </c>
      <c r="V2773" t="s">
        <v>2855</v>
      </c>
      <c r="W2773" t="s">
        <v>2898</v>
      </c>
      <c r="AD2773" t="s">
        <v>6359</v>
      </c>
    </row>
    <row r="2774" spans="1:30" x14ac:dyDescent="0.25">
      <c r="A2774" t="s">
        <v>33</v>
      </c>
      <c r="D2774" t="s">
        <v>2847</v>
      </c>
      <c r="E2774" t="s">
        <v>2893</v>
      </c>
      <c r="F2774" t="s">
        <v>87</v>
      </c>
      <c r="G2774" t="s">
        <v>4787</v>
      </c>
      <c r="H2774" t="s">
        <v>143</v>
      </c>
      <c r="I2774" t="s">
        <v>90</v>
      </c>
      <c r="J2774" t="s">
        <v>145</v>
      </c>
      <c r="K2774" t="s">
        <v>146</v>
      </c>
      <c r="L2774" t="s">
        <v>4788</v>
      </c>
      <c r="M2774" t="s">
        <v>252</v>
      </c>
      <c r="N2774" t="s">
        <v>4789</v>
      </c>
      <c r="O2774" t="s">
        <v>380</v>
      </c>
      <c r="R2774" t="s">
        <v>6360</v>
      </c>
      <c r="S2774" t="s">
        <v>2864</v>
      </c>
      <c r="V2774" t="s">
        <v>2855</v>
      </c>
      <c r="W2774" t="s">
        <v>2898</v>
      </c>
      <c r="AD2774" t="s">
        <v>6361</v>
      </c>
    </row>
    <row r="2775" spans="1:30" x14ac:dyDescent="0.25">
      <c r="A2775" t="s">
        <v>33</v>
      </c>
      <c r="D2775" t="s">
        <v>2847</v>
      </c>
      <c r="E2775" t="s">
        <v>2893</v>
      </c>
      <c r="F2775" t="s">
        <v>87</v>
      </c>
      <c r="G2775" t="s">
        <v>4787</v>
      </c>
      <c r="H2775" t="s">
        <v>143</v>
      </c>
      <c r="I2775" t="s">
        <v>144</v>
      </c>
      <c r="J2775" t="s">
        <v>145</v>
      </c>
      <c r="K2775" t="s">
        <v>146</v>
      </c>
      <c r="L2775" t="s">
        <v>4788</v>
      </c>
      <c r="M2775" t="s">
        <v>252</v>
      </c>
      <c r="N2775" t="s">
        <v>4789</v>
      </c>
      <c r="O2775" t="s">
        <v>147</v>
      </c>
      <c r="R2775" t="s">
        <v>6362</v>
      </c>
      <c r="S2775" t="s">
        <v>2864</v>
      </c>
      <c r="V2775" t="s">
        <v>2855</v>
      </c>
      <c r="W2775" t="s">
        <v>2898</v>
      </c>
      <c r="AD2775" t="s">
        <v>6363</v>
      </c>
    </row>
    <row r="2776" spans="1:30" x14ac:dyDescent="0.25">
      <c r="A2776" t="s">
        <v>33</v>
      </c>
      <c r="D2776" t="s">
        <v>2847</v>
      </c>
      <c r="E2776" t="s">
        <v>2893</v>
      </c>
      <c r="F2776" t="s">
        <v>36</v>
      </c>
      <c r="G2776" t="s">
        <v>3495</v>
      </c>
      <c r="H2776" t="s">
        <v>143</v>
      </c>
      <c r="I2776" t="s">
        <v>90</v>
      </c>
      <c r="J2776" t="s">
        <v>145</v>
      </c>
      <c r="K2776" t="s">
        <v>146</v>
      </c>
      <c r="L2776" t="s">
        <v>3496</v>
      </c>
      <c r="M2776" t="s">
        <v>3483</v>
      </c>
      <c r="N2776" t="s">
        <v>3497</v>
      </c>
      <c r="O2776" t="s">
        <v>380</v>
      </c>
      <c r="R2776" t="s">
        <v>6364</v>
      </c>
      <c r="S2776" t="s">
        <v>2864</v>
      </c>
      <c r="V2776" t="s">
        <v>2855</v>
      </c>
      <c r="W2776" t="s">
        <v>2898</v>
      </c>
      <c r="X2776" t="s">
        <v>963</v>
      </c>
      <c r="AD2776" t="s">
        <v>6365</v>
      </c>
    </row>
    <row r="2777" spans="1:30" x14ac:dyDescent="0.25">
      <c r="A2777" t="s">
        <v>33</v>
      </c>
      <c r="D2777" t="s">
        <v>2847</v>
      </c>
      <c r="E2777" t="s">
        <v>2893</v>
      </c>
      <c r="F2777" t="s">
        <v>36</v>
      </c>
      <c r="G2777" t="s">
        <v>3495</v>
      </c>
      <c r="H2777" t="s">
        <v>143</v>
      </c>
      <c r="I2777" t="s">
        <v>144</v>
      </c>
      <c r="J2777" t="s">
        <v>145</v>
      </c>
      <c r="K2777" t="s">
        <v>146</v>
      </c>
      <c r="L2777" t="s">
        <v>3496</v>
      </c>
      <c r="M2777" t="s">
        <v>3483</v>
      </c>
      <c r="N2777" t="s">
        <v>3497</v>
      </c>
      <c r="O2777" t="s">
        <v>147</v>
      </c>
      <c r="R2777" t="s">
        <v>6366</v>
      </c>
      <c r="S2777" t="s">
        <v>2864</v>
      </c>
      <c r="V2777" t="s">
        <v>2855</v>
      </c>
      <c r="W2777" t="s">
        <v>2898</v>
      </c>
      <c r="X2777" t="s">
        <v>963</v>
      </c>
      <c r="AD2777" t="s">
        <v>6367</v>
      </c>
    </row>
    <row r="2778" spans="1:30" x14ac:dyDescent="0.25">
      <c r="A2778" t="s">
        <v>33</v>
      </c>
      <c r="D2778" t="s">
        <v>2847</v>
      </c>
      <c r="E2778" t="s">
        <v>2893</v>
      </c>
      <c r="F2778" t="s">
        <v>36</v>
      </c>
      <c r="G2778" t="s">
        <v>3495</v>
      </c>
      <c r="H2778" t="s">
        <v>143</v>
      </c>
      <c r="I2778" t="s">
        <v>180</v>
      </c>
      <c r="J2778" t="s">
        <v>145</v>
      </c>
      <c r="K2778" t="s">
        <v>146</v>
      </c>
      <c r="L2778" t="s">
        <v>3496</v>
      </c>
      <c r="M2778" t="s">
        <v>3483</v>
      </c>
      <c r="N2778" t="s">
        <v>3497</v>
      </c>
      <c r="O2778" t="s">
        <v>181</v>
      </c>
      <c r="R2778" t="s">
        <v>6368</v>
      </c>
      <c r="S2778" t="s">
        <v>2864</v>
      </c>
      <c r="V2778" t="s">
        <v>2855</v>
      </c>
      <c r="W2778" t="s">
        <v>2898</v>
      </c>
      <c r="X2778" t="s">
        <v>963</v>
      </c>
      <c r="AD2778" t="s">
        <v>6369</v>
      </c>
    </row>
    <row r="2779" spans="1:30" x14ac:dyDescent="0.25">
      <c r="A2779" t="s">
        <v>33</v>
      </c>
      <c r="D2779" t="s">
        <v>2847</v>
      </c>
      <c r="E2779" t="s">
        <v>2893</v>
      </c>
      <c r="F2779" t="s">
        <v>36</v>
      </c>
      <c r="G2779" t="s">
        <v>3495</v>
      </c>
      <c r="H2779" t="s">
        <v>143</v>
      </c>
      <c r="I2779" t="s">
        <v>100</v>
      </c>
      <c r="J2779" t="s">
        <v>145</v>
      </c>
      <c r="K2779" t="s">
        <v>146</v>
      </c>
      <c r="L2779" t="s">
        <v>3496</v>
      </c>
      <c r="M2779" t="s">
        <v>3483</v>
      </c>
      <c r="N2779" t="s">
        <v>3497</v>
      </c>
      <c r="O2779" t="s">
        <v>442</v>
      </c>
      <c r="R2779" t="s">
        <v>6370</v>
      </c>
      <c r="S2779" t="s">
        <v>2864</v>
      </c>
      <c r="V2779" t="s">
        <v>2855</v>
      </c>
      <c r="W2779" t="s">
        <v>2898</v>
      </c>
      <c r="X2779" t="s">
        <v>963</v>
      </c>
      <c r="AD2779" t="s">
        <v>6371</v>
      </c>
    </row>
    <row r="2780" spans="1:30" x14ac:dyDescent="0.25">
      <c r="A2780" t="s">
        <v>33</v>
      </c>
      <c r="D2780" t="s">
        <v>2847</v>
      </c>
      <c r="E2780" t="s">
        <v>2893</v>
      </c>
      <c r="F2780" t="s">
        <v>87</v>
      </c>
      <c r="G2780" t="s">
        <v>4801</v>
      </c>
      <c r="H2780" t="s">
        <v>143</v>
      </c>
      <c r="I2780" t="s">
        <v>180</v>
      </c>
      <c r="J2780" t="s">
        <v>145</v>
      </c>
      <c r="K2780" t="s">
        <v>146</v>
      </c>
      <c r="L2780" t="s">
        <v>4802</v>
      </c>
      <c r="M2780" t="s">
        <v>252</v>
      </c>
      <c r="N2780" t="s">
        <v>4803</v>
      </c>
      <c r="O2780" t="s">
        <v>181</v>
      </c>
      <c r="R2780" t="s">
        <v>6372</v>
      </c>
      <c r="S2780" t="s">
        <v>2864</v>
      </c>
      <c r="V2780" t="s">
        <v>2855</v>
      </c>
      <c r="W2780" t="s">
        <v>2898</v>
      </c>
      <c r="AD2780" t="s">
        <v>6373</v>
      </c>
    </row>
    <row r="2781" spans="1:30" x14ac:dyDescent="0.25">
      <c r="A2781" t="s">
        <v>33</v>
      </c>
      <c r="D2781" t="s">
        <v>2847</v>
      </c>
      <c r="E2781" t="s">
        <v>2893</v>
      </c>
      <c r="F2781" t="s">
        <v>87</v>
      </c>
      <c r="G2781" t="s">
        <v>4814</v>
      </c>
      <c r="H2781" t="s">
        <v>143</v>
      </c>
      <c r="I2781" t="s">
        <v>90</v>
      </c>
      <c r="J2781" t="s">
        <v>145</v>
      </c>
      <c r="K2781" t="s">
        <v>146</v>
      </c>
      <c r="L2781" t="s">
        <v>4815</v>
      </c>
      <c r="M2781" t="s">
        <v>252</v>
      </c>
      <c r="N2781" t="s">
        <v>4816</v>
      </c>
      <c r="O2781" t="s">
        <v>380</v>
      </c>
      <c r="R2781" t="s">
        <v>6374</v>
      </c>
      <c r="S2781" t="s">
        <v>2864</v>
      </c>
      <c r="V2781" t="s">
        <v>2855</v>
      </c>
      <c r="W2781" t="s">
        <v>2898</v>
      </c>
      <c r="AD2781" t="s">
        <v>6375</v>
      </c>
    </row>
    <row r="2782" spans="1:30" x14ac:dyDescent="0.25">
      <c r="A2782" t="s">
        <v>33</v>
      </c>
      <c r="D2782" t="s">
        <v>2847</v>
      </c>
      <c r="E2782" t="s">
        <v>2893</v>
      </c>
      <c r="F2782" t="s">
        <v>87</v>
      </c>
      <c r="G2782" t="s">
        <v>4814</v>
      </c>
      <c r="H2782" t="s">
        <v>143</v>
      </c>
      <c r="I2782" t="s">
        <v>144</v>
      </c>
      <c r="J2782" t="s">
        <v>145</v>
      </c>
      <c r="K2782" t="s">
        <v>146</v>
      </c>
      <c r="L2782" t="s">
        <v>4815</v>
      </c>
      <c r="M2782" t="s">
        <v>252</v>
      </c>
      <c r="N2782" t="s">
        <v>4816</v>
      </c>
      <c r="O2782" t="s">
        <v>147</v>
      </c>
      <c r="R2782" t="s">
        <v>6376</v>
      </c>
      <c r="S2782" t="s">
        <v>2864</v>
      </c>
      <c r="V2782" t="s">
        <v>2855</v>
      </c>
      <c r="W2782" t="s">
        <v>2898</v>
      </c>
      <c r="AD2782" t="s">
        <v>6377</v>
      </c>
    </row>
    <row r="2783" spans="1:30" x14ac:dyDescent="0.25">
      <c r="A2783" t="s">
        <v>33</v>
      </c>
      <c r="D2783" t="s">
        <v>2847</v>
      </c>
      <c r="E2783" t="s">
        <v>2893</v>
      </c>
      <c r="F2783" t="s">
        <v>87</v>
      </c>
      <c r="G2783" t="s">
        <v>4801</v>
      </c>
      <c r="H2783" t="s">
        <v>143</v>
      </c>
      <c r="I2783" t="s">
        <v>100</v>
      </c>
      <c r="J2783" t="s">
        <v>145</v>
      </c>
      <c r="K2783" t="s">
        <v>146</v>
      </c>
      <c r="L2783" t="s">
        <v>4802</v>
      </c>
      <c r="M2783" t="s">
        <v>252</v>
      </c>
      <c r="N2783" t="s">
        <v>4803</v>
      </c>
      <c r="O2783" t="s">
        <v>442</v>
      </c>
      <c r="R2783" t="s">
        <v>6378</v>
      </c>
      <c r="S2783" t="s">
        <v>2864</v>
      </c>
      <c r="V2783" t="s">
        <v>2855</v>
      </c>
      <c r="W2783" t="s">
        <v>2898</v>
      </c>
      <c r="AD2783" t="s">
        <v>6379</v>
      </c>
    </row>
    <row r="2784" spans="1:30" x14ac:dyDescent="0.25">
      <c r="A2784" t="s">
        <v>33</v>
      </c>
      <c r="D2784" t="s">
        <v>2847</v>
      </c>
      <c r="E2784" t="s">
        <v>2893</v>
      </c>
      <c r="F2784" t="s">
        <v>87</v>
      </c>
      <c r="G2784" t="s">
        <v>4844</v>
      </c>
      <c r="H2784" t="s">
        <v>143</v>
      </c>
      <c r="I2784" t="s">
        <v>90</v>
      </c>
      <c r="J2784" t="s">
        <v>145</v>
      </c>
      <c r="K2784" t="s">
        <v>146</v>
      </c>
      <c r="L2784" t="s">
        <v>4845</v>
      </c>
      <c r="M2784" t="s">
        <v>252</v>
      </c>
      <c r="N2784" t="s">
        <v>4846</v>
      </c>
      <c r="O2784" t="s">
        <v>380</v>
      </c>
      <c r="R2784" t="s">
        <v>6380</v>
      </c>
      <c r="S2784" t="s">
        <v>2864</v>
      </c>
      <c r="V2784" t="s">
        <v>2855</v>
      </c>
      <c r="W2784" t="s">
        <v>2898</v>
      </c>
      <c r="AD2784" t="s">
        <v>6381</v>
      </c>
    </row>
    <row r="2785" spans="1:30" x14ac:dyDescent="0.25">
      <c r="A2785" t="s">
        <v>33</v>
      </c>
      <c r="D2785" t="s">
        <v>2847</v>
      </c>
      <c r="E2785" t="s">
        <v>2893</v>
      </c>
      <c r="F2785" t="s">
        <v>87</v>
      </c>
      <c r="G2785" t="s">
        <v>4844</v>
      </c>
      <c r="H2785" t="s">
        <v>143</v>
      </c>
      <c r="I2785" t="s">
        <v>144</v>
      </c>
      <c r="J2785" t="s">
        <v>145</v>
      </c>
      <c r="K2785" t="s">
        <v>146</v>
      </c>
      <c r="L2785" t="s">
        <v>4845</v>
      </c>
      <c r="M2785" t="s">
        <v>252</v>
      </c>
      <c r="N2785" t="s">
        <v>4846</v>
      </c>
      <c r="O2785" t="s">
        <v>147</v>
      </c>
      <c r="R2785" t="s">
        <v>6382</v>
      </c>
      <c r="S2785" t="s">
        <v>2864</v>
      </c>
      <c r="V2785" t="s">
        <v>2855</v>
      </c>
      <c r="W2785" t="s">
        <v>2898</v>
      </c>
      <c r="AD2785" t="s">
        <v>6383</v>
      </c>
    </row>
    <row r="2786" spans="1:30" x14ac:dyDescent="0.25">
      <c r="A2786" t="s">
        <v>33</v>
      </c>
      <c r="D2786" t="s">
        <v>2847</v>
      </c>
      <c r="E2786" t="s">
        <v>2893</v>
      </c>
      <c r="F2786" t="s">
        <v>36</v>
      </c>
      <c r="G2786" t="s">
        <v>3548</v>
      </c>
      <c r="H2786" t="s">
        <v>143</v>
      </c>
      <c r="I2786" t="s">
        <v>90</v>
      </c>
      <c r="J2786" t="s">
        <v>145</v>
      </c>
      <c r="K2786" t="s">
        <v>146</v>
      </c>
      <c r="L2786" t="s">
        <v>3549</v>
      </c>
      <c r="M2786" t="s">
        <v>3483</v>
      </c>
      <c r="N2786" t="s">
        <v>3550</v>
      </c>
      <c r="O2786" t="s">
        <v>380</v>
      </c>
      <c r="R2786" t="s">
        <v>6384</v>
      </c>
      <c r="S2786" t="s">
        <v>2864</v>
      </c>
      <c r="V2786" t="s">
        <v>2855</v>
      </c>
      <c r="W2786" t="s">
        <v>2898</v>
      </c>
      <c r="X2786" t="s">
        <v>963</v>
      </c>
      <c r="AD2786" t="s">
        <v>6385</v>
      </c>
    </row>
    <row r="2787" spans="1:30" x14ac:dyDescent="0.25">
      <c r="A2787" t="s">
        <v>33</v>
      </c>
      <c r="D2787" t="s">
        <v>2847</v>
      </c>
      <c r="E2787" t="s">
        <v>2893</v>
      </c>
      <c r="F2787" t="s">
        <v>36</v>
      </c>
      <c r="G2787" t="s">
        <v>3548</v>
      </c>
      <c r="H2787" t="s">
        <v>143</v>
      </c>
      <c r="I2787" t="s">
        <v>144</v>
      </c>
      <c r="J2787" t="s">
        <v>145</v>
      </c>
      <c r="K2787" t="s">
        <v>146</v>
      </c>
      <c r="L2787" t="s">
        <v>3549</v>
      </c>
      <c r="M2787" t="s">
        <v>3483</v>
      </c>
      <c r="N2787" t="s">
        <v>3550</v>
      </c>
      <c r="O2787" t="s">
        <v>147</v>
      </c>
      <c r="R2787" t="s">
        <v>6386</v>
      </c>
      <c r="S2787" t="s">
        <v>2864</v>
      </c>
      <c r="V2787" t="s">
        <v>2855</v>
      </c>
      <c r="W2787" t="s">
        <v>2898</v>
      </c>
      <c r="X2787" t="s">
        <v>963</v>
      </c>
      <c r="AD2787" t="s">
        <v>6387</v>
      </c>
    </row>
    <row r="2788" spans="1:30" x14ac:dyDescent="0.25">
      <c r="A2788" t="s">
        <v>33</v>
      </c>
      <c r="D2788" t="s">
        <v>2847</v>
      </c>
      <c r="E2788" t="s">
        <v>2893</v>
      </c>
      <c r="F2788" t="s">
        <v>36</v>
      </c>
      <c r="G2788" t="s">
        <v>3548</v>
      </c>
      <c r="H2788" t="s">
        <v>143</v>
      </c>
      <c r="I2788" t="s">
        <v>180</v>
      </c>
      <c r="J2788" t="s">
        <v>145</v>
      </c>
      <c r="K2788" t="s">
        <v>146</v>
      </c>
      <c r="L2788" t="s">
        <v>3549</v>
      </c>
      <c r="M2788" t="s">
        <v>3483</v>
      </c>
      <c r="N2788" t="s">
        <v>3550</v>
      </c>
      <c r="O2788" t="s">
        <v>181</v>
      </c>
      <c r="R2788" t="s">
        <v>6388</v>
      </c>
      <c r="S2788" t="s">
        <v>2864</v>
      </c>
      <c r="V2788" t="s">
        <v>2855</v>
      </c>
      <c r="W2788" t="s">
        <v>2898</v>
      </c>
      <c r="X2788" t="s">
        <v>963</v>
      </c>
      <c r="AD2788" t="s">
        <v>6389</v>
      </c>
    </row>
    <row r="2789" spans="1:30" x14ac:dyDescent="0.25">
      <c r="A2789" t="s">
        <v>33</v>
      </c>
      <c r="D2789" t="s">
        <v>2847</v>
      </c>
      <c r="E2789" t="s">
        <v>2893</v>
      </c>
      <c r="F2789" t="s">
        <v>36</v>
      </c>
      <c r="G2789" t="s">
        <v>3548</v>
      </c>
      <c r="H2789" t="s">
        <v>143</v>
      </c>
      <c r="I2789" t="s">
        <v>100</v>
      </c>
      <c r="J2789" t="s">
        <v>145</v>
      </c>
      <c r="K2789" t="s">
        <v>146</v>
      </c>
      <c r="L2789" t="s">
        <v>3549</v>
      </c>
      <c r="M2789" t="s">
        <v>3483</v>
      </c>
      <c r="N2789" t="s">
        <v>3550</v>
      </c>
      <c r="O2789" t="s">
        <v>442</v>
      </c>
      <c r="R2789" t="s">
        <v>6390</v>
      </c>
      <c r="S2789" t="s">
        <v>2864</v>
      </c>
      <c r="V2789" t="s">
        <v>2855</v>
      </c>
      <c r="W2789" t="s">
        <v>2898</v>
      </c>
      <c r="X2789" t="s">
        <v>963</v>
      </c>
      <c r="AD2789" t="s">
        <v>6391</v>
      </c>
    </row>
    <row r="2790" spans="1:30" x14ac:dyDescent="0.25">
      <c r="A2790" t="s">
        <v>33</v>
      </c>
      <c r="D2790" t="s">
        <v>2847</v>
      </c>
      <c r="E2790" t="s">
        <v>2893</v>
      </c>
      <c r="F2790" t="s">
        <v>87</v>
      </c>
      <c r="G2790" t="s">
        <v>4946</v>
      </c>
      <c r="H2790" t="s">
        <v>143</v>
      </c>
      <c r="I2790" t="s">
        <v>100</v>
      </c>
      <c r="J2790" t="s">
        <v>145</v>
      </c>
      <c r="K2790" t="s">
        <v>146</v>
      </c>
      <c r="L2790" t="s">
        <v>4947</v>
      </c>
      <c r="M2790" t="s">
        <v>252</v>
      </c>
      <c r="N2790" t="s">
        <v>4948</v>
      </c>
      <c r="O2790" t="s">
        <v>442</v>
      </c>
      <c r="R2790" t="s">
        <v>6392</v>
      </c>
      <c r="S2790" t="s">
        <v>2864</v>
      </c>
      <c r="V2790" t="s">
        <v>2855</v>
      </c>
      <c r="W2790" t="s">
        <v>2898</v>
      </c>
      <c r="AD2790" t="s">
        <v>6393</v>
      </c>
    </row>
    <row r="2791" spans="1:30" x14ac:dyDescent="0.25">
      <c r="A2791" t="s">
        <v>33</v>
      </c>
      <c r="D2791" t="s">
        <v>2847</v>
      </c>
      <c r="E2791" t="s">
        <v>2893</v>
      </c>
      <c r="F2791" t="s">
        <v>87</v>
      </c>
      <c r="G2791" t="s">
        <v>4946</v>
      </c>
      <c r="H2791" t="s">
        <v>143</v>
      </c>
      <c r="I2791" t="s">
        <v>180</v>
      </c>
      <c r="J2791" t="s">
        <v>145</v>
      </c>
      <c r="K2791" t="s">
        <v>146</v>
      </c>
      <c r="L2791" t="s">
        <v>4947</v>
      </c>
      <c r="M2791" t="s">
        <v>252</v>
      </c>
      <c r="N2791" t="s">
        <v>4948</v>
      </c>
      <c r="O2791" t="s">
        <v>181</v>
      </c>
      <c r="R2791" t="s">
        <v>6394</v>
      </c>
      <c r="S2791" t="s">
        <v>2864</v>
      </c>
      <c r="V2791" t="s">
        <v>2855</v>
      </c>
      <c r="W2791" t="s">
        <v>2898</v>
      </c>
      <c r="AD2791" t="s">
        <v>6395</v>
      </c>
    </row>
    <row r="2792" spans="1:30" x14ac:dyDescent="0.25">
      <c r="A2792" t="s">
        <v>33</v>
      </c>
      <c r="D2792" t="s">
        <v>2847</v>
      </c>
      <c r="E2792" t="s">
        <v>2893</v>
      </c>
      <c r="F2792" t="s">
        <v>87</v>
      </c>
      <c r="G2792" t="s">
        <v>4960</v>
      </c>
      <c r="H2792" t="s">
        <v>143</v>
      </c>
      <c r="I2792" t="s">
        <v>90</v>
      </c>
      <c r="J2792" t="s">
        <v>145</v>
      </c>
      <c r="K2792" t="s">
        <v>146</v>
      </c>
      <c r="L2792" t="s">
        <v>4961</v>
      </c>
      <c r="M2792" t="s">
        <v>252</v>
      </c>
      <c r="N2792" t="s">
        <v>4962</v>
      </c>
      <c r="O2792" t="s">
        <v>380</v>
      </c>
      <c r="R2792" t="s">
        <v>6396</v>
      </c>
      <c r="S2792" t="s">
        <v>2864</v>
      </c>
      <c r="V2792" t="s">
        <v>2855</v>
      </c>
      <c r="W2792" t="s">
        <v>2898</v>
      </c>
      <c r="AD2792" t="s">
        <v>6397</v>
      </c>
    </row>
    <row r="2793" spans="1:30" x14ac:dyDescent="0.25">
      <c r="A2793" t="s">
        <v>33</v>
      </c>
      <c r="D2793" t="s">
        <v>2847</v>
      </c>
      <c r="E2793" t="s">
        <v>2893</v>
      </c>
      <c r="F2793" t="s">
        <v>87</v>
      </c>
      <c r="G2793" t="s">
        <v>4960</v>
      </c>
      <c r="H2793" t="s">
        <v>143</v>
      </c>
      <c r="I2793" t="s">
        <v>144</v>
      </c>
      <c r="J2793" t="s">
        <v>145</v>
      </c>
      <c r="K2793" t="s">
        <v>146</v>
      </c>
      <c r="L2793" t="s">
        <v>4961</v>
      </c>
      <c r="M2793" t="s">
        <v>252</v>
      </c>
      <c r="N2793" t="s">
        <v>4962</v>
      </c>
      <c r="O2793" t="s">
        <v>147</v>
      </c>
      <c r="R2793" t="s">
        <v>6398</v>
      </c>
      <c r="S2793" t="s">
        <v>2864</v>
      </c>
      <c r="V2793" t="s">
        <v>2855</v>
      </c>
      <c r="W2793" t="s">
        <v>2898</v>
      </c>
      <c r="AD2793" t="s">
        <v>6399</v>
      </c>
    </row>
    <row r="2794" spans="1:30" x14ac:dyDescent="0.25">
      <c r="A2794" t="s">
        <v>33</v>
      </c>
      <c r="D2794" t="s">
        <v>2847</v>
      </c>
      <c r="E2794" t="s">
        <v>2893</v>
      </c>
      <c r="F2794" t="s">
        <v>87</v>
      </c>
      <c r="G2794" t="s">
        <v>4960</v>
      </c>
      <c r="H2794" t="s">
        <v>143</v>
      </c>
      <c r="I2794" t="s">
        <v>180</v>
      </c>
      <c r="J2794" t="s">
        <v>145</v>
      </c>
      <c r="K2794" t="s">
        <v>146</v>
      </c>
      <c r="L2794" t="s">
        <v>4961</v>
      </c>
      <c r="M2794" t="s">
        <v>252</v>
      </c>
      <c r="N2794" t="s">
        <v>4962</v>
      </c>
      <c r="O2794" t="s">
        <v>181</v>
      </c>
      <c r="R2794" t="s">
        <v>6400</v>
      </c>
      <c r="S2794" t="s">
        <v>2864</v>
      </c>
      <c r="V2794" t="s">
        <v>2855</v>
      </c>
      <c r="W2794" t="s">
        <v>2898</v>
      </c>
      <c r="AD2794" t="s">
        <v>6401</v>
      </c>
    </row>
    <row r="2795" spans="1:30" x14ac:dyDescent="0.25">
      <c r="A2795" t="s">
        <v>33</v>
      </c>
      <c r="D2795" t="s">
        <v>2847</v>
      </c>
      <c r="E2795" t="s">
        <v>2893</v>
      </c>
      <c r="F2795" t="s">
        <v>87</v>
      </c>
      <c r="G2795" t="s">
        <v>4978</v>
      </c>
      <c r="H2795" t="s">
        <v>143</v>
      </c>
      <c r="I2795" t="s">
        <v>144</v>
      </c>
      <c r="J2795" t="s">
        <v>145</v>
      </c>
      <c r="K2795" t="s">
        <v>146</v>
      </c>
      <c r="L2795" t="s">
        <v>4979</v>
      </c>
      <c r="M2795" t="s">
        <v>252</v>
      </c>
      <c r="N2795" t="s">
        <v>4962</v>
      </c>
      <c r="O2795" t="s">
        <v>147</v>
      </c>
      <c r="R2795" t="s">
        <v>6402</v>
      </c>
      <c r="S2795" t="s">
        <v>2864</v>
      </c>
      <c r="V2795" t="s">
        <v>2855</v>
      </c>
      <c r="W2795" t="s">
        <v>2898</v>
      </c>
      <c r="AD2795" t="s">
        <v>6399</v>
      </c>
    </row>
    <row r="2796" spans="1:30" x14ac:dyDescent="0.25">
      <c r="A2796" t="s">
        <v>33</v>
      </c>
      <c r="D2796" t="s">
        <v>2847</v>
      </c>
      <c r="E2796" t="s">
        <v>2893</v>
      </c>
      <c r="F2796" t="s">
        <v>87</v>
      </c>
      <c r="G2796" t="s">
        <v>4978</v>
      </c>
      <c r="H2796" t="s">
        <v>143</v>
      </c>
      <c r="I2796" t="s">
        <v>180</v>
      </c>
      <c r="J2796" t="s">
        <v>145</v>
      </c>
      <c r="K2796" t="s">
        <v>146</v>
      </c>
      <c r="L2796" t="s">
        <v>4979</v>
      </c>
      <c r="M2796" t="s">
        <v>252</v>
      </c>
      <c r="N2796" t="s">
        <v>4962</v>
      </c>
      <c r="O2796" t="s">
        <v>181</v>
      </c>
      <c r="R2796" t="s">
        <v>6403</v>
      </c>
      <c r="S2796" t="s">
        <v>2864</v>
      </c>
      <c r="V2796" t="s">
        <v>2855</v>
      </c>
      <c r="W2796" t="s">
        <v>2898</v>
      </c>
      <c r="AD2796" t="s">
        <v>6401</v>
      </c>
    </row>
    <row r="2797" spans="1:30" x14ac:dyDescent="0.25">
      <c r="A2797" t="s">
        <v>33</v>
      </c>
      <c r="D2797" t="s">
        <v>2847</v>
      </c>
      <c r="E2797" t="s">
        <v>2893</v>
      </c>
      <c r="F2797" t="s">
        <v>87</v>
      </c>
      <c r="G2797" t="s">
        <v>4985</v>
      </c>
      <c r="H2797" t="s">
        <v>143</v>
      </c>
      <c r="I2797" t="s">
        <v>144</v>
      </c>
      <c r="J2797" t="s">
        <v>145</v>
      </c>
      <c r="K2797" t="s">
        <v>146</v>
      </c>
      <c r="L2797" t="s">
        <v>4986</v>
      </c>
      <c r="M2797" t="s">
        <v>252</v>
      </c>
      <c r="N2797" t="s">
        <v>4987</v>
      </c>
      <c r="O2797" t="s">
        <v>147</v>
      </c>
      <c r="R2797" t="s">
        <v>6404</v>
      </c>
      <c r="S2797" t="s">
        <v>2864</v>
      </c>
      <c r="V2797" t="s">
        <v>2855</v>
      </c>
      <c r="W2797" t="s">
        <v>2898</v>
      </c>
      <c r="AD2797" t="s">
        <v>6405</v>
      </c>
    </row>
    <row r="2798" spans="1:30" x14ac:dyDescent="0.25">
      <c r="A2798" t="s">
        <v>33</v>
      </c>
      <c r="D2798" t="s">
        <v>2847</v>
      </c>
      <c r="E2798" t="s">
        <v>2893</v>
      </c>
      <c r="F2798" t="s">
        <v>87</v>
      </c>
      <c r="G2798" t="s">
        <v>4985</v>
      </c>
      <c r="H2798" t="s">
        <v>143</v>
      </c>
      <c r="I2798" t="s">
        <v>180</v>
      </c>
      <c r="J2798" t="s">
        <v>145</v>
      </c>
      <c r="K2798" t="s">
        <v>146</v>
      </c>
      <c r="L2798" t="s">
        <v>4986</v>
      </c>
      <c r="M2798" t="s">
        <v>252</v>
      </c>
      <c r="N2798" t="s">
        <v>4987</v>
      </c>
      <c r="O2798" t="s">
        <v>181</v>
      </c>
      <c r="R2798" t="s">
        <v>6406</v>
      </c>
      <c r="S2798" t="s">
        <v>2864</v>
      </c>
      <c r="V2798" t="s">
        <v>2855</v>
      </c>
      <c r="W2798" t="s">
        <v>2898</v>
      </c>
      <c r="AD2798" t="s">
        <v>6407</v>
      </c>
    </row>
    <row r="2799" spans="1:30" x14ac:dyDescent="0.25">
      <c r="A2799" t="s">
        <v>33</v>
      </c>
      <c r="D2799" t="s">
        <v>2847</v>
      </c>
      <c r="E2799" t="s">
        <v>2859</v>
      </c>
      <c r="F2799" t="s">
        <v>6408</v>
      </c>
      <c r="G2799" t="s">
        <v>6409</v>
      </c>
      <c r="H2799" t="s">
        <v>280</v>
      </c>
      <c r="I2799" t="s">
        <v>1143</v>
      </c>
      <c r="J2799" t="s">
        <v>282</v>
      </c>
      <c r="K2799" t="s">
        <v>283</v>
      </c>
      <c r="L2799" t="s">
        <v>6410</v>
      </c>
      <c r="N2799" t="s">
        <v>6411</v>
      </c>
      <c r="O2799" t="s">
        <v>6412</v>
      </c>
      <c r="Q2799" t="s">
        <v>6413</v>
      </c>
      <c r="R2799" t="s">
        <v>6414</v>
      </c>
      <c r="S2799" t="s">
        <v>2864</v>
      </c>
      <c r="V2799" t="s">
        <v>2855</v>
      </c>
      <c r="W2799" t="s">
        <v>2865</v>
      </c>
      <c r="AD2799" t="s">
        <v>6415</v>
      </c>
    </row>
    <row r="2800" spans="1:30" x14ac:dyDescent="0.25">
      <c r="A2800" t="s">
        <v>33</v>
      </c>
      <c r="D2800" t="s">
        <v>2847</v>
      </c>
      <c r="E2800" t="s">
        <v>2893</v>
      </c>
      <c r="F2800" t="s">
        <v>87</v>
      </c>
      <c r="G2800" t="s">
        <v>4998</v>
      </c>
      <c r="H2800" t="s">
        <v>143</v>
      </c>
      <c r="I2800" t="s">
        <v>144</v>
      </c>
      <c r="J2800" t="s">
        <v>145</v>
      </c>
      <c r="K2800" t="s">
        <v>146</v>
      </c>
      <c r="L2800" t="s">
        <v>4999</v>
      </c>
      <c r="M2800" t="s">
        <v>252</v>
      </c>
      <c r="N2800" t="s">
        <v>5000</v>
      </c>
      <c r="O2800" t="s">
        <v>147</v>
      </c>
      <c r="R2800" t="s">
        <v>6416</v>
      </c>
      <c r="S2800" t="s">
        <v>2864</v>
      </c>
      <c r="V2800" t="s">
        <v>2855</v>
      </c>
      <c r="W2800" t="s">
        <v>2898</v>
      </c>
      <c r="AD2800" t="s">
        <v>6417</v>
      </c>
    </row>
    <row r="2801" spans="1:30" x14ac:dyDescent="0.25">
      <c r="A2801" t="s">
        <v>33</v>
      </c>
      <c r="D2801" t="s">
        <v>2847</v>
      </c>
      <c r="E2801" t="s">
        <v>2893</v>
      </c>
      <c r="F2801" t="s">
        <v>87</v>
      </c>
      <c r="G2801" t="s">
        <v>5569</v>
      </c>
      <c r="H2801" t="s">
        <v>143</v>
      </c>
      <c r="I2801" t="s">
        <v>90</v>
      </c>
      <c r="J2801" t="s">
        <v>145</v>
      </c>
      <c r="K2801" t="s">
        <v>146</v>
      </c>
      <c r="L2801" t="s">
        <v>5570</v>
      </c>
      <c r="M2801" t="s">
        <v>1879</v>
      </c>
      <c r="N2801" t="s">
        <v>5571</v>
      </c>
      <c r="O2801" t="s">
        <v>380</v>
      </c>
      <c r="R2801" t="s">
        <v>6418</v>
      </c>
      <c r="S2801" t="s">
        <v>2864</v>
      </c>
      <c r="V2801" t="s">
        <v>2855</v>
      </c>
      <c r="W2801" t="s">
        <v>2898</v>
      </c>
      <c r="X2801" t="s">
        <v>1881</v>
      </c>
      <c r="AD2801" t="s">
        <v>6419</v>
      </c>
    </row>
    <row r="2802" spans="1:30" x14ac:dyDescent="0.25">
      <c r="A2802" t="s">
        <v>33</v>
      </c>
      <c r="D2802" t="s">
        <v>2847</v>
      </c>
      <c r="E2802" t="s">
        <v>2893</v>
      </c>
      <c r="F2802" t="s">
        <v>87</v>
      </c>
      <c r="G2802" t="s">
        <v>5569</v>
      </c>
      <c r="H2802" t="s">
        <v>143</v>
      </c>
      <c r="I2802" t="s">
        <v>144</v>
      </c>
      <c r="J2802" t="s">
        <v>145</v>
      </c>
      <c r="K2802" t="s">
        <v>146</v>
      </c>
      <c r="L2802" t="s">
        <v>5570</v>
      </c>
      <c r="M2802" t="s">
        <v>1879</v>
      </c>
      <c r="N2802" t="s">
        <v>5571</v>
      </c>
      <c r="O2802" t="s">
        <v>147</v>
      </c>
      <c r="R2802" t="s">
        <v>6420</v>
      </c>
      <c r="S2802" t="s">
        <v>2864</v>
      </c>
      <c r="V2802" t="s">
        <v>2855</v>
      </c>
      <c r="W2802" t="s">
        <v>2898</v>
      </c>
      <c r="X2802" t="s">
        <v>1881</v>
      </c>
      <c r="AD2802" t="s">
        <v>6421</v>
      </c>
    </row>
    <row r="2803" spans="1:30" x14ac:dyDescent="0.25">
      <c r="A2803" t="s">
        <v>33</v>
      </c>
      <c r="D2803" t="s">
        <v>2847</v>
      </c>
      <c r="E2803" t="s">
        <v>2893</v>
      </c>
      <c r="F2803" t="s">
        <v>87</v>
      </c>
      <c r="G2803" t="s">
        <v>5576</v>
      </c>
      <c r="H2803" t="s">
        <v>143</v>
      </c>
      <c r="I2803" t="s">
        <v>90</v>
      </c>
      <c r="J2803" t="s">
        <v>145</v>
      </c>
      <c r="K2803" t="s">
        <v>146</v>
      </c>
      <c r="L2803" t="s">
        <v>5577</v>
      </c>
      <c r="M2803" t="s">
        <v>1879</v>
      </c>
      <c r="N2803" t="s">
        <v>5578</v>
      </c>
      <c r="O2803" t="s">
        <v>380</v>
      </c>
      <c r="R2803" t="s">
        <v>6422</v>
      </c>
      <c r="S2803" t="s">
        <v>2864</v>
      </c>
      <c r="V2803" t="s">
        <v>2855</v>
      </c>
      <c r="W2803" t="s">
        <v>2898</v>
      </c>
      <c r="X2803" t="s">
        <v>1881</v>
      </c>
      <c r="AD2803" t="s">
        <v>6423</v>
      </c>
    </row>
    <row r="2804" spans="1:30" x14ac:dyDescent="0.25">
      <c r="A2804" t="s">
        <v>33</v>
      </c>
      <c r="D2804" t="s">
        <v>2847</v>
      </c>
      <c r="E2804" t="s">
        <v>2893</v>
      </c>
      <c r="F2804" t="s">
        <v>87</v>
      </c>
      <c r="G2804" t="s">
        <v>5576</v>
      </c>
      <c r="H2804" t="s">
        <v>143</v>
      </c>
      <c r="I2804" t="s">
        <v>144</v>
      </c>
      <c r="J2804" t="s">
        <v>145</v>
      </c>
      <c r="K2804" t="s">
        <v>146</v>
      </c>
      <c r="L2804" t="s">
        <v>5577</v>
      </c>
      <c r="M2804" t="s">
        <v>1879</v>
      </c>
      <c r="N2804" t="s">
        <v>5578</v>
      </c>
      <c r="O2804" t="s">
        <v>147</v>
      </c>
      <c r="R2804" t="s">
        <v>6424</v>
      </c>
      <c r="S2804" t="s">
        <v>2864</v>
      </c>
      <c r="V2804" t="s">
        <v>2855</v>
      </c>
      <c r="W2804" t="s">
        <v>2898</v>
      </c>
      <c r="X2804" t="s">
        <v>1881</v>
      </c>
      <c r="AD2804" t="s">
        <v>6425</v>
      </c>
    </row>
    <row r="2805" spans="1:30" x14ac:dyDescent="0.25">
      <c r="A2805" t="s">
        <v>33</v>
      </c>
      <c r="D2805" t="s">
        <v>2847</v>
      </c>
      <c r="E2805" t="s">
        <v>2893</v>
      </c>
      <c r="F2805" t="s">
        <v>36</v>
      </c>
      <c r="G2805" t="s">
        <v>3500</v>
      </c>
      <c r="H2805" t="s">
        <v>143</v>
      </c>
      <c r="I2805" t="s">
        <v>90</v>
      </c>
      <c r="J2805" t="s">
        <v>145</v>
      </c>
      <c r="K2805" t="s">
        <v>146</v>
      </c>
      <c r="L2805" t="s">
        <v>3501</v>
      </c>
      <c r="M2805" t="s">
        <v>3483</v>
      </c>
      <c r="N2805" t="s">
        <v>3502</v>
      </c>
      <c r="O2805" t="s">
        <v>380</v>
      </c>
      <c r="R2805" t="s">
        <v>6426</v>
      </c>
      <c r="S2805" t="s">
        <v>2864</v>
      </c>
      <c r="V2805" t="s">
        <v>2855</v>
      </c>
      <c r="W2805" t="s">
        <v>2898</v>
      </c>
      <c r="X2805" t="s">
        <v>963</v>
      </c>
      <c r="AD2805" t="s">
        <v>6427</v>
      </c>
    </row>
    <row r="2806" spans="1:30" x14ac:dyDescent="0.25">
      <c r="A2806" t="s">
        <v>33</v>
      </c>
      <c r="D2806" t="s">
        <v>2847</v>
      </c>
      <c r="E2806" t="s">
        <v>2893</v>
      </c>
      <c r="F2806" t="s">
        <v>36</v>
      </c>
      <c r="G2806" t="s">
        <v>3500</v>
      </c>
      <c r="H2806" t="s">
        <v>143</v>
      </c>
      <c r="I2806" t="s">
        <v>144</v>
      </c>
      <c r="J2806" t="s">
        <v>145</v>
      </c>
      <c r="K2806" t="s">
        <v>146</v>
      </c>
      <c r="L2806" t="s">
        <v>3501</v>
      </c>
      <c r="M2806" t="s">
        <v>3483</v>
      </c>
      <c r="N2806" t="s">
        <v>3502</v>
      </c>
      <c r="O2806" t="s">
        <v>147</v>
      </c>
      <c r="R2806" t="s">
        <v>6428</v>
      </c>
      <c r="S2806" t="s">
        <v>2864</v>
      </c>
      <c r="V2806" t="s">
        <v>2855</v>
      </c>
      <c r="W2806" t="s">
        <v>2898</v>
      </c>
      <c r="X2806" t="s">
        <v>963</v>
      </c>
      <c r="AD2806" t="s">
        <v>6429</v>
      </c>
    </row>
    <row r="2807" spans="1:30" x14ac:dyDescent="0.25">
      <c r="A2807" t="s">
        <v>33</v>
      </c>
      <c r="D2807" t="s">
        <v>2847</v>
      </c>
      <c r="E2807" t="s">
        <v>2893</v>
      </c>
      <c r="F2807" t="s">
        <v>36</v>
      </c>
      <c r="G2807" t="s">
        <v>3500</v>
      </c>
      <c r="H2807" t="s">
        <v>143</v>
      </c>
      <c r="I2807" t="s">
        <v>180</v>
      </c>
      <c r="J2807" t="s">
        <v>145</v>
      </c>
      <c r="K2807" t="s">
        <v>146</v>
      </c>
      <c r="L2807" t="s">
        <v>3501</v>
      </c>
      <c r="M2807" t="s">
        <v>3483</v>
      </c>
      <c r="N2807" t="s">
        <v>3502</v>
      </c>
      <c r="O2807" t="s">
        <v>181</v>
      </c>
      <c r="R2807" t="s">
        <v>6430</v>
      </c>
      <c r="S2807" t="s">
        <v>2864</v>
      </c>
      <c r="V2807" t="s">
        <v>2855</v>
      </c>
      <c r="W2807" t="s">
        <v>2898</v>
      </c>
      <c r="X2807" t="s">
        <v>963</v>
      </c>
      <c r="AD2807" t="s">
        <v>6431</v>
      </c>
    </row>
    <row r="2808" spans="1:30" x14ac:dyDescent="0.25">
      <c r="A2808" t="s">
        <v>33</v>
      </c>
      <c r="D2808" t="s">
        <v>2847</v>
      </c>
      <c r="E2808" t="s">
        <v>2893</v>
      </c>
      <c r="F2808" t="s">
        <v>36</v>
      </c>
      <c r="G2808" t="s">
        <v>3500</v>
      </c>
      <c r="H2808" t="s">
        <v>143</v>
      </c>
      <c r="I2808" t="s">
        <v>100</v>
      </c>
      <c r="J2808" t="s">
        <v>145</v>
      </c>
      <c r="K2808" t="s">
        <v>146</v>
      </c>
      <c r="L2808" t="s">
        <v>3501</v>
      </c>
      <c r="M2808" t="s">
        <v>3483</v>
      </c>
      <c r="N2808" t="s">
        <v>3502</v>
      </c>
      <c r="O2808" t="s">
        <v>442</v>
      </c>
      <c r="R2808" t="s">
        <v>6432</v>
      </c>
      <c r="S2808" t="s">
        <v>2864</v>
      </c>
      <c r="V2808" t="s">
        <v>2855</v>
      </c>
      <c r="W2808" t="s">
        <v>2898</v>
      </c>
      <c r="X2808" t="s">
        <v>963</v>
      </c>
      <c r="AD2808" t="s">
        <v>6433</v>
      </c>
    </row>
    <row r="2809" spans="1:30" x14ac:dyDescent="0.25">
      <c r="A2809" t="s">
        <v>33</v>
      </c>
      <c r="D2809" t="s">
        <v>2847</v>
      </c>
      <c r="E2809" t="s">
        <v>2893</v>
      </c>
      <c r="F2809" t="s">
        <v>87</v>
      </c>
      <c r="G2809" t="s">
        <v>3810</v>
      </c>
      <c r="H2809" t="s">
        <v>143</v>
      </c>
      <c r="I2809" t="s">
        <v>90</v>
      </c>
      <c r="J2809" t="s">
        <v>145</v>
      </c>
      <c r="K2809" t="s">
        <v>146</v>
      </c>
      <c r="L2809" t="s">
        <v>3811</v>
      </c>
      <c r="M2809" t="s">
        <v>3327</v>
      </c>
      <c r="N2809" t="s">
        <v>3812</v>
      </c>
      <c r="O2809" t="s">
        <v>380</v>
      </c>
      <c r="R2809" t="s">
        <v>6434</v>
      </c>
      <c r="S2809" t="s">
        <v>2864</v>
      </c>
      <c r="V2809" t="s">
        <v>2855</v>
      </c>
      <c r="W2809" t="s">
        <v>2898</v>
      </c>
      <c r="X2809" t="s">
        <v>1193</v>
      </c>
      <c r="AD2809" t="s">
        <v>6435</v>
      </c>
    </row>
    <row r="2810" spans="1:30" x14ac:dyDescent="0.25">
      <c r="A2810" t="s">
        <v>33</v>
      </c>
      <c r="D2810" t="s">
        <v>2847</v>
      </c>
      <c r="E2810" t="s">
        <v>2893</v>
      </c>
      <c r="F2810" t="s">
        <v>87</v>
      </c>
      <c r="G2810" t="s">
        <v>3810</v>
      </c>
      <c r="H2810" t="s">
        <v>143</v>
      </c>
      <c r="I2810" t="s">
        <v>144</v>
      </c>
      <c r="J2810" t="s">
        <v>145</v>
      </c>
      <c r="K2810" t="s">
        <v>146</v>
      </c>
      <c r="L2810" t="s">
        <v>3811</v>
      </c>
      <c r="M2810" t="s">
        <v>3327</v>
      </c>
      <c r="N2810" t="s">
        <v>3812</v>
      </c>
      <c r="O2810" t="s">
        <v>147</v>
      </c>
      <c r="R2810" t="s">
        <v>6436</v>
      </c>
      <c r="S2810" t="s">
        <v>2864</v>
      </c>
      <c r="V2810" t="s">
        <v>2855</v>
      </c>
      <c r="W2810" t="s">
        <v>2898</v>
      </c>
      <c r="X2810" t="s">
        <v>1193</v>
      </c>
      <c r="AD2810" t="s">
        <v>6437</v>
      </c>
    </row>
    <row r="2811" spans="1:30" x14ac:dyDescent="0.25">
      <c r="A2811" t="s">
        <v>33</v>
      </c>
      <c r="D2811" t="s">
        <v>2847</v>
      </c>
      <c r="E2811" t="s">
        <v>2893</v>
      </c>
      <c r="F2811" t="s">
        <v>87</v>
      </c>
      <c r="G2811" t="s">
        <v>3810</v>
      </c>
      <c r="H2811" t="s">
        <v>143</v>
      </c>
      <c r="I2811" t="s">
        <v>180</v>
      </c>
      <c r="J2811" t="s">
        <v>145</v>
      </c>
      <c r="K2811" t="s">
        <v>146</v>
      </c>
      <c r="L2811" t="s">
        <v>3811</v>
      </c>
      <c r="M2811" t="s">
        <v>3327</v>
      </c>
      <c r="N2811" t="s">
        <v>3812</v>
      </c>
      <c r="O2811" t="s">
        <v>181</v>
      </c>
      <c r="R2811" t="s">
        <v>6438</v>
      </c>
      <c r="S2811" t="s">
        <v>2864</v>
      </c>
      <c r="V2811" t="s">
        <v>2855</v>
      </c>
      <c r="W2811" t="s">
        <v>2898</v>
      </c>
      <c r="X2811" t="s">
        <v>1193</v>
      </c>
      <c r="AD2811" t="s">
        <v>6439</v>
      </c>
    </row>
    <row r="2812" spans="1:30" x14ac:dyDescent="0.25">
      <c r="A2812" t="s">
        <v>33</v>
      </c>
      <c r="D2812" t="s">
        <v>2847</v>
      </c>
      <c r="E2812" t="s">
        <v>2893</v>
      </c>
      <c r="F2812" t="s">
        <v>87</v>
      </c>
      <c r="G2812" t="s">
        <v>5054</v>
      </c>
      <c r="H2812" t="s">
        <v>143</v>
      </c>
      <c r="I2812" t="s">
        <v>144</v>
      </c>
      <c r="J2812" t="s">
        <v>145</v>
      </c>
      <c r="K2812" t="s">
        <v>146</v>
      </c>
      <c r="L2812" t="s">
        <v>5055</v>
      </c>
      <c r="M2812" t="s">
        <v>53</v>
      </c>
      <c r="N2812" t="s">
        <v>5056</v>
      </c>
      <c r="O2812" t="s">
        <v>147</v>
      </c>
      <c r="R2812" t="s">
        <v>6440</v>
      </c>
      <c r="S2812" t="s">
        <v>2864</v>
      </c>
      <c r="V2812" t="s">
        <v>2855</v>
      </c>
      <c r="W2812" t="s">
        <v>2898</v>
      </c>
      <c r="X2812" t="s">
        <v>56</v>
      </c>
      <c r="AD2812" t="s">
        <v>6441</v>
      </c>
    </row>
    <row r="2813" spans="1:30" x14ac:dyDescent="0.25">
      <c r="A2813" t="s">
        <v>33</v>
      </c>
      <c r="D2813" t="s">
        <v>2847</v>
      </c>
      <c r="E2813" t="s">
        <v>2893</v>
      </c>
      <c r="F2813" t="s">
        <v>87</v>
      </c>
      <c r="G2813" t="s">
        <v>5054</v>
      </c>
      <c r="H2813" t="s">
        <v>143</v>
      </c>
      <c r="I2813" t="s">
        <v>180</v>
      </c>
      <c r="J2813" t="s">
        <v>145</v>
      </c>
      <c r="K2813" t="s">
        <v>146</v>
      </c>
      <c r="L2813" t="s">
        <v>5055</v>
      </c>
      <c r="M2813" t="s">
        <v>53</v>
      </c>
      <c r="N2813" t="s">
        <v>5056</v>
      </c>
      <c r="O2813" t="s">
        <v>181</v>
      </c>
      <c r="R2813" t="s">
        <v>6442</v>
      </c>
      <c r="S2813" t="s">
        <v>2864</v>
      </c>
      <c r="V2813" t="s">
        <v>2855</v>
      </c>
      <c r="W2813" t="s">
        <v>2898</v>
      </c>
      <c r="X2813" t="s">
        <v>56</v>
      </c>
      <c r="AD2813" t="s">
        <v>6443</v>
      </c>
    </row>
    <row r="2814" spans="1:30" x14ac:dyDescent="0.25">
      <c r="A2814" t="s">
        <v>33</v>
      </c>
      <c r="D2814" t="s">
        <v>2847</v>
      </c>
      <c r="E2814" t="s">
        <v>2893</v>
      </c>
      <c r="F2814" t="s">
        <v>87</v>
      </c>
      <c r="G2814" t="s">
        <v>3837</v>
      </c>
      <c r="H2814" t="s">
        <v>143</v>
      </c>
      <c r="I2814" t="s">
        <v>90</v>
      </c>
      <c r="J2814" t="s">
        <v>145</v>
      </c>
      <c r="K2814" t="s">
        <v>146</v>
      </c>
      <c r="L2814" t="s">
        <v>3838</v>
      </c>
      <c r="M2814" t="s">
        <v>3327</v>
      </c>
      <c r="N2814" t="s">
        <v>3812</v>
      </c>
      <c r="O2814" t="s">
        <v>380</v>
      </c>
      <c r="R2814" t="s">
        <v>6444</v>
      </c>
      <c r="S2814" t="s">
        <v>2864</v>
      </c>
      <c r="V2814" t="s">
        <v>2855</v>
      </c>
      <c r="W2814" t="s">
        <v>2898</v>
      </c>
      <c r="X2814" t="s">
        <v>1193</v>
      </c>
      <c r="AD2814" t="s">
        <v>6435</v>
      </c>
    </row>
    <row r="2815" spans="1:30" x14ac:dyDescent="0.25">
      <c r="A2815" t="s">
        <v>33</v>
      </c>
      <c r="D2815" t="s">
        <v>2847</v>
      </c>
      <c r="E2815" t="s">
        <v>2893</v>
      </c>
      <c r="F2815" t="s">
        <v>87</v>
      </c>
      <c r="G2815" t="s">
        <v>3837</v>
      </c>
      <c r="H2815" t="s">
        <v>143</v>
      </c>
      <c r="I2815" t="s">
        <v>144</v>
      </c>
      <c r="J2815" t="s">
        <v>145</v>
      </c>
      <c r="K2815" t="s">
        <v>146</v>
      </c>
      <c r="L2815" t="s">
        <v>3838</v>
      </c>
      <c r="M2815" t="s">
        <v>3327</v>
      </c>
      <c r="N2815" t="s">
        <v>3812</v>
      </c>
      <c r="O2815" t="s">
        <v>147</v>
      </c>
      <c r="R2815" t="s">
        <v>6445</v>
      </c>
      <c r="S2815" t="s">
        <v>2864</v>
      </c>
      <c r="V2815" t="s">
        <v>2855</v>
      </c>
      <c r="W2815" t="s">
        <v>2898</v>
      </c>
      <c r="X2815" t="s">
        <v>1193</v>
      </c>
      <c r="AD2815" t="s">
        <v>6437</v>
      </c>
    </row>
    <row r="2816" spans="1:30" x14ac:dyDescent="0.25">
      <c r="A2816" t="s">
        <v>33</v>
      </c>
      <c r="D2816" t="s">
        <v>2847</v>
      </c>
      <c r="E2816" t="s">
        <v>2893</v>
      </c>
      <c r="F2816" t="s">
        <v>87</v>
      </c>
      <c r="G2816" t="s">
        <v>3837</v>
      </c>
      <c r="H2816" t="s">
        <v>143</v>
      </c>
      <c r="I2816" t="s">
        <v>180</v>
      </c>
      <c r="J2816" t="s">
        <v>145</v>
      </c>
      <c r="K2816" t="s">
        <v>146</v>
      </c>
      <c r="L2816" t="s">
        <v>3838</v>
      </c>
      <c r="M2816" t="s">
        <v>3327</v>
      </c>
      <c r="N2816" t="s">
        <v>3812</v>
      </c>
      <c r="O2816" t="s">
        <v>181</v>
      </c>
      <c r="R2816" t="s">
        <v>6446</v>
      </c>
      <c r="S2816" t="s">
        <v>2864</v>
      </c>
      <c r="V2816" t="s">
        <v>2855</v>
      </c>
      <c r="W2816" t="s">
        <v>2898</v>
      </c>
      <c r="X2816" t="s">
        <v>1193</v>
      </c>
      <c r="AD2816" t="s">
        <v>6439</v>
      </c>
    </row>
    <row r="2817" spans="1:30" x14ac:dyDescent="0.25">
      <c r="A2817" t="s">
        <v>33</v>
      </c>
      <c r="D2817" t="s">
        <v>2847</v>
      </c>
      <c r="E2817" t="s">
        <v>2893</v>
      </c>
      <c r="F2817" t="s">
        <v>87</v>
      </c>
      <c r="G2817" t="s">
        <v>5067</v>
      </c>
      <c r="H2817" t="s">
        <v>143</v>
      </c>
      <c r="I2817" t="s">
        <v>144</v>
      </c>
      <c r="J2817" t="s">
        <v>145</v>
      </c>
      <c r="K2817" t="s">
        <v>146</v>
      </c>
      <c r="L2817" t="s">
        <v>5068</v>
      </c>
      <c r="M2817" t="s">
        <v>53</v>
      </c>
      <c r="N2817" t="s">
        <v>5056</v>
      </c>
      <c r="O2817" t="s">
        <v>147</v>
      </c>
      <c r="R2817" t="s">
        <v>6447</v>
      </c>
      <c r="S2817" t="s">
        <v>2864</v>
      </c>
      <c r="V2817" t="s">
        <v>2855</v>
      </c>
      <c r="W2817" t="s">
        <v>2898</v>
      </c>
      <c r="X2817" t="s">
        <v>56</v>
      </c>
      <c r="AD2817" t="s">
        <v>6441</v>
      </c>
    </row>
    <row r="2818" spans="1:30" x14ac:dyDescent="0.25">
      <c r="A2818" t="s">
        <v>33</v>
      </c>
      <c r="D2818" t="s">
        <v>2847</v>
      </c>
      <c r="E2818" t="s">
        <v>2893</v>
      </c>
      <c r="F2818" t="s">
        <v>87</v>
      </c>
      <c r="G2818" t="s">
        <v>5067</v>
      </c>
      <c r="H2818" t="s">
        <v>143</v>
      </c>
      <c r="I2818" t="s">
        <v>180</v>
      </c>
      <c r="J2818" t="s">
        <v>145</v>
      </c>
      <c r="K2818" t="s">
        <v>146</v>
      </c>
      <c r="L2818" t="s">
        <v>5068</v>
      </c>
      <c r="M2818" t="s">
        <v>53</v>
      </c>
      <c r="N2818" t="s">
        <v>5056</v>
      </c>
      <c r="O2818" t="s">
        <v>181</v>
      </c>
      <c r="R2818" t="s">
        <v>6448</v>
      </c>
      <c r="S2818" t="s">
        <v>2864</v>
      </c>
      <c r="V2818" t="s">
        <v>2855</v>
      </c>
      <c r="W2818" t="s">
        <v>2898</v>
      </c>
      <c r="X2818" t="s">
        <v>56</v>
      </c>
      <c r="AD2818" t="s">
        <v>6443</v>
      </c>
    </row>
    <row r="2819" spans="1:30" x14ac:dyDescent="0.25">
      <c r="A2819" t="s">
        <v>33</v>
      </c>
      <c r="D2819" t="s">
        <v>2847</v>
      </c>
      <c r="E2819" t="s">
        <v>2893</v>
      </c>
      <c r="F2819" t="s">
        <v>87</v>
      </c>
      <c r="G2819" t="s">
        <v>3862</v>
      </c>
      <c r="H2819" t="s">
        <v>143</v>
      </c>
      <c r="I2819" t="s">
        <v>90</v>
      </c>
      <c r="J2819" t="s">
        <v>145</v>
      </c>
      <c r="K2819" t="s">
        <v>146</v>
      </c>
      <c r="L2819" t="s">
        <v>3863</v>
      </c>
      <c r="M2819" t="s">
        <v>3327</v>
      </c>
      <c r="N2819" t="s">
        <v>3864</v>
      </c>
      <c r="O2819" t="s">
        <v>380</v>
      </c>
      <c r="R2819" t="s">
        <v>6449</v>
      </c>
      <c r="S2819" t="s">
        <v>2864</v>
      </c>
      <c r="V2819" t="s">
        <v>2855</v>
      </c>
      <c r="W2819" t="s">
        <v>2898</v>
      </c>
      <c r="X2819" t="s">
        <v>1193</v>
      </c>
      <c r="AD2819" t="s">
        <v>6450</v>
      </c>
    </row>
    <row r="2820" spans="1:30" x14ac:dyDescent="0.25">
      <c r="A2820" t="s">
        <v>33</v>
      </c>
      <c r="D2820" t="s">
        <v>2847</v>
      </c>
      <c r="E2820" t="s">
        <v>2893</v>
      </c>
      <c r="F2820" t="s">
        <v>87</v>
      </c>
      <c r="G2820" t="s">
        <v>3862</v>
      </c>
      <c r="H2820" t="s">
        <v>143</v>
      </c>
      <c r="I2820" t="s">
        <v>144</v>
      </c>
      <c r="J2820" t="s">
        <v>145</v>
      </c>
      <c r="K2820" t="s">
        <v>146</v>
      </c>
      <c r="L2820" t="s">
        <v>3863</v>
      </c>
      <c r="M2820" t="s">
        <v>3327</v>
      </c>
      <c r="N2820" t="s">
        <v>3864</v>
      </c>
      <c r="O2820" t="s">
        <v>147</v>
      </c>
      <c r="R2820" t="s">
        <v>6451</v>
      </c>
      <c r="S2820" t="s">
        <v>2864</v>
      </c>
      <c r="V2820" t="s">
        <v>2855</v>
      </c>
      <c r="W2820" t="s">
        <v>2898</v>
      </c>
      <c r="X2820" t="s">
        <v>1193</v>
      </c>
      <c r="AD2820" t="s">
        <v>6452</v>
      </c>
    </row>
    <row r="2821" spans="1:30" x14ac:dyDescent="0.25">
      <c r="A2821" t="s">
        <v>33</v>
      </c>
      <c r="D2821" t="s">
        <v>2847</v>
      </c>
      <c r="E2821" t="s">
        <v>2893</v>
      </c>
      <c r="F2821" t="s">
        <v>87</v>
      </c>
      <c r="G2821" t="s">
        <v>3862</v>
      </c>
      <c r="H2821" t="s">
        <v>143</v>
      </c>
      <c r="I2821" t="s">
        <v>180</v>
      </c>
      <c r="J2821" t="s">
        <v>145</v>
      </c>
      <c r="K2821" t="s">
        <v>146</v>
      </c>
      <c r="L2821" t="s">
        <v>3863</v>
      </c>
      <c r="M2821" t="s">
        <v>3327</v>
      </c>
      <c r="N2821" t="s">
        <v>3864</v>
      </c>
      <c r="O2821" t="s">
        <v>181</v>
      </c>
      <c r="R2821" t="s">
        <v>6453</v>
      </c>
      <c r="S2821" t="s">
        <v>2864</v>
      </c>
      <c r="V2821" t="s">
        <v>2855</v>
      </c>
      <c r="W2821" t="s">
        <v>2898</v>
      </c>
      <c r="X2821" t="s">
        <v>1193</v>
      </c>
      <c r="AD2821" t="s">
        <v>6454</v>
      </c>
    </row>
    <row r="2822" spans="1:30" x14ac:dyDescent="0.25">
      <c r="A2822" t="s">
        <v>33</v>
      </c>
      <c r="D2822" t="s">
        <v>2847</v>
      </c>
      <c r="E2822" t="s">
        <v>2893</v>
      </c>
      <c r="F2822" t="s">
        <v>87</v>
      </c>
      <c r="G2822" t="s">
        <v>5074</v>
      </c>
      <c r="H2822" t="s">
        <v>143</v>
      </c>
      <c r="I2822" t="s">
        <v>144</v>
      </c>
      <c r="J2822" t="s">
        <v>145</v>
      </c>
      <c r="K2822" t="s">
        <v>146</v>
      </c>
      <c r="L2822" t="s">
        <v>5075</v>
      </c>
      <c r="M2822" t="s">
        <v>53</v>
      </c>
      <c r="N2822" t="s">
        <v>5076</v>
      </c>
      <c r="O2822" t="s">
        <v>147</v>
      </c>
      <c r="R2822" t="s">
        <v>6455</v>
      </c>
      <c r="S2822" t="s">
        <v>2864</v>
      </c>
      <c r="V2822" t="s">
        <v>2855</v>
      </c>
      <c r="W2822" t="s">
        <v>2898</v>
      </c>
      <c r="X2822" t="s">
        <v>56</v>
      </c>
      <c r="AD2822" t="s">
        <v>6456</v>
      </c>
    </row>
    <row r="2823" spans="1:30" x14ac:dyDescent="0.25">
      <c r="A2823" t="s">
        <v>33</v>
      </c>
      <c r="D2823" t="s">
        <v>2847</v>
      </c>
      <c r="E2823" t="s">
        <v>2893</v>
      </c>
      <c r="F2823" t="s">
        <v>87</v>
      </c>
      <c r="G2823" t="s">
        <v>5074</v>
      </c>
      <c r="H2823" t="s">
        <v>143</v>
      </c>
      <c r="I2823" t="s">
        <v>180</v>
      </c>
      <c r="J2823" t="s">
        <v>145</v>
      </c>
      <c r="K2823" t="s">
        <v>146</v>
      </c>
      <c r="L2823" t="s">
        <v>5075</v>
      </c>
      <c r="M2823" t="s">
        <v>53</v>
      </c>
      <c r="N2823" t="s">
        <v>5076</v>
      </c>
      <c r="O2823" t="s">
        <v>181</v>
      </c>
      <c r="R2823" t="s">
        <v>6457</v>
      </c>
      <c r="S2823" t="s">
        <v>2864</v>
      </c>
      <c r="V2823" t="s">
        <v>2855</v>
      </c>
      <c r="W2823" t="s">
        <v>2898</v>
      </c>
      <c r="X2823" t="s">
        <v>56</v>
      </c>
      <c r="AD2823" t="s">
        <v>6458</v>
      </c>
    </row>
    <row r="2824" spans="1:30" x14ac:dyDescent="0.25">
      <c r="A2824" t="s">
        <v>33</v>
      </c>
      <c r="D2824" t="s">
        <v>2847</v>
      </c>
      <c r="E2824" t="s">
        <v>2893</v>
      </c>
      <c r="F2824" t="s">
        <v>87</v>
      </c>
      <c r="G2824" t="s">
        <v>3881</v>
      </c>
      <c r="H2824" t="s">
        <v>143</v>
      </c>
      <c r="I2824" t="s">
        <v>90</v>
      </c>
      <c r="J2824" t="s">
        <v>145</v>
      </c>
      <c r="K2824" t="s">
        <v>146</v>
      </c>
      <c r="L2824" t="s">
        <v>3882</v>
      </c>
      <c r="M2824" t="s">
        <v>3327</v>
      </c>
      <c r="N2824" t="s">
        <v>3864</v>
      </c>
      <c r="O2824" t="s">
        <v>380</v>
      </c>
      <c r="R2824" t="s">
        <v>6459</v>
      </c>
      <c r="S2824" t="s">
        <v>2864</v>
      </c>
      <c r="V2824" t="s">
        <v>2855</v>
      </c>
      <c r="W2824" t="s">
        <v>2898</v>
      </c>
      <c r="X2824" t="s">
        <v>1193</v>
      </c>
      <c r="AD2824" t="s">
        <v>6450</v>
      </c>
    </row>
    <row r="2825" spans="1:30" x14ac:dyDescent="0.25">
      <c r="A2825" t="s">
        <v>33</v>
      </c>
      <c r="D2825" t="s">
        <v>2847</v>
      </c>
      <c r="E2825" t="s">
        <v>2893</v>
      </c>
      <c r="F2825" t="s">
        <v>87</v>
      </c>
      <c r="G2825" t="s">
        <v>3881</v>
      </c>
      <c r="H2825" t="s">
        <v>143</v>
      </c>
      <c r="I2825" t="s">
        <v>144</v>
      </c>
      <c r="J2825" t="s">
        <v>145</v>
      </c>
      <c r="K2825" t="s">
        <v>146</v>
      </c>
      <c r="L2825" t="s">
        <v>3882</v>
      </c>
      <c r="M2825" t="s">
        <v>3327</v>
      </c>
      <c r="N2825" t="s">
        <v>3864</v>
      </c>
      <c r="O2825" t="s">
        <v>147</v>
      </c>
      <c r="R2825" t="s">
        <v>6460</v>
      </c>
      <c r="S2825" t="s">
        <v>2864</v>
      </c>
      <c r="V2825" t="s">
        <v>2855</v>
      </c>
      <c r="W2825" t="s">
        <v>2898</v>
      </c>
      <c r="X2825" t="s">
        <v>1193</v>
      </c>
      <c r="AD2825" t="s">
        <v>6452</v>
      </c>
    </row>
    <row r="2826" spans="1:30" x14ac:dyDescent="0.25">
      <c r="A2826" t="s">
        <v>33</v>
      </c>
      <c r="D2826" t="s">
        <v>2847</v>
      </c>
      <c r="E2826" t="s">
        <v>2893</v>
      </c>
      <c r="F2826" t="s">
        <v>87</v>
      </c>
      <c r="G2826" t="s">
        <v>3881</v>
      </c>
      <c r="H2826" t="s">
        <v>143</v>
      </c>
      <c r="I2826" t="s">
        <v>180</v>
      </c>
      <c r="J2826" t="s">
        <v>145</v>
      </c>
      <c r="K2826" t="s">
        <v>146</v>
      </c>
      <c r="L2826" t="s">
        <v>3882</v>
      </c>
      <c r="M2826" t="s">
        <v>3327</v>
      </c>
      <c r="N2826" t="s">
        <v>3864</v>
      </c>
      <c r="O2826" t="s">
        <v>181</v>
      </c>
      <c r="R2826" t="s">
        <v>6461</v>
      </c>
      <c r="S2826" t="s">
        <v>2864</v>
      </c>
      <c r="V2826" t="s">
        <v>2855</v>
      </c>
      <c r="W2826" t="s">
        <v>2898</v>
      </c>
      <c r="X2826" t="s">
        <v>1193</v>
      </c>
      <c r="AD2826" t="s">
        <v>6454</v>
      </c>
    </row>
    <row r="2827" spans="1:30" x14ac:dyDescent="0.25">
      <c r="A2827" t="s">
        <v>33</v>
      </c>
      <c r="D2827" t="s">
        <v>2847</v>
      </c>
      <c r="E2827" t="s">
        <v>2893</v>
      </c>
      <c r="F2827" t="s">
        <v>87</v>
      </c>
      <c r="G2827" t="s">
        <v>5087</v>
      </c>
      <c r="H2827" t="s">
        <v>143</v>
      </c>
      <c r="I2827" t="s">
        <v>144</v>
      </c>
      <c r="J2827" t="s">
        <v>145</v>
      </c>
      <c r="K2827" t="s">
        <v>146</v>
      </c>
      <c r="L2827" t="s">
        <v>5088</v>
      </c>
      <c r="M2827" t="s">
        <v>53</v>
      </c>
      <c r="N2827" t="s">
        <v>5076</v>
      </c>
      <c r="O2827" t="s">
        <v>147</v>
      </c>
      <c r="R2827" t="s">
        <v>6462</v>
      </c>
      <c r="S2827" t="s">
        <v>2864</v>
      </c>
      <c r="V2827" t="s">
        <v>2855</v>
      </c>
      <c r="W2827" t="s">
        <v>2898</v>
      </c>
      <c r="X2827" t="s">
        <v>56</v>
      </c>
      <c r="AD2827" t="s">
        <v>6456</v>
      </c>
    </row>
    <row r="2828" spans="1:30" x14ac:dyDescent="0.25">
      <c r="A2828" t="s">
        <v>33</v>
      </c>
      <c r="D2828" t="s">
        <v>2847</v>
      </c>
      <c r="E2828" t="s">
        <v>2893</v>
      </c>
      <c r="F2828" t="s">
        <v>87</v>
      </c>
      <c r="G2828" t="s">
        <v>5087</v>
      </c>
      <c r="H2828" t="s">
        <v>143</v>
      </c>
      <c r="I2828" t="s">
        <v>180</v>
      </c>
      <c r="J2828" t="s">
        <v>145</v>
      </c>
      <c r="K2828" t="s">
        <v>146</v>
      </c>
      <c r="L2828" t="s">
        <v>5088</v>
      </c>
      <c r="M2828" t="s">
        <v>53</v>
      </c>
      <c r="N2828" t="s">
        <v>5076</v>
      </c>
      <c r="O2828" t="s">
        <v>181</v>
      </c>
      <c r="R2828" t="s">
        <v>6463</v>
      </c>
      <c r="S2828" t="s">
        <v>2864</v>
      </c>
      <c r="V2828" t="s">
        <v>2855</v>
      </c>
      <c r="W2828" t="s">
        <v>2898</v>
      </c>
      <c r="X2828" t="s">
        <v>56</v>
      </c>
      <c r="AD2828" t="s">
        <v>6458</v>
      </c>
    </row>
    <row r="2829" spans="1:30" x14ac:dyDescent="0.25">
      <c r="A2829" t="s">
        <v>33</v>
      </c>
      <c r="D2829" t="s">
        <v>2847</v>
      </c>
      <c r="E2829" t="s">
        <v>2848</v>
      </c>
      <c r="F2829" t="s">
        <v>87</v>
      </c>
      <c r="G2829" t="s">
        <v>5094</v>
      </c>
      <c r="H2829" t="s">
        <v>143</v>
      </c>
      <c r="I2829" t="s">
        <v>144</v>
      </c>
      <c r="J2829" t="s">
        <v>145</v>
      </c>
      <c r="K2829" t="s">
        <v>146</v>
      </c>
      <c r="L2829" t="s">
        <v>5095</v>
      </c>
      <c r="M2829" t="s">
        <v>53</v>
      </c>
      <c r="N2829" t="s">
        <v>5096</v>
      </c>
      <c r="O2829" t="s">
        <v>147</v>
      </c>
      <c r="R2829" t="s">
        <v>6464</v>
      </c>
      <c r="S2829" t="s">
        <v>2864</v>
      </c>
      <c r="V2829" t="s">
        <v>2855</v>
      </c>
      <c r="W2829" t="s">
        <v>2856</v>
      </c>
      <c r="X2829" t="s">
        <v>56</v>
      </c>
      <c r="AD2829" t="s">
        <v>6465</v>
      </c>
    </row>
    <row r="2830" spans="1:30" x14ac:dyDescent="0.25">
      <c r="A2830" t="s">
        <v>33</v>
      </c>
      <c r="D2830" t="s">
        <v>2847</v>
      </c>
      <c r="E2830" t="s">
        <v>2848</v>
      </c>
      <c r="F2830" t="s">
        <v>87</v>
      </c>
      <c r="G2830" t="s">
        <v>5094</v>
      </c>
      <c r="H2830" t="s">
        <v>143</v>
      </c>
      <c r="I2830" t="s">
        <v>180</v>
      </c>
      <c r="J2830" t="s">
        <v>145</v>
      </c>
      <c r="K2830" t="s">
        <v>146</v>
      </c>
      <c r="L2830" t="s">
        <v>5095</v>
      </c>
      <c r="M2830" t="s">
        <v>53</v>
      </c>
      <c r="N2830" t="s">
        <v>5096</v>
      </c>
      <c r="O2830" t="s">
        <v>181</v>
      </c>
      <c r="R2830" t="s">
        <v>6466</v>
      </c>
      <c r="S2830" t="s">
        <v>2864</v>
      </c>
      <c r="V2830" t="s">
        <v>2855</v>
      </c>
      <c r="W2830" t="s">
        <v>2856</v>
      </c>
      <c r="X2830" t="s">
        <v>56</v>
      </c>
      <c r="AD2830" t="s">
        <v>6467</v>
      </c>
    </row>
    <row r="2831" spans="1:30" x14ac:dyDescent="0.25">
      <c r="A2831" t="s">
        <v>33</v>
      </c>
      <c r="D2831" t="s">
        <v>2847</v>
      </c>
      <c r="E2831" t="s">
        <v>2893</v>
      </c>
      <c r="F2831" t="s">
        <v>36</v>
      </c>
      <c r="G2831" t="s">
        <v>3610</v>
      </c>
      <c r="H2831" t="s">
        <v>143</v>
      </c>
      <c r="I2831" t="s">
        <v>144</v>
      </c>
      <c r="J2831" t="s">
        <v>145</v>
      </c>
      <c r="K2831" t="s">
        <v>146</v>
      </c>
      <c r="L2831" t="s">
        <v>3611</v>
      </c>
      <c r="M2831" t="s">
        <v>3483</v>
      </c>
      <c r="N2831" t="s">
        <v>3612</v>
      </c>
      <c r="O2831" t="s">
        <v>147</v>
      </c>
      <c r="R2831" t="s">
        <v>6468</v>
      </c>
      <c r="S2831" t="s">
        <v>2864</v>
      </c>
      <c r="V2831" t="s">
        <v>2855</v>
      </c>
      <c r="W2831" t="s">
        <v>2898</v>
      </c>
      <c r="X2831" t="s">
        <v>963</v>
      </c>
      <c r="AD2831" t="s">
        <v>6469</v>
      </c>
    </row>
    <row r="2832" spans="1:30" x14ac:dyDescent="0.25">
      <c r="A2832" t="s">
        <v>33</v>
      </c>
      <c r="D2832" t="s">
        <v>2847</v>
      </c>
      <c r="E2832" t="s">
        <v>2893</v>
      </c>
      <c r="F2832" t="s">
        <v>36</v>
      </c>
      <c r="G2832" t="s">
        <v>3610</v>
      </c>
      <c r="H2832" t="s">
        <v>143</v>
      </c>
      <c r="I2832" t="s">
        <v>180</v>
      </c>
      <c r="J2832" t="s">
        <v>145</v>
      </c>
      <c r="K2832" t="s">
        <v>146</v>
      </c>
      <c r="L2832" t="s">
        <v>3611</v>
      </c>
      <c r="M2832" t="s">
        <v>3483</v>
      </c>
      <c r="N2832" t="s">
        <v>3612</v>
      </c>
      <c r="O2832" t="s">
        <v>181</v>
      </c>
      <c r="R2832" t="s">
        <v>6470</v>
      </c>
      <c r="S2832" t="s">
        <v>2864</v>
      </c>
      <c r="V2832" t="s">
        <v>2855</v>
      </c>
      <c r="W2832" t="s">
        <v>2898</v>
      </c>
      <c r="X2832" t="s">
        <v>963</v>
      </c>
      <c r="AD2832" t="s">
        <v>6471</v>
      </c>
    </row>
    <row r="2833" spans="1:32" x14ac:dyDescent="0.25">
      <c r="A2833" t="s">
        <v>33</v>
      </c>
      <c r="D2833" t="s">
        <v>2847</v>
      </c>
      <c r="E2833" t="s">
        <v>2893</v>
      </c>
      <c r="F2833" t="s">
        <v>87</v>
      </c>
      <c r="G2833" t="s">
        <v>3847</v>
      </c>
      <c r="H2833" t="s">
        <v>143</v>
      </c>
      <c r="I2833" t="s">
        <v>144</v>
      </c>
      <c r="J2833" t="s">
        <v>145</v>
      </c>
      <c r="K2833" t="s">
        <v>146</v>
      </c>
      <c r="L2833" t="s">
        <v>3848</v>
      </c>
      <c r="M2833" t="s">
        <v>176</v>
      </c>
      <c r="N2833" t="s">
        <v>3849</v>
      </c>
      <c r="O2833" t="s">
        <v>147</v>
      </c>
      <c r="R2833" t="s">
        <v>6472</v>
      </c>
      <c r="S2833" t="s">
        <v>2864</v>
      </c>
      <c r="V2833" t="s">
        <v>2855</v>
      </c>
      <c r="W2833" t="s">
        <v>2898</v>
      </c>
      <c r="AD2833" t="s">
        <v>6473</v>
      </c>
    </row>
    <row r="2834" spans="1:32" x14ac:dyDescent="0.25">
      <c r="A2834" t="s">
        <v>33</v>
      </c>
      <c r="D2834" t="s">
        <v>2847</v>
      </c>
      <c r="E2834" t="s">
        <v>2893</v>
      </c>
      <c r="F2834" t="s">
        <v>87</v>
      </c>
      <c r="G2834" t="s">
        <v>3828</v>
      </c>
      <c r="H2834" t="s">
        <v>143</v>
      </c>
      <c r="I2834" t="s">
        <v>180</v>
      </c>
      <c r="J2834" t="s">
        <v>145</v>
      </c>
      <c r="K2834" t="s">
        <v>146</v>
      </c>
      <c r="L2834" t="s">
        <v>3829</v>
      </c>
      <c r="M2834" t="s">
        <v>176</v>
      </c>
      <c r="N2834" t="s">
        <v>3830</v>
      </c>
      <c r="O2834" t="s">
        <v>181</v>
      </c>
      <c r="R2834" t="s">
        <v>6474</v>
      </c>
      <c r="S2834" t="s">
        <v>2864</v>
      </c>
      <c r="V2834" t="s">
        <v>2855</v>
      </c>
      <c r="W2834" t="s">
        <v>2898</v>
      </c>
      <c r="AD2834" t="s">
        <v>6475</v>
      </c>
    </row>
    <row r="2835" spans="1:32" x14ac:dyDescent="0.25">
      <c r="A2835" t="s">
        <v>33</v>
      </c>
      <c r="D2835" t="s">
        <v>2847</v>
      </c>
      <c r="E2835" t="s">
        <v>2893</v>
      </c>
      <c r="F2835" t="s">
        <v>87</v>
      </c>
      <c r="G2835" t="s">
        <v>3847</v>
      </c>
      <c r="H2835" t="s">
        <v>143</v>
      </c>
      <c r="I2835" t="s">
        <v>180</v>
      </c>
      <c r="J2835" t="s">
        <v>145</v>
      </c>
      <c r="K2835" t="s">
        <v>146</v>
      </c>
      <c r="L2835" t="s">
        <v>3848</v>
      </c>
      <c r="M2835" t="s">
        <v>176</v>
      </c>
      <c r="N2835" t="s">
        <v>3849</v>
      </c>
      <c r="O2835" t="s">
        <v>181</v>
      </c>
      <c r="R2835" t="s">
        <v>6476</v>
      </c>
      <c r="S2835" t="s">
        <v>2864</v>
      </c>
      <c r="V2835" t="s">
        <v>2855</v>
      </c>
      <c r="W2835" t="s">
        <v>2898</v>
      </c>
      <c r="AD2835" t="s">
        <v>6477</v>
      </c>
    </row>
    <row r="2836" spans="1:32" x14ac:dyDescent="0.25">
      <c r="A2836" t="s">
        <v>33</v>
      </c>
      <c r="D2836" t="s">
        <v>2847</v>
      </c>
      <c r="E2836" t="s">
        <v>2859</v>
      </c>
      <c r="F2836" t="s">
        <v>6408</v>
      </c>
      <c r="G2836" t="s">
        <v>6478</v>
      </c>
      <c r="H2836" t="s">
        <v>280</v>
      </c>
      <c r="I2836" t="s">
        <v>1143</v>
      </c>
      <c r="J2836" t="s">
        <v>282</v>
      </c>
      <c r="K2836" t="s">
        <v>283</v>
      </c>
      <c r="L2836" t="s">
        <v>6479</v>
      </c>
      <c r="N2836" t="s">
        <v>6411</v>
      </c>
      <c r="O2836" t="s">
        <v>6412</v>
      </c>
      <c r="Q2836" t="s">
        <v>6413</v>
      </c>
      <c r="R2836" t="s">
        <v>6480</v>
      </c>
      <c r="S2836" t="s">
        <v>2864</v>
      </c>
      <c r="V2836" t="s">
        <v>2855</v>
      </c>
      <c r="W2836" t="s">
        <v>2865</v>
      </c>
      <c r="AD2836" t="s">
        <v>6415</v>
      </c>
    </row>
    <row r="2837" spans="1:32" x14ac:dyDescent="0.25">
      <c r="A2837" t="s">
        <v>33</v>
      </c>
      <c r="D2837" t="s">
        <v>2847</v>
      </c>
      <c r="E2837" t="s">
        <v>2859</v>
      </c>
      <c r="F2837" t="s">
        <v>6408</v>
      </c>
      <c r="G2837" t="s">
        <v>6481</v>
      </c>
      <c r="H2837" t="s">
        <v>280</v>
      </c>
      <c r="I2837" t="s">
        <v>1143</v>
      </c>
      <c r="J2837" t="s">
        <v>282</v>
      </c>
      <c r="K2837" t="s">
        <v>283</v>
      </c>
      <c r="L2837" t="s">
        <v>6482</v>
      </c>
      <c r="N2837" t="s">
        <v>6483</v>
      </c>
      <c r="O2837" t="s">
        <v>6412</v>
      </c>
      <c r="Q2837" t="s">
        <v>6484</v>
      </c>
      <c r="R2837" t="s">
        <v>6485</v>
      </c>
      <c r="S2837" t="s">
        <v>2864</v>
      </c>
      <c r="V2837" t="s">
        <v>2855</v>
      </c>
      <c r="W2837" t="s">
        <v>2865</v>
      </c>
      <c r="AD2837" t="s">
        <v>6486</v>
      </c>
    </row>
    <row r="2838" spans="1:32" x14ac:dyDescent="0.25">
      <c r="A2838" t="s">
        <v>33</v>
      </c>
      <c r="D2838" t="s">
        <v>2847</v>
      </c>
      <c r="E2838" t="s">
        <v>2893</v>
      </c>
      <c r="F2838" t="s">
        <v>866</v>
      </c>
      <c r="G2838" t="s">
        <v>6027</v>
      </c>
      <c r="H2838" t="s">
        <v>143</v>
      </c>
      <c r="I2838" t="s">
        <v>2232</v>
      </c>
      <c r="J2838" t="s">
        <v>145</v>
      </c>
      <c r="K2838" t="s">
        <v>146</v>
      </c>
      <c r="L2838" t="s">
        <v>6029</v>
      </c>
      <c r="M2838" t="s">
        <v>3327</v>
      </c>
      <c r="N2838" t="s">
        <v>6030</v>
      </c>
      <c r="O2838" t="s">
        <v>2233</v>
      </c>
      <c r="R2838" t="s">
        <v>6487</v>
      </c>
      <c r="S2838" t="s">
        <v>2864</v>
      </c>
      <c r="V2838" t="s">
        <v>2855</v>
      </c>
      <c r="W2838" t="s">
        <v>2865</v>
      </c>
      <c r="X2838" t="s">
        <v>1193</v>
      </c>
      <c r="AD2838" t="s">
        <v>6488</v>
      </c>
    </row>
    <row r="2839" spans="1:32" x14ac:dyDescent="0.25">
      <c r="A2839" t="s">
        <v>33</v>
      </c>
      <c r="D2839" t="s">
        <v>2847</v>
      </c>
      <c r="E2839" t="s">
        <v>2893</v>
      </c>
      <c r="F2839" t="s">
        <v>866</v>
      </c>
      <c r="G2839" t="s">
        <v>6027</v>
      </c>
      <c r="H2839" t="s">
        <v>143</v>
      </c>
      <c r="I2839" t="s">
        <v>1289</v>
      </c>
      <c r="J2839" t="s">
        <v>145</v>
      </c>
      <c r="K2839" t="s">
        <v>146</v>
      </c>
      <c r="L2839" t="s">
        <v>6029</v>
      </c>
      <c r="M2839" t="s">
        <v>3327</v>
      </c>
      <c r="N2839" t="s">
        <v>6030</v>
      </c>
      <c r="O2839" t="s">
        <v>1290</v>
      </c>
      <c r="R2839" t="s">
        <v>5818</v>
      </c>
      <c r="S2839" t="s">
        <v>2864</v>
      </c>
      <c r="V2839" t="s">
        <v>2855</v>
      </c>
      <c r="W2839" t="s">
        <v>2865</v>
      </c>
      <c r="X2839" t="s">
        <v>1193</v>
      </c>
      <c r="AD2839" t="s">
        <v>6489</v>
      </c>
    </row>
    <row r="2840" spans="1:32" x14ac:dyDescent="0.25">
      <c r="A2840" t="s">
        <v>33</v>
      </c>
      <c r="D2840" t="s">
        <v>2847</v>
      </c>
      <c r="E2840" t="s">
        <v>2859</v>
      </c>
      <c r="F2840" t="s">
        <v>87</v>
      </c>
      <c r="G2840" t="s">
        <v>2860</v>
      </c>
      <c r="H2840" t="s">
        <v>143</v>
      </c>
      <c r="I2840" t="s">
        <v>90</v>
      </c>
      <c r="J2840" t="s">
        <v>145</v>
      </c>
      <c r="K2840" t="s">
        <v>146</v>
      </c>
      <c r="L2840" t="s">
        <v>2861</v>
      </c>
      <c r="M2840" t="s">
        <v>82</v>
      </c>
      <c r="N2840" t="s">
        <v>2862</v>
      </c>
      <c r="O2840" t="s">
        <v>380</v>
      </c>
      <c r="R2840" t="s">
        <v>6490</v>
      </c>
      <c r="S2840" t="s">
        <v>2864</v>
      </c>
      <c r="V2840" t="s">
        <v>2855</v>
      </c>
      <c r="W2840" t="s">
        <v>2865</v>
      </c>
      <c r="AD2840" t="s">
        <v>6491</v>
      </c>
    </row>
    <row r="2841" spans="1:32" x14ac:dyDescent="0.25">
      <c r="A2841" t="s">
        <v>33</v>
      </c>
      <c r="D2841" t="s">
        <v>2847</v>
      </c>
      <c r="E2841" t="s">
        <v>2859</v>
      </c>
      <c r="F2841" t="s">
        <v>87</v>
      </c>
      <c r="G2841" t="s">
        <v>2860</v>
      </c>
      <c r="H2841" t="s">
        <v>143</v>
      </c>
      <c r="I2841" t="s">
        <v>144</v>
      </c>
      <c r="J2841" t="s">
        <v>145</v>
      </c>
      <c r="K2841" t="s">
        <v>146</v>
      </c>
      <c r="L2841" t="s">
        <v>2861</v>
      </c>
      <c r="M2841" t="s">
        <v>82</v>
      </c>
      <c r="N2841" t="s">
        <v>2862</v>
      </c>
      <c r="O2841" t="s">
        <v>147</v>
      </c>
      <c r="R2841" t="s">
        <v>6492</v>
      </c>
      <c r="S2841" t="s">
        <v>2864</v>
      </c>
      <c r="V2841" t="s">
        <v>2855</v>
      </c>
      <c r="W2841" t="s">
        <v>2865</v>
      </c>
      <c r="AD2841" t="s">
        <v>6493</v>
      </c>
    </row>
    <row r="2842" spans="1:32" x14ac:dyDescent="0.25">
      <c r="A2842" t="s">
        <v>33</v>
      </c>
      <c r="D2842" t="s">
        <v>2847</v>
      </c>
      <c r="E2842" t="s">
        <v>2893</v>
      </c>
      <c r="F2842" t="s">
        <v>866</v>
      </c>
      <c r="G2842" t="s">
        <v>6027</v>
      </c>
      <c r="H2842" t="s">
        <v>143</v>
      </c>
      <c r="I2842" t="s">
        <v>2546</v>
      </c>
      <c r="J2842" t="s">
        <v>145</v>
      </c>
      <c r="K2842" t="s">
        <v>146</v>
      </c>
      <c r="L2842" t="s">
        <v>6029</v>
      </c>
      <c r="M2842" t="s">
        <v>3327</v>
      </c>
      <c r="N2842" t="s">
        <v>6030</v>
      </c>
      <c r="O2842" t="s">
        <v>2547</v>
      </c>
      <c r="R2842" t="s">
        <v>6494</v>
      </c>
      <c r="S2842" t="s">
        <v>2864</v>
      </c>
      <c r="V2842" t="s">
        <v>2855</v>
      </c>
      <c r="W2842" t="s">
        <v>2865</v>
      </c>
      <c r="X2842" t="s">
        <v>1193</v>
      </c>
      <c r="AD2842" t="s">
        <v>6495</v>
      </c>
    </row>
    <row r="2843" spans="1:32" x14ac:dyDescent="0.25">
      <c r="A2843" t="s">
        <v>33</v>
      </c>
      <c r="D2843" t="s">
        <v>2847</v>
      </c>
      <c r="E2843" t="s">
        <v>2893</v>
      </c>
      <c r="F2843" t="s">
        <v>866</v>
      </c>
      <c r="G2843" t="s">
        <v>6027</v>
      </c>
      <c r="H2843" t="s">
        <v>280</v>
      </c>
      <c r="I2843" t="s">
        <v>1263</v>
      </c>
      <c r="J2843" t="s">
        <v>282</v>
      </c>
      <c r="K2843" t="s">
        <v>283</v>
      </c>
      <c r="L2843" t="s">
        <v>6029</v>
      </c>
      <c r="N2843" t="s">
        <v>6030</v>
      </c>
      <c r="O2843" t="s">
        <v>1264</v>
      </c>
      <c r="Q2843" t="s">
        <v>6496</v>
      </c>
      <c r="R2843" t="s">
        <v>6497</v>
      </c>
      <c r="S2843" t="s">
        <v>2864</v>
      </c>
      <c r="V2843" t="s">
        <v>2855</v>
      </c>
      <c r="W2843" t="s">
        <v>2865</v>
      </c>
      <c r="AD2843" t="s">
        <v>6498</v>
      </c>
    </row>
    <row r="2844" spans="1:32" x14ac:dyDescent="0.25">
      <c r="A2844" t="s">
        <v>33</v>
      </c>
      <c r="D2844" t="s">
        <v>2847</v>
      </c>
      <c r="E2844" t="s">
        <v>2893</v>
      </c>
      <c r="F2844" t="s">
        <v>6408</v>
      </c>
      <c r="G2844" t="s">
        <v>6499</v>
      </c>
      <c r="H2844" t="s">
        <v>280</v>
      </c>
      <c r="I2844" t="s">
        <v>1143</v>
      </c>
      <c r="J2844" t="s">
        <v>282</v>
      </c>
      <c r="K2844" t="s">
        <v>283</v>
      </c>
      <c r="L2844" t="s">
        <v>6500</v>
      </c>
      <c r="N2844" t="s">
        <v>6501</v>
      </c>
      <c r="O2844" t="s">
        <v>6412</v>
      </c>
      <c r="Q2844" t="s">
        <v>6502</v>
      </c>
      <c r="R2844" t="s">
        <v>6503</v>
      </c>
      <c r="S2844" t="s">
        <v>2864</v>
      </c>
      <c r="V2844" t="s">
        <v>2855</v>
      </c>
      <c r="W2844" t="s">
        <v>2898</v>
      </c>
      <c r="AD2844" t="s">
        <v>6504</v>
      </c>
    </row>
    <row r="2845" spans="1:32" x14ac:dyDescent="0.25">
      <c r="A2845" t="s">
        <v>33</v>
      </c>
      <c r="D2845" t="s">
        <v>2847</v>
      </c>
      <c r="E2845" t="s">
        <v>2893</v>
      </c>
      <c r="F2845" t="s">
        <v>866</v>
      </c>
      <c r="G2845" t="s">
        <v>5373</v>
      </c>
      <c r="H2845" t="s">
        <v>153</v>
      </c>
      <c r="I2845" t="s">
        <v>598</v>
      </c>
      <c r="J2845" t="s">
        <v>154</v>
      </c>
      <c r="K2845" t="s">
        <v>155</v>
      </c>
      <c r="L2845" t="s">
        <v>5374</v>
      </c>
      <c r="N2845" t="s">
        <v>5321</v>
      </c>
      <c r="O2845" t="s">
        <v>599</v>
      </c>
      <c r="R2845" t="s">
        <v>6505</v>
      </c>
      <c r="S2845" t="s">
        <v>2864</v>
      </c>
      <c r="V2845" t="s">
        <v>2855</v>
      </c>
      <c r="W2845" t="s">
        <v>2865</v>
      </c>
      <c r="AD2845" t="s">
        <v>5378</v>
      </c>
      <c r="AE2845" t="s">
        <v>5144</v>
      </c>
      <c r="AF2845">
        <v>1</v>
      </c>
    </row>
    <row r="2846" spans="1:32" x14ac:dyDescent="0.25">
      <c r="A2846" t="s">
        <v>33</v>
      </c>
      <c r="D2846" t="s">
        <v>2847</v>
      </c>
      <c r="E2846" t="s">
        <v>2893</v>
      </c>
      <c r="F2846" t="s">
        <v>866</v>
      </c>
      <c r="G2846" t="s">
        <v>5373</v>
      </c>
      <c r="H2846" t="s">
        <v>166</v>
      </c>
      <c r="I2846" t="s">
        <v>1105</v>
      </c>
      <c r="J2846" t="s">
        <v>167</v>
      </c>
      <c r="K2846" t="s">
        <v>41</v>
      </c>
      <c r="L2846" t="s">
        <v>5374</v>
      </c>
      <c r="N2846" t="s">
        <v>5321</v>
      </c>
      <c r="O2846" t="s">
        <v>1106</v>
      </c>
      <c r="Q2846" t="s">
        <v>1107</v>
      </c>
      <c r="R2846" t="s">
        <v>6506</v>
      </c>
      <c r="S2846" t="s">
        <v>2864</v>
      </c>
      <c r="V2846" t="s">
        <v>2855</v>
      </c>
      <c r="W2846" t="s">
        <v>2865</v>
      </c>
      <c r="AD2846" t="s">
        <v>5370</v>
      </c>
    </row>
    <row r="2847" spans="1:32" x14ac:dyDescent="0.25">
      <c r="A2847" t="s">
        <v>33</v>
      </c>
      <c r="B2847" t="s">
        <v>2319</v>
      </c>
      <c r="D2847" t="s">
        <v>2847</v>
      </c>
      <c r="E2847" t="s">
        <v>2893</v>
      </c>
      <c r="F2847" t="s">
        <v>866</v>
      </c>
      <c r="G2847" t="s">
        <v>6507</v>
      </c>
      <c r="H2847" t="s">
        <v>166</v>
      </c>
      <c r="I2847" t="s">
        <v>1263</v>
      </c>
      <c r="J2847" t="s">
        <v>167</v>
      </c>
      <c r="K2847" t="s">
        <v>41</v>
      </c>
      <c r="L2847" t="s">
        <v>6508</v>
      </c>
      <c r="N2847" t="s">
        <v>6509</v>
      </c>
      <c r="O2847" t="s">
        <v>1264</v>
      </c>
      <c r="Q2847" t="s">
        <v>2541</v>
      </c>
      <c r="R2847" t="s">
        <v>1959</v>
      </c>
      <c r="S2847" t="s">
        <v>2864</v>
      </c>
      <c r="V2847" t="s">
        <v>2855</v>
      </c>
      <c r="W2847" t="s">
        <v>2898</v>
      </c>
      <c r="AD2847" t="s">
        <v>6510</v>
      </c>
    </row>
    <row r="2848" spans="1:32" x14ac:dyDescent="0.25">
      <c r="A2848" t="s">
        <v>33</v>
      </c>
      <c r="D2848" t="s">
        <v>2847</v>
      </c>
      <c r="E2848" t="s">
        <v>2859</v>
      </c>
      <c r="F2848" t="s">
        <v>6408</v>
      </c>
      <c r="G2848" t="s">
        <v>6511</v>
      </c>
      <c r="H2848" t="s">
        <v>280</v>
      </c>
      <c r="I2848" t="s">
        <v>1143</v>
      </c>
      <c r="J2848" t="s">
        <v>282</v>
      </c>
      <c r="K2848" t="s">
        <v>283</v>
      </c>
      <c r="L2848" t="s">
        <v>6512</v>
      </c>
      <c r="N2848" t="s">
        <v>6483</v>
      </c>
      <c r="O2848" t="s">
        <v>6412</v>
      </c>
      <c r="Q2848" t="s">
        <v>6513</v>
      </c>
      <c r="R2848" t="s">
        <v>6514</v>
      </c>
      <c r="S2848" t="s">
        <v>2864</v>
      </c>
      <c r="V2848" t="s">
        <v>2855</v>
      </c>
      <c r="W2848" t="s">
        <v>2865</v>
      </c>
      <c r="AD2848" t="s">
        <v>6486</v>
      </c>
    </row>
    <row r="2849" spans="1:32" x14ac:dyDescent="0.25">
      <c r="A2849" t="s">
        <v>33</v>
      </c>
      <c r="D2849" t="s">
        <v>2847</v>
      </c>
      <c r="E2849" t="s">
        <v>2893</v>
      </c>
      <c r="F2849" t="s">
        <v>78</v>
      </c>
      <c r="G2849" t="s">
        <v>6036</v>
      </c>
      <c r="H2849" t="s">
        <v>143</v>
      </c>
      <c r="I2849" t="s">
        <v>295</v>
      </c>
      <c r="J2849" t="s">
        <v>145</v>
      </c>
      <c r="K2849" t="s">
        <v>146</v>
      </c>
      <c r="L2849" t="s">
        <v>6037</v>
      </c>
      <c r="M2849" t="s">
        <v>82</v>
      </c>
      <c r="N2849" t="s">
        <v>6038</v>
      </c>
      <c r="O2849" t="s">
        <v>296</v>
      </c>
      <c r="R2849" t="s">
        <v>6515</v>
      </c>
      <c r="S2849" t="s">
        <v>2864</v>
      </c>
      <c r="V2849" t="s">
        <v>2855</v>
      </c>
      <c r="W2849" t="s">
        <v>2898</v>
      </c>
      <c r="AD2849" t="s">
        <v>6516</v>
      </c>
    </row>
    <row r="2850" spans="1:32" x14ac:dyDescent="0.25">
      <c r="A2850" t="s">
        <v>33</v>
      </c>
      <c r="D2850" t="s">
        <v>2847</v>
      </c>
      <c r="E2850" t="s">
        <v>2893</v>
      </c>
      <c r="F2850" t="s">
        <v>866</v>
      </c>
      <c r="G2850" t="s">
        <v>5373</v>
      </c>
      <c r="H2850" t="s">
        <v>166</v>
      </c>
      <c r="I2850" t="s">
        <v>80</v>
      </c>
      <c r="J2850" t="s">
        <v>167</v>
      </c>
      <c r="K2850" t="s">
        <v>41</v>
      </c>
      <c r="L2850" t="s">
        <v>5374</v>
      </c>
      <c r="N2850" t="s">
        <v>5321</v>
      </c>
      <c r="O2850" t="s">
        <v>862</v>
      </c>
      <c r="Q2850" t="s">
        <v>863</v>
      </c>
      <c r="R2850" t="s">
        <v>6517</v>
      </c>
      <c r="S2850" t="s">
        <v>2864</v>
      </c>
      <c r="V2850" t="s">
        <v>2855</v>
      </c>
      <c r="W2850" t="s">
        <v>2865</v>
      </c>
      <c r="AD2850" t="s">
        <v>5376</v>
      </c>
    </row>
    <row r="2851" spans="1:32" x14ac:dyDescent="0.25">
      <c r="A2851" t="s">
        <v>33</v>
      </c>
      <c r="D2851" t="s">
        <v>2847</v>
      </c>
      <c r="E2851" t="s">
        <v>2893</v>
      </c>
      <c r="F2851" t="s">
        <v>866</v>
      </c>
      <c r="G2851" t="s">
        <v>5373</v>
      </c>
      <c r="H2851" t="s">
        <v>166</v>
      </c>
      <c r="I2851" t="s">
        <v>216</v>
      </c>
      <c r="J2851" t="s">
        <v>167</v>
      </c>
      <c r="K2851" t="s">
        <v>41</v>
      </c>
      <c r="L2851" t="s">
        <v>5374</v>
      </c>
      <c r="N2851" t="s">
        <v>5321</v>
      </c>
      <c r="O2851" t="s">
        <v>872</v>
      </c>
      <c r="Q2851" t="s">
        <v>1275</v>
      </c>
      <c r="R2851" t="s">
        <v>6518</v>
      </c>
      <c r="S2851" t="s">
        <v>2864</v>
      </c>
      <c r="V2851" t="s">
        <v>2855</v>
      </c>
      <c r="W2851" t="s">
        <v>2865</v>
      </c>
      <c r="AD2851" t="s">
        <v>5380</v>
      </c>
    </row>
    <row r="2852" spans="1:32" x14ac:dyDescent="0.25">
      <c r="A2852" t="s">
        <v>33</v>
      </c>
      <c r="D2852" t="s">
        <v>2847</v>
      </c>
      <c r="E2852" t="s">
        <v>2893</v>
      </c>
      <c r="F2852" t="s">
        <v>866</v>
      </c>
      <c r="G2852" t="s">
        <v>5373</v>
      </c>
      <c r="H2852" t="s">
        <v>166</v>
      </c>
      <c r="I2852" t="s">
        <v>281</v>
      </c>
      <c r="J2852" t="s">
        <v>167</v>
      </c>
      <c r="K2852" t="s">
        <v>41</v>
      </c>
      <c r="L2852" t="s">
        <v>5374</v>
      </c>
      <c r="N2852" t="s">
        <v>5321</v>
      </c>
      <c r="O2852" t="s">
        <v>858</v>
      </c>
      <c r="Q2852" t="s">
        <v>2536</v>
      </c>
      <c r="R2852" t="s">
        <v>6519</v>
      </c>
      <c r="S2852" t="s">
        <v>2864</v>
      </c>
      <c r="V2852" t="s">
        <v>2855</v>
      </c>
      <c r="W2852" t="s">
        <v>2865</v>
      </c>
      <c r="AD2852" t="s">
        <v>5402</v>
      </c>
    </row>
    <row r="2853" spans="1:32" x14ac:dyDescent="0.25">
      <c r="A2853" t="s">
        <v>33</v>
      </c>
      <c r="D2853" t="s">
        <v>2847</v>
      </c>
      <c r="E2853" t="s">
        <v>2893</v>
      </c>
      <c r="F2853" t="s">
        <v>866</v>
      </c>
      <c r="G2853" t="s">
        <v>5373</v>
      </c>
      <c r="H2853" t="s">
        <v>280</v>
      </c>
      <c r="I2853" t="s">
        <v>3311</v>
      </c>
      <c r="J2853" t="s">
        <v>282</v>
      </c>
      <c r="K2853" t="s">
        <v>283</v>
      </c>
      <c r="L2853" t="s">
        <v>5374</v>
      </c>
      <c r="N2853" t="s">
        <v>5321</v>
      </c>
      <c r="O2853" t="s">
        <v>3312</v>
      </c>
      <c r="Q2853" t="s">
        <v>3313</v>
      </c>
      <c r="R2853" t="s">
        <v>6520</v>
      </c>
      <c r="S2853" t="s">
        <v>2864</v>
      </c>
      <c r="V2853" t="s">
        <v>2855</v>
      </c>
      <c r="W2853" t="s">
        <v>2865</v>
      </c>
      <c r="AD2853" t="s">
        <v>5595</v>
      </c>
    </row>
    <row r="2854" spans="1:32" x14ac:dyDescent="0.25">
      <c r="A2854" t="s">
        <v>33</v>
      </c>
      <c r="D2854" t="s">
        <v>2847</v>
      </c>
      <c r="E2854" t="s">
        <v>2893</v>
      </c>
      <c r="F2854" t="s">
        <v>78</v>
      </c>
      <c r="G2854" t="s">
        <v>6036</v>
      </c>
      <c r="H2854" t="s">
        <v>143</v>
      </c>
      <c r="I2854" t="s">
        <v>299</v>
      </c>
      <c r="J2854" t="s">
        <v>145</v>
      </c>
      <c r="K2854" t="s">
        <v>146</v>
      </c>
      <c r="L2854" t="s">
        <v>6037</v>
      </c>
      <c r="M2854" t="s">
        <v>82</v>
      </c>
      <c r="N2854" t="s">
        <v>6038</v>
      </c>
      <c r="O2854" t="s">
        <v>300</v>
      </c>
      <c r="R2854" t="s">
        <v>6521</v>
      </c>
      <c r="S2854" t="s">
        <v>2864</v>
      </c>
      <c r="V2854" t="s">
        <v>2855</v>
      </c>
      <c r="W2854" t="s">
        <v>2898</v>
      </c>
      <c r="AD2854" t="s">
        <v>6522</v>
      </c>
    </row>
    <row r="2855" spans="1:32" x14ac:dyDescent="0.25">
      <c r="A2855" t="s">
        <v>33</v>
      </c>
      <c r="D2855" t="s">
        <v>2847</v>
      </c>
      <c r="E2855" t="s">
        <v>2893</v>
      </c>
      <c r="F2855" t="s">
        <v>866</v>
      </c>
      <c r="G2855" t="s">
        <v>6507</v>
      </c>
      <c r="H2855" t="s">
        <v>153</v>
      </c>
      <c r="I2855" t="s">
        <v>598</v>
      </c>
      <c r="J2855" t="s">
        <v>154</v>
      </c>
      <c r="K2855" t="s">
        <v>155</v>
      </c>
      <c r="L2855" t="s">
        <v>6508</v>
      </c>
      <c r="N2855" t="s">
        <v>6509</v>
      </c>
      <c r="O2855" t="s">
        <v>599</v>
      </c>
      <c r="R2855" t="s">
        <v>6523</v>
      </c>
      <c r="S2855" t="s">
        <v>2864</v>
      </c>
      <c r="V2855" t="s">
        <v>2855</v>
      </c>
      <c r="W2855" t="s">
        <v>2898</v>
      </c>
      <c r="AD2855" t="s">
        <v>6524</v>
      </c>
      <c r="AE2855" t="s">
        <v>4751</v>
      </c>
      <c r="AF2855">
        <v>1</v>
      </c>
    </row>
    <row r="2856" spans="1:32" x14ac:dyDescent="0.25">
      <c r="A2856" t="s">
        <v>33</v>
      </c>
      <c r="D2856" t="s">
        <v>2847</v>
      </c>
      <c r="E2856" t="s">
        <v>2893</v>
      </c>
      <c r="F2856" t="s">
        <v>866</v>
      </c>
      <c r="G2856" t="s">
        <v>6507</v>
      </c>
      <c r="H2856" t="s">
        <v>166</v>
      </c>
      <c r="I2856" t="s">
        <v>1105</v>
      </c>
      <c r="J2856" t="s">
        <v>167</v>
      </c>
      <c r="K2856" t="s">
        <v>41</v>
      </c>
      <c r="L2856" t="s">
        <v>6508</v>
      </c>
      <c r="N2856" t="s">
        <v>6509</v>
      </c>
      <c r="O2856" t="s">
        <v>1106</v>
      </c>
      <c r="Q2856" t="s">
        <v>1107</v>
      </c>
      <c r="R2856" t="s">
        <v>6525</v>
      </c>
      <c r="S2856" t="s">
        <v>2864</v>
      </c>
      <c r="V2856" t="s">
        <v>2855</v>
      </c>
      <c r="W2856" t="s">
        <v>2898</v>
      </c>
      <c r="AD2856" t="s">
        <v>6526</v>
      </c>
    </row>
    <row r="2857" spans="1:32" x14ac:dyDescent="0.25">
      <c r="A2857" t="s">
        <v>33</v>
      </c>
      <c r="B2857" t="s">
        <v>2319</v>
      </c>
      <c r="D2857" t="s">
        <v>2847</v>
      </c>
      <c r="E2857" t="s">
        <v>2893</v>
      </c>
      <c r="F2857" t="s">
        <v>866</v>
      </c>
      <c r="G2857" t="s">
        <v>6527</v>
      </c>
      <c r="H2857" t="s">
        <v>166</v>
      </c>
      <c r="I2857" t="s">
        <v>1263</v>
      </c>
      <c r="J2857" t="s">
        <v>167</v>
      </c>
      <c r="K2857" t="s">
        <v>41</v>
      </c>
      <c r="L2857" t="s">
        <v>6528</v>
      </c>
      <c r="N2857" t="s">
        <v>6509</v>
      </c>
      <c r="O2857" t="s">
        <v>1264</v>
      </c>
      <c r="Q2857" t="s">
        <v>2541</v>
      </c>
      <c r="R2857" t="s">
        <v>1959</v>
      </c>
      <c r="S2857" t="s">
        <v>2864</v>
      </c>
      <c r="V2857" t="s">
        <v>2855</v>
      </c>
      <c r="W2857" t="s">
        <v>2898</v>
      </c>
      <c r="AD2857" t="s">
        <v>6510</v>
      </c>
    </row>
    <row r="2858" spans="1:32" x14ac:dyDescent="0.25">
      <c r="A2858" t="s">
        <v>33</v>
      </c>
      <c r="D2858" t="s">
        <v>2847</v>
      </c>
      <c r="E2858" t="s">
        <v>2893</v>
      </c>
      <c r="F2858" t="s">
        <v>866</v>
      </c>
      <c r="G2858" t="s">
        <v>6507</v>
      </c>
      <c r="H2858" t="s">
        <v>166</v>
      </c>
      <c r="I2858" t="s">
        <v>80</v>
      </c>
      <c r="J2858" t="s">
        <v>167</v>
      </c>
      <c r="K2858" t="s">
        <v>41</v>
      </c>
      <c r="L2858" t="s">
        <v>6508</v>
      </c>
      <c r="N2858" t="s">
        <v>6509</v>
      </c>
      <c r="O2858" t="s">
        <v>862</v>
      </c>
      <c r="Q2858" t="s">
        <v>863</v>
      </c>
      <c r="R2858" t="s">
        <v>6529</v>
      </c>
      <c r="S2858" t="s">
        <v>2864</v>
      </c>
      <c r="V2858" t="s">
        <v>2855</v>
      </c>
      <c r="W2858" t="s">
        <v>2898</v>
      </c>
      <c r="AD2858" t="s">
        <v>6530</v>
      </c>
    </row>
    <row r="2859" spans="1:32" x14ac:dyDescent="0.25">
      <c r="A2859" t="s">
        <v>33</v>
      </c>
      <c r="D2859" t="s">
        <v>2847</v>
      </c>
      <c r="E2859" t="s">
        <v>2893</v>
      </c>
      <c r="F2859" t="s">
        <v>866</v>
      </c>
      <c r="G2859" t="s">
        <v>6507</v>
      </c>
      <c r="H2859" t="s">
        <v>166</v>
      </c>
      <c r="I2859" t="s">
        <v>216</v>
      </c>
      <c r="J2859" t="s">
        <v>167</v>
      </c>
      <c r="K2859" t="s">
        <v>41</v>
      </c>
      <c r="L2859" t="s">
        <v>6508</v>
      </c>
      <c r="N2859" t="s">
        <v>6509</v>
      </c>
      <c r="O2859" t="s">
        <v>872</v>
      </c>
      <c r="Q2859" t="s">
        <v>873</v>
      </c>
      <c r="R2859" t="s">
        <v>6531</v>
      </c>
      <c r="S2859" t="s">
        <v>2864</v>
      </c>
      <c r="V2859" t="s">
        <v>2855</v>
      </c>
      <c r="W2859" t="s">
        <v>2898</v>
      </c>
      <c r="AD2859" t="s">
        <v>6532</v>
      </c>
    </row>
    <row r="2860" spans="1:32" x14ac:dyDescent="0.25">
      <c r="A2860" t="s">
        <v>33</v>
      </c>
      <c r="D2860" t="s">
        <v>2847</v>
      </c>
      <c r="E2860" t="s">
        <v>2893</v>
      </c>
      <c r="F2860" t="s">
        <v>866</v>
      </c>
      <c r="G2860" t="s">
        <v>6507</v>
      </c>
      <c r="H2860" t="s">
        <v>166</v>
      </c>
      <c r="I2860" t="s">
        <v>281</v>
      </c>
      <c r="J2860" t="s">
        <v>167</v>
      </c>
      <c r="K2860" t="s">
        <v>41</v>
      </c>
      <c r="L2860" t="s">
        <v>6508</v>
      </c>
      <c r="N2860" t="s">
        <v>6509</v>
      </c>
      <c r="O2860" t="s">
        <v>858</v>
      </c>
      <c r="Q2860" t="s">
        <v>2536</v>
      </c>
      <c r="R2860" t="s">
        <v>6533</v>
      </c>
      <c r="S2860" t="s">
        <v>2864</v>
      </c>
      <c r="V2860" t="s">
        <v>2855</v>
      </c>
      <c r="W2860" t="s">
        <v>2898</v>
      </c>
      <c r="AD2860" t="s">
        <v>6534</v>
      </c>
    </row>
    <row r="2861" spans="1:32" x14ac:dyDescent="0.25">
      <c r="A2861" t="s">
        <v>33</v>
      </c>
      <c r="D2861" t="s">
        <v>2847</v>
      </c>
      <c r="E2861" t="s">
        <v>2893</v>
      </c>
      <c r="F2861" t="s">
        <v>866</v>
      </c>
      <c r="G2861" t="s">
        <v>6507</v>
      </c>
      <c r="H2861" t="s">
        <v>280</v>
      </c>
      <c r="I2861" t="s">
        <v>3311</v>
      </c>
      <c r="J2861" t="s">
        <v>282</v>
      </c>
      <c r="K2861" t="s">
        <v>283</v>
      </c>
      <c r="L2861" t="s">
        <v>6508</v>
      </c>
      <c r="N2861" t="s">
        <v>6509</v>
      </c>
      <c r="O2861" t="s">
        <v>3312</v>
      </c>
      <c r="Q2861" t="s">
        <v>3313</v>
      </c>
      <c r="R2861" t="s">
        <v>6535</v>
      </c>
      <c r="S2861" t="s">
        <v>2864</v>
      </c>
      <c r="V2861" t="s">
        <v>2855</v>
      </c>
      <c r="W2861" t="s">
        <v>2898</v>
      </c>
      <c r="AD2861" t="s">
        <v>6536</v>
      </c>
    </row>
    <row r="2862" spans="1:32" x14ac:dyDescent="0.25">
      <c r="A2862" t="s">
        <v>947</v>
      </c>
      <c r="B2862" t="s">
        <v>2672</v>
      </c>
      <c r="C2862" t="s">
        <v>949</v>
      </c>
      <c r="D2862" t="s">
        <v>2847</v>
      </c>
      <c r="E2862" t="s">
        <v>2893</v>
      </c>
      <c r="F2862" t="s">
        <v>866</v>
      </c>
      <c r="G2862" t="s">
        <v>6537</v>
      </c>
      <c r="H2862" t="s">
        <v>166</v>
      </c>
      <c r="I2862" t="s">
        <v>6256</v>
      </c>
      <c r="J2862" t="s">
        <v>167</v>
      </c>
      <c r="K2862" t="s">
        <v>41</v>
      </c>
      <c r="L2862" t="s">
        <v>6538</v>
      </c>
      <c r="N2862" t="s">
        <v>6539</v>
      </c>
      <c r="O2862" t="s">
        <v>6257</v>
      </c>
      <c r="Q2862" t="s">
        <v>6540</v>
      </c>
      <c r="R2862" t="s">
        <v>6541</v>
      </c>
      <c r="S2862" t="s">
        <v>2864</v>
      </c>
      <c r="V2862" t="s">
        <v>2855</v>
      </c>
      <c r="W2862" t="s">
        <v>2898</v>
      </c>
      <c r="AD2862" t="s">
        <v>6542</v>
      </c>
    </row>
    <row r="2863" spans="1:32" x14ac:dyDescent="0.25">
      <c r="A2863" t="s">
        <v>33</v>
      </c>
      <c r="D2863" t="s">
        <v>2847</v>
      </c>
      <c r="E2863" t="s">
        <v>2893</v>
      </c>
      <c r="F2863" t="s">
        <v>866</v>
      </c>
      <c r="G2863" t="s">
        <v>6537</v>
      </c>
      <c r="H2863" t="s">
        <v>143</v>
      </c>
      <c r="I2863" t="s">
        <v>1289</v>
      </c>
      <c r="J2863" t="s">
        <v>145</v>
      </c>
      <c r="K2863" t="s">
        <v>146</v>
      </c>
      <c r="L2863" t="s">
        <v>6538</v>
      </c>
      <c r="M2863" t="s">
        <v>3327</v>
      </c>
      <c r="N2863" t="s">
        <v>6539</v>
      </c>
      <c r="O2863" t="s">
        <v>1290</v>
      </c>
      <c r="R2863" t="s">
        <v>6543</v>
      </c>
      <c r="S2863" t="s">
        <v>2864</v>
      </c>
      <c r="V2863" t="s">
        <v>2855</v>
      </c>
      <c r="W2863" t="s">
        <v>2898</v>
      </c>
      <c r="X2863" t="s">
        <v>1193</v>
      </c>
      <c r="AD2863" t="s">
        <v>6544</v>
      </c>
    </row>
    <row r="2864" spans="1:32" x14ac:dyDescent="0.25">
      <c r="A2864" t="s">
        <v>33</v>
      </c>
      <c r="D2864" t="s">
        <v>2847</v>
      </c>
      <c r="E2864" t="s">
        <v>2893</v>
      </c>
      <c r="F2864" t="s">
        <v>866</v>
      </c>
      <c r="G2864" t="s">
        <v>6537</v>
      </c>
      <c r="H2864" t="s">
        <v>143</v>
      </c>
      <c r="I2864" t="s">
        <v>1285</v>
      </c>
      <c r="J2864" t="s">
        <v>145</v>
      </c>
      <c r="K2864" t="s">
        <v>146</v>
      </c>
      <c r="L2864" t="s">
        <v>6538</v>
      </c>
      <c r="M2864" t="s">
        <v>3327</v>
      </c>
      <c r="N2864" t="s">
        <v>6539</v>
      </c>
      <c r="O2864" t="s">
        <v>1286</v>
      </c>
      <c r="R2864" t="s">
        <v>6545</v>
      </c>
      <c r="S2864" t="s">
        <v>2864</v>
      </c>
      <c r="V2864" t="s">
        <v>2855</v>
      </c>
      <c r="W2864" t="s">
        <v>2898</v>
      </c>
      <c r="X2864" t="s">
        <v>1193</v>
      </c>
      <c r="AD2864" t="s">
        <v>6546</v>
      </c>
    </row>
    <row r="2865" spans="1:30" x14ac:dyDescent="0.25">
      <c r="A2865" t="s">
        <v>33</v>
      </c>
      <c r="D2865" t="s">
        <v>2847</v>
      </c>
      <c r="E2865" t="s">
        <v>2893</v>
      </c>
      <c r="F2865" t="s">
        <v>6408</v>
      </c>
      <c r="G2865" t="s">
        <v>6547</v>
      </c>
      <c r="H2865" t="s">
        <v>280</v>
      </c>
      <c r="I2865" t="s">
        <v>1143</v>
      </c>
      <c r="J2865" t="s">
        <v>282</v>
      </c>
      <c r="K2865" t="s">
        <v>283</v>
      </c>
      <c r="L2865" t="s">
        <v>6548</v>
      </c>
      <c r="N2865" t="s">
        <v>6549</v>
      </c>
      <c r="O2865" t="s">
        <v>6412</v>
      </c>
      <c r="Q2865" t="s">
        <v>6550</v>
      </c>
      <c r="R2865" t="s">
        <v>6551</v>
      </c>
      <c r="S2865" t="s">
        <v>2864</v>
      </c>
      <c r="V2865" t="s">
        <v>2855</v>
      </c>
      <c r="W2865" t="s">
        <v>2898</v>
      </c>
      <c r="AD2865" t="s">
        <v>6552</v>
      </c>
    </row>
    <row r="2866" spans="1:30" x14ac:dyDescent="0.25">
      <c r="A2866" t="s">
        <v>33</v>
      </c>
      <c r="D2866" t="s">
        <v>2847</v>
      </c>
      <c r="E2866" t="s">
        <v>2893</v>
      </c>
      <c r="F2866" t="s">
        <v>6408</v>
      </c>
      <c r="G2866" t="s">
        <v>6553</v>
      </c>
      <c r="H2866" t="s">
        <v>280</v>
      </c>
      <c r="I2866" t="s">
        <v>1143</v>
      </c>
      <c r="J2866" t="s">
        <v>282</v>
      </c>
      <c r="K2866" t="s">
        <v>283</v>
      </c>
      <c r="L2866" t="s">
        <v>6554</v>
      </c>
      <c r="N2866" t="s">
        <v>6555</v>
      </c>
      <c r="O2866" t="s">
        <v>6412</v>
      </c>
      <c r="Q2866" t="s">
        <v>6556</v>
      </c>
      <c r="R2866" t="s">
        <v>6557</v>
      </c>
      <c r="S2866" t="s">
        <v>2864</v>
      </c>
      <c r="V2866" t="s">
        <v>2855</v>
      </c>
      <c r="W2866" t="s">
        <v>2898</v>
      </c>
      <c r="AD2866" t="s">
        <v>6558</v>
      </c>
    </row>
    <row r="2867" spans="1:30" x14ac:dyDescent="0.25">
      <c r="A2867" t="s">
        <v>33</v>
      </c>
      <c r="D2867" t="s">
        <v>2847</v>
      </c>
      <c r="E2867" t="s">
        <v>2893</v>
      </c>
      <c r="F2867" t="s">
        <v>6408</v>
      </c>
      <c r="G2867" t="s">
        <v>6559</v>
      </c>
      <c r="H2867" t="s">
        <v>280</v>
      </c>
      <c r="I2867" t="s">
        <v>1143</v>
      </c>
      <c r="J2867" t="s">
        <v>282</v>
      </c>
      <c r="K2867" t="s">
        <v>283</v>
      </c>
      <c r="L2867" t="s">
        <v>6560</v>
      </c>
      <c r="N2867" t="s">
        <v>6555</v>
      </c>
      <c r="O2867" t="s">
        <v>6412</v>
      </c>
      <c r="Q2867" t="s">
        <v>6556</v>
      </c>
      <c r="R2867" t="s">
        <v>6561</v>
      </c>
      <c r="S2867" t="s">
        <v>2864</v>
      </c>
      <c r="V2867" t="s">
        <v>2855</v>
      </c>
      <c r="W2867" t="s">
        <v>2898</v>
      </c>
      <c r="AD2867" t="s">
        <v>6558</v>
      </c>
    </row>
    <row r="2868" spans="1:30" x14ac:dyDescent="0.25">
      <c r="A2868" t="s">
        <v>947</v>
      </c>
      <c r="B2868" t="s">
        <v>1948</v>
      </c>
      <c r="C2868" t="s">
        <v>949</v>
      </c>
      <c r="D2868" t="s">
        <v>2847</v>
      </c>
      <c r="E2868" t="s">
        <v>2893</v>
      </c>
      <c r="F2868" t="s">
        <v>6408</v>
      </c>
      <c r="G2868" t="s">
        <v>6562</v>
      </c>
      <c r="H2868" t="s">
        <v>280</v>
      </c>
      <c r="I2868" t="s">
        <v>6563</v>
      </c>
      <c r="J2868" t="s">
        <v>282</v>
      </c>
      <c r="K2868" t="s">
        <v>283</v>
      </c>
      <c r="L2868" t="s">
        <v>6564</v>
      </c>
      <c r="N2868" t="s">
        <v>6565</v>
      </c>
      <c r="O2868" t="s">
        <v>6566</v>
      </c>
      <c r="Q2868" t="s">
        <v>6567</v>
      </c>
      <c r="R2868" t="s">
        <v>6568</v>
      </c>
      <c r="S2868" t="s">
        <v>2864</v>
      </c>
      <c r="V2868" t="s">
        <v>2855</v>
      </c>
      <c r="W2868" t="s">
        <v>2898</v>
      </c>
      <c r="AD2868" t="s">
        <v>6569</v>
      </c>
    </row>
    <row r="2869" spans="1:30" x14ac:dyDescent="0.25">
      <c r="A2869" t="s">
        <v>33</v>
      </c>
      <c r="D2869" t="s">
        <v>2847</v>
      </c>
      <c r="E2869" t="s">
        <v>2893</v>
      </c>
      <c r="F2869" t="s">
        <v>248</v>
      </c>
      <c r="G2869" t="s">
        <v>4497</v>
      </c>
      <c r="H2869" t="s">
        <v>143</v>
      </c>
      <c r="I2869" t="s">
        <v>4475</v>
      </c>
      <c r="J2869" t="s">
        <v>145</v>
      </c>
      <c r="K2869" t="s">
        <v>146</v>
      </c>
      <c r="L2869" t="s">
        <v>4498</v>
      </c>
      <c r="M2869" t="s">
        <v>3483</v>
      </c>
      <c r="N2869" t="s">
        <v>4499</v>
      </c>
      <c r="O2869" t="s">
        <v>4476</v>
      </c>
      <c r="R2869" t="s">
        <v>6570</v>
      </c>
      <c r="S2869" t="s">
        <v>2864</v>
      </c>
      <c r="V2869" t="s">
        <v>2855</v>
      </c>
      <c r="W2869" t="s">
        <v>2898</v>
      </c>
      <c r="X2869" t="s">
        <v>963</v>
      </c>
      <c r="AD2869" t="s">
        <v>6571</v>
      </c>
    </row>
    <row r="2870" spans="1:30" x14ac:dyDescent="0.25">
      <c r="A2870" t="s">
        <v>33</v>
      </c>
      <c r="D2870" t="s">
        <v>2847</v>
      </c>
      <c r="E2870" t="s">
        <v>2893</v>
      </c>
      <c r="F2870" t="s">
        <v>78</v>
      </c>
      <c r="G2870" t="s">
        <v>6036</v>
      </c>
      <c r="H2870" t="s">
        <v>38</v>
      </c>
      <c r="I2870" t="s">
        <v>257</v>
      </c>
      <c r="J2870" t="s">
        <v>40</v>
      </c>
      <c r="K2870" t="s">
        <v>41</v>
      </c>
      <c r="L2870" t="s">
        <v>6037</v>
      </c>
      <c r="M2870" t="s">
        <v>82</v>
      </c>
      <c r="N2870" t="s">
        <v>6038</v>
      </c>
      <c r="O2870" t="s">
        <v>258</v>
      </c>
      <c r="R2870" t="s">
        <v>6572</v>
      </c>
      <c r="S2870" t="s">
        <v>2864</v>
      </c>
      <c r="V2870" t="s">
        <v>2855</v>
      </c>
      <c r="W2870" t="s">
        <v>2898</v>
      </c>
      <c r="AD2870" t="s">
        <v>6573</v>
      </c>
    </row>
    <row r="2871" spans="1:30" x14ac:dyDescent="0.25">
      <c r="A2871" t="s">
        <v>33</v>
      </c>
      <c r="D2871" t="s">
        <v>2847</v>
      </c>
      <c r="E2871" t="s">
        <v>2893</v>
      </c>
      <c r="F2871" t="s">
        <v>78</v>
      </c>
      <c r="G2871" t="s">
        <v>6036</v>
      </c>
      <c r="H2871" t="s">
        <v>38</v>
      </c>
      <c r="I2871" t="s">
        <v>250</v>
      </c>
      <c r="J2871" t="s">
        <v>40</v>
      </c>
      <c r="K2871" t="s">
        <v>41</v>
      </c>
      <c r="L2871" t="s">
        <v>6037</v>
      </c>
      <c r="M2871" t="s">
        <v>3483</v>
      </c>
      <c r="N2871" t="s">
        <v>6038</v>
      </c>
      <c r="O2871" t="s">
        <v>254</v>
      </c>
      <c r="R2871" t="s">
        <v>6574</v>
      </c>
      <c r="S2871" t="s">
        <v>2864</v>
      </c>
      <c r="V2871" t="s">
        <v>2855</v>
      </c>
      <c r="W2871" t="s">
        <v>2898</v>
      </c>
      <c r="X2871" t="s">
        <v>963</v>
      </c>
      <c r="AD2871" t="s">
        <v>6575</v>
      </c>
    </row>
    <row r="2872" spans="1:30" x14ac:dyDescent="0.25">
      <c r="A2872" t="s">
        <v>33</v>
      </c>
      <c r="D2872" t="s">
        <v>2847</v>
      </c>
      <c r="E2872" t="s">
        <v>2893</v>
      </c>
      <c r="F2872" t="s">
        <v>6408</v>
      </c>
      <c r="G2872" t="s">
        <v>6576</v>
      </c>
      <c r="H2872" t="s">
        <v>280</v>
      </c>
      <c r="I2872" t="s">
        <v>1143</v>
      </c>
      <c r="J2872" t="s">
        <v>282</v>
      </c>
      <c r="K2872" t="s">
        <v>283</v>
      </c>
      <c r="L2872" t="s">
        <v>6577</v>
      </c>
      <c r="N2872" t="s">
        <v>6549</v>
      </c>
      <c r="O2872" t="s">
        <v>6412</v>
      </c>
      <c r="Q2872" t="s">
        <v>6550</v>
      </c>
      <c r="R2872" t="s">
        <v>6578</v>
      </c>
      <c r="S2872" t="s">
        <v>2864</v>
      </c>
      <c r="V2872" t="s">
        <v>2855</v>
      </c>
      <c r="W2872" t="s">
        <v>2898</v>
      </c>
      <c r="AD2872" t="s">
        <v>6552</v>
      </c>
    </row>
    <row r="2873" spans="1:30" x14ac:dyDescent="0.25">
      <c r="A2873" t="s">
        <v>33</v>
      </c>
      <c r="D2873" t="s">
        <v>2847</v>
      </c>
      <c r="E2873" t="s">
        <v>2893</v>
      </c>
      <c r="F2873" t="s">
        <v>78</v>
      </c>
      <c r="G2873" t="s">
        <v>6036</v>
      </c>
      <c r="H2873" t="s">
        <v>143</v>
      </c>
      <c r="I2873" t="s">
        <v>257</v>
      </c>
      <c r="J2873" t="s">
        <v>145</v>
      </c>
      <c r="K2873" t="s">
        <v>146</v>
      </c>
      <c r="L2873" t="s">
        <v>6037</v>
      </c>
      <c r="M2873" t="s">
        <v>82</v>
      </c>
      <c r="N2873" t="s">
        <v>6038</v>
      </c>
      <c r="O2873" t="s">
        <v>292</v>
      </c>
      <c r="R2873" t="s">
        <v>6579</v>
      </c>
      <c r="S2873" t="s">
        <v>2864</v>
      </c>
      <c r="V2873" t="s">
        <v>2855</v>
      </c>
      <c r="W2873" t="s">
        <v>2898</v>
      </c>
      <c r="AD2873" t="s">
        <v>6580</v>
      </c>
    </row>
    <row r="2874" spans="1:30" x14ac:dyDescent="0.25">
      <c r="A2874" t="s">
        <v>33</v>
      </c>
      <c r="D2874" t="s">
        <v>2847</v>
      </c>
      <c r="E2874" t="s">
        <v>2893</v>
      </c>
      <c r="F2874" t="s">
        <v>78</v>
      </c>
      <c r="G2874" t="s">
        <v>6036</v>
      </c>
      <c r="H2874" t="s">
        <v>143</v>
      </c>
      <c r="I2874" t="s">
        <v>261</v>
      </c>
      <c r="J2874" t="s">
        <v>145</v>
      </c>
      <c r="K2874" t="s">
        <v>262</v>
      </c>
      <c r="L2874" t="s">
        <v>6037</v>
      </c>
      <c r="M2874" t="s">
        <v>3483</v>
      </c>
      <c r="N2874" t="s">
        <v>6038</v>
      </c>
      <c r="O2874" t="s">
        <v>263</v>
      </c>
      <c r="R2874" t="s">
        <v>6581</v>
      </c>
      <c r="S2874" t="s">
        <v>2864</v>
      </c>
      <c r="V2874" t="s">
        <v>2855</v>
      </c>
      <c r="W2874" t="s">
        <v>2898</v>
      </c>
      <c r="X2874" t="s">
        <v>963</v>
      </c>
      <c r="AD2874" t="s">
        <v>6582</v>
      </c>
    </row>
    <row r="2875" spans="1:30" x14ac:dyDescent="0.25">
      <c r="A2875" t="s">
        <v>33</v>
      </c>
      <c r="D2875" t="s">
        <v>2847</v>
      </c>
      <c r="E2875" t="s">
        <v>2893</v>
      </c>
      <c r="F2875" t="s">
        <v>78</v>
      </c>
      <c r="G2875" t="s">
        <v>6036</v>
      </c>
      <c r="H2875" t="s">
        <v>280</v>
      </c>
      <c r="I2875" t="s">
        <v>281</v>
      </c>
      <c r="J2875" t="s">
        <v>282</v>
      </c>
      <c r="K2875" t="s">
        <v>283</v>
      </c>
      <c r="L2875" t="s">
        <v>6037</v>
      </c>
      <c r="N2875" t="s">
        <v>6038</v>
      </c>
      <c r="O2875" t="s">
        <v>284</v>
      </c>
      <c r="Q2875" t="s">
        <v>285</v>
      </c>
      <c r="R2875" t="s">
        <v>6583</v>
      </c>
      <c r="S2875" t="s">
        <v>2864</v>
      </c>
      <c r="V2875" t="s">
        <v>2855</v>
      </c>
      <c r="W2875" t="s">
        <v>2898</v>
      </c>
      <c r="AD2875" t="s">
        <v>6584</v>
      </c>
    </row>
    <row r="2876" spans="1:30" x14ac:dyDescent="0.25">
      <c r="A2876" t="s">
        <v>33</v>
      </c>
      <c r="D2876" t="s">
        <v>2847</v>
      </c>
      <c r="E2876" t="s">
        <v>2893</v>
      </c>
      <c r="F2876" t="s">
        <v>248</v>
      </c>
      <c r="G2876" t="s">
        <v>5781</v>
      </c>
      <c r="H2876" t="s">
        <v>143</v>
      </c>
      <c r="I2876" t="s">
        <v>261</v>
      </c>
      <c r="J2876" t="s">
        <v>145</v>
      </c>
      <c r="K2876" t="s">
        <v>146</v>
      </c>
      <c r="L2876" t="s">
        <v>5782</v>
      </c>
      <c r="M2876" t="s">
        <v>3327</v>
      </c>
      <c r="N2876" t="s">
        <v>5783</v>
      </c>
      <c r="O2876" t="s">
        <v>263</v>
      </c>
      <c r="R2876" t="s">
        <v>6585</v>
      </c>
      <c r="S2876" t="s">
        <v>2864</v>
      </c>
      <c r="V2876" t="s">
        <v>2855</v>
      </c>
      <c r="W2876" t="s">
        <v>2898</v>
      </c>
      <c r="X2876" t="s">
        <v>1193</v>
      </c>
      <c r="AD2876" t="s">
        <v>5801</v>
      </c>
    </row>
    <row r="2877" spans="1:30" x14ac:dyDescent="0.25">
      <c r="A2877" t="s">
        <v>33</v>
      </c>
      <c r="D2877" t="s">
        <v>2847</v>
      </c>
      <c r="E2877" t="s">
        <v>2893</v>
      </c>
      <c r="F2877" t="s">
        <v>248</v>
      </c>
      <c r="G2877" t="s">
        <v>4434</v>
      </c>
      <c r="H2877" t="s">
        <v>143</v>
      </c>
      <c r="I2877" t="s">
        <v>261</v>
      </c>
      <c r="J2877" t="s">
        <v>145</v>
      </c>
      <c r="K2877" t="s">
        <v>146</v>
      </c>
      <c r="L2877" t="s">
        <v>4435</v>
      </c>
      <c r="M2877" t="s">
        <v>252</v>
      </c>
      <c r="N2877" t="s">
        <v>4436</v>
      </c>
      <c r="O2877" t="s">
        <v>263</v>
      </c>
      <c r="R2877" t="s">
        <v>6586</v>
      </c>
      <c r="S2877" t="s">
        <v>2864</v>
      </c>
      <c r="V2877" t="s">
        <v>2855</v>
      </c>
      <c r="W2877" t="s">
        <v>2898</v>
      </c>
      <c r="AD2877" t="s">
        <v>4454</v>
      </c>
    </row>
    <row r="2878" spans="1:30" x14ac:dyDescent="0.25">
      <c r="A2878" t="s">
        <v>947</v>
      </c>
      <c r="B2878" t="s">
        <v>1948</v>
      </c>
      <c r="C2878" t="s">
        <v>949</v>
      </c>
      <c r="D2878" t="s">
        <v>2847</v>
      </c>
      <c r="E2878" t="s">
        <v>2893</v>
      </c>
      <c r="F2878" t="s">
        <v>866</v>
      </c>
      <c r="G2878" t="s">
        <v>6537</v>
      </c>
      <c r="H2878" t="s">
        <v>143</v>
      </c>
      <c r="I2878" t="s">
        <v>6252</v>
      </c>
      <c r="J2878" t="s">
        <v>745</v>
      </c>
      <c r="K2878" t="s">
        <v>262</v>
      </c>
      <c r="L2878" t="s">
        <v>6538</v>
      </c>
      <c r="M2878" t="s">
        <v>176</v>
      </c>
      <c r="N2878" t="s">
        <v>6539</v>
      </c>
      <c r="O2878" t="s">
        <v>6253</v>
      </c>
      <c r="R2878" t="s">
        <v>6587</v>
      </c>
      <c r="S2878" t="s">
        <v>2864</v>
      </c>
      <c r="V2878" t="s">
        <v>2855</v>
      </c>
      <c r="W2878" t="s">
        <v>2898</v>
      </c>
      <c r="AD2878" t="s">
        <v>6588</v>
      </c>
    </row>
    <row r="2879" spans="1:30" x14ac:dyDescent="0.25">
      <c r="A2879" t="s">
        <v>947</v>
      </c>
      <c r="B2879" t="s">
        <v>1948</v>
      </c>
      <c r="C2879" t="s">
        <v>949</v>
      </c>
      <c r="D2879" t="s">
        <v>2847</v>
      </c>
      <c r="E2879" t="s">
        <v>2893</v>
      </c>
      <c r="F2879" t="s">
        <v>866</v>
      </c>
      <c r="G2879" t="s">
        <v>6537</v>
      </c>
      <c r="H2879" t="s">
        <v>143</v>
      </c>
      <c r="I2879" t="s">
        <v>6028</v>
      </c>
      <c r="J2879" t="s">
        <v>745</v>
      </c>
      <c r="K2879" t="s">
        <v>262</v>
      </c>
      <c r="L2879" t="s">
        <v>6538</v>
      </c>
      <c r="M2879" t="s">
        <v>176</v>
      </c>
      <c r="N2879" t="s">
        <v>6539</v>
      </c>
      <c r="O2879" t="s">
        <v>6031</v>
      </c>
      <c r="R2879" t="s">
        <v>6589</v>
      </c>
      <c r="S2879" t="s">
        <v>2864</v>
      </c>
      <c r="V2879" t="s">
        <v>2855</v>
      </c>
      <c r="W2879" t="s">
        <v>2898</v>
      </c>
      <c r="AD2879" t="s">
        <v>6590</v>
      </c>
    </row>
    <row r="2880" spans="1:30" x14ac:dyDescent="0.25">
      <c r="A2880" t="s">
        <v>33</v>
      </c>
      <c r="D2880" t="s">
        <v>2847</v>
      </c>
      <c r="E2880" t="s">
        <v>2893</v>
      </c>
      <c r="F2880" t="s">
        <v>78</v>
      </c>
      <c r="G2880" t="s">
        <v>6036</v>
      </c>
      <c r="H2880" t="s">
        <v>143</v>
      </c>
      <c r="I2880" t="s">
        <v>261</v>
      </c>
      <c r="J2880" t="s">
        <v>145</v>
      </c>
      <c r="K2880" t="s">
        <v>146</v>
      </c>
      <c r="L2880" t="s">
        <v>6037</v>
      </c>
      <c r="M2880" t="s">
        <v>3483</v>
      </c>
      <c r="N2880" t="s">
        <v>6038</v>
      </c>
      <c r="O2880" t="s">
        <v>263</v>
      </c>
      <c r="R2880" t="s">
        <v>6591</v>
      </c>
      <c r="S2880" t="s">
        <v>2864</v>
      </c>
      <c r="V2880" t="s">
        <v>2855</v>
      </c>
      <c r="W2880" t="s">
        <v>2898</v>
      </c>
      <c r="X2880" t="s">
        <v>963</v>
      </c>
      <c r="AD2880" t="s">
        <v>6582</v>
      </c>
    </row>
    <row r="2881" spans="1:32" x14ac:dyDescent="0.25">
      <c r="A2881" t="s">
        <v>33</v>
      </c>
      <c r="D2881" t="s">
        <v>2847</v>
      </c>
      <c r="E2881" t="s">
        <v>2848</v>
      </c>
      <c r="F2881" t="s">
        <v>2849</v>
      </c>
      <c r="G2881" t="s">
        <v>6315</v>
      </c>
      <c r="H2881" t="s">
        <v>143</v>
      </c>
      <c r="I2881" t="s">
        <v>1285</v>
      </c>
      <c r="J2881" t="s">
        <v>145</v>
      </c>
      <c r="K2881" t="s">
        <v>146</v>
      </c>
      <c r="L2881" t="s">
        <v>6316</v>
      </c>
      <c r="M2881" t="s">
        <v>53</v>
      </c>
      <c r="N2881" t="s">
        <v>6317</v>
      </c>
      <c r="O2881" t="s">
        <v>1286</v>
      </c>
      <c r="R2881" t="s">
        <v>6592</v>
      </c>
      <c r="S2881" t="s">
        <v>2882</v>
      </c>
      <c r="V2881" t="s">
        <v>2855</v>
      </c>
      <c r="W2881" t="s">
        <v>2856</v>
      </c>
      <c r="X2881" t="s">
        <v>56</v>
      </c>
      <c r="AD2881" t="s">
        <v>6593</v>
      </c>
    </row>
    <row r="2882" spans="1:32" x14ac:dyDescent="0.25">
      <c r="A2882" t="s">
        <v>33</v>
      </c>
      <c r="D2882" t="s">
        <v>2847</v>
      </c>
      <c r="E2882" t="s">
        <v>2848</v>
      </c>
      <c r="F2882" t="s">
        <v>2849</v>
      </c>
      <c r="G2882" t="s">
        <v>6315</v>
      </c>
      <c r="H2882" t="s">
        <v>143</v>
      </c>
      <c r="I2882" t="s">
        <v>2232</v>
      </c>
      <c r="J2882" t="s">
        <v>145</v>
      </c>
      <c r="K2882" t="s">
        <v>146</v>
      </c>
      <c r="L2882" t="s">
        <v>6316</v>
      </c>
      <c r="M2882" t="s">
        <v>53</v>
      </c>
      <c r="N2882" t="s">
        <v>6317</v>
      </c>
      <c r="O2882" t="s">
        <v>2233</v>
      </c>
      <c r="R2882" t="s">
        <v>6298</v>
      </c>
      <c r="S2882" t="s">
        <v>2882</v>
      </c>
      <c r="V2882" t="s">
        <v>2855</v>
      </c>
      <c r="W2882" t="s">
        <v>2856</v>
      </c>
      <c r="X2882" t="s">
        <v>56</v>
      </c>
      <c r="AD2882" t="s">
        <v>6594</v>
      </c>
    </row>
    <row r="2883" spans="1:32" x14ac:dyDescent="0.25">
      <c r="A2883" t="s">
        <v>33</v>
      </c>
      <c r="D2883" t="s">
        <v>2847</v>
      </c>
      <c r="E2883" t="s">
        <v>2893</v>
      </c>
      <c r="F2883" t="s">
        <v>866</v>
      </c>
      <c r="G2883" t="s">
        <v>6527</v>
      </c>
      <c r="H2883" t="s">
        <v>153</v>
      </c>
      <c r="I2883" t="s">
        <v>598</v>
      </c>
      <c r="J2883" t="s">
        <v>154</v>
      </c>
      <c r="K2883" t="s">
        <v>155</v>
      </c>
      <c r="L2883" t="s">
        <v>6528</v>
      </c>
      <c r="N2883" t="s">
        <v>6509</v>
      </c>
      <c r="O2883" t="s">
        <v>599</v>
      </c>
      <c r="R2883" t="s">
        <v>6595</v>
      </c>
      <c r="S2883" t="s">
        <v>2864</v>
      </c>
      <c r="V2883" t="s">
        <v>2855</v>
      </c>
      <c r="W2883" t="s">
        <v>2898</v>
      </c>
      <c r="AD2883" t="s">
        <v>6524</v>
      </c>
      <c r="AE2883" t="s">
        <v>4780</v>
      </c>
      <c r="AF2883">
        <v>1</v>
      </c>
    </row>
    <row r="2884" spans="1:32" x14ac:dyDescent="0.25">
      <c r="A2884" t="s">
        <v>33</v>
      </c>
      <c r="D2884" t="s">
        <v>2847</v>
      </c>
      <c r="E2884" t="s">
        <v>2893</v>
      </c>
      <c r="F2884" t="s">
        <v>866</v>
      </c>
      <c r="G2884" t="s">
        <v>6527</v>
      </c>
      <c r="H2884" t="s">
        <v>166</v>
      </c>
      <c r="I2884" t="s">
        <v>1105</v>
      </c>
      <c r="J2884" t="s">
        <v>167</v>
      </c>
      <c r="K2884" t="s">
        <v>41</v>
      </c>
      <c r="L2884" t="s">
        <v>6528</v>
      </c>
      <c r="N2884" t="s">
        <v>6509</v>
      </c>
      <c r="O2884" t="s">
        <v>1106</v>
      </c>
      <c r="Q2884" t="s">
        <v>1107</v>
      </c>
      <c r="R2884" t="s">
        <v>6596</v>
      </c>
      <c r="S2884" t="s">
        <v>2864</v>
      </c>
      <c r="V2884" t="s">
        <v>2855</v>
      </c>
      <c r="W2884" t="s">
        <v>2898</v>
      </c>
      <c r="AD2884" t="s">
        <v>6526</v>
      </c>
    </row>
    <row r="2885" spans="1:32" x14ac:dyDescent="0.25">
      <c r="A2885" t="s">
        <v>33</v>
      </c>
      <c r="D2885" t="s">
        <v>2847</v>
      </c>
      <c r="E2885" t="s">
        <v>2848</v>
      </c>
      <c r="F2885" t="s">
        <v>87</v>
      </c>
      <c r="G2885" t="s">
        <v>2973</v>
      </c>
      <c r="H2885" t="s">
        <v>89</v>
      </c>
      <c r="I2885" t="s">
        <v>144</v>
      </c>
      <c r="J2885" t="s">
        <v>91</v>
      </c>
      <c r="K2885" t="s">
        <v>92</v>
      </c>
      <c r="L2885" t="s">
        <v>2974</v>
      </c>
      <c r="M2885" t="s">
        <v>94</v>
      </c>
      <c r="N2885" t="s">
        <v>2975</v>
      </c>
      <c r="O2885" t="s">
        <v>96</v>
      </c>
      <c r="P2885">
        <v>1E-3</v>
      </c>
      <c r="R2885" t="s">
        <v>6597</v>
      </c>
      <c r="S2885" t="s">
        <v>2882</v>
      </c>
      <c r="V2885" t="s">
        <v>2855</v>
      </c>
      <c r="W2885" t="s">
        <v>2856</v>
      </c>
      <c r="AD2885" t="s">
        <v>6598</v>
      </c>
    </row>
    <row r="2886" spans="1:32" x14ac:dyDescent="0.25">
      <c r="A2886" t="s">
        <v>33</v>
      </c>
      <c r="D2886" t="s">
        <v>2847</v>
      </c>
      <c r="E2886" t="s">
        <v>2848</v>
      </c>
      <c r="F2886" t="s">
        <v>87</v>
      </c>
      <c r="G2886" t="s">
        <v>2978</v>
      </c>
      <c r="H2886" t="s">
        <v>89</v>
      </c>
      <c r="I2886" t="s">
        <v>144</v>
      </c>
      <c r="J2886" t="s">
        <v>91</v>
      </c>
      <c r="K2886" t="s">
        <v>92</v>
      </c>
      <c r="L2886" t="s">
        <v>2979</v>
      </c>
      <c r="M2886" t="s">
        <v>94</v>
      </c>
      <c r="N2886" t="s">
        <v>2980</v>
      </c>
      <c r="O2886" t="s">
        <v>96</v>
      </c>
      <c r="P2886">
        <v>1E-3</v>
      </c>
      <c r="R2886" t="s">
        <v>6599</v>
      </c>
      <c r="S2886" t="s">
        <v>2882</v>
      </c>
      <c r="V2886" t="s">
        <v>2855</v>
      </c>
      <c r="W2886" t="s">
        <v>2856</v>
      </c>
      <c r="AD2886" t="s">
        <v>6600</v>
      </c>
    </row>
    <row r="2887" spans="1:32" x14ac:dyDescent="0.25">
      <c r="A2887" t="s">
        <v>33</v>
      </c>
      <c r="D2887" t="s">
        <v>2847</v>
      </c>
      <c r="E2887" t="s">
        <v>2859</v>
      </c>
      <c r="F2887" t="s">
        <v>87</v>
      </c>
      <c r="G2887" t="s">
        <v>2860</v>
      </c>
      <c r="H2887" t="s">
        <v>89</v>
      </c>
      <c r="I2887" t="s">
        <v>90</v>
      </c>
      <c r="J2887" t="s">
        <v>91</v>
      </c>
      <c r="K2887" t="s">
        <v>92</v>
      </c>
      <c r="L2887" t="s">
        <v>2861</v>
      </c>
      <c r="M2887" t="s">
        <v>94</v>
      </c>
      <c r="N2887" t="s">
        <v>2862</v>
      </c>
      <c r="O2887" t="s">
        <v>383</v>
      </c>
      <c r="P2887">
        <v>1E-3</v>
      </c>
      <c r="R2887" t="s">
        <v>6601</v>
      </c>
      <c r="S2887" t="s">
        <v>2864</v>
      </c>
      <c r="V2887" t="s">
        <v>2855</v>
      </c>
      <c r="W2887" t="s">
        <v>2865</v>
      </c>
      <c r="AD2887" t="s">
        <v>6602</v>
      </c>
    </row>
    <row r="2888" spans="1:32" x14ac:dyDescent="0.25">
      <c r="A2888" t="s">
        <v>33</v>
      </c>
      <c r="D2888" t="s">
        <v>2847</v>
      </c>
      <c r="E2888" t="s">
        <v>2859</v>
      </c>
      <c r="F2888" t="s">
        <v>87</v>
      </c>
      <c r="G2888" t="s">
        <v>2860</v>
      </c>
      <c r="H2888" t="s">
        <v>89</v>
      </c>
      <c r="I2888" t="s">
        <v>144</v>
      </c>
      <c r="J2888" t="s">
        <v>91</v>
      </c>
      <c r="K2888" t="s">
        <v>92</v>
      </c>
      <c r="L2888" t="s">
        <v>2861</v>
      </c>
      <c r="M2888" t="s">
        <v>94</v>
      </c>
      <c r="N2888" t="s">
        <v>2862</v>
      </c>
      <c r="O2888" t="s">
        <v>150</v>
      </c>
      <c r="P2888">
        <v>1E-3</v>
      </c>
      <c r="R2888" t="s">
        <v>6603</v>
      </c>
      <c r="S2888" t="s">
        <v>2864</v>
      </c>
      <c r="V2888" t="s">
        <v>2855</v>
      </c>
      <c r="W2888" t="s">
        <v>2865</v>
      </c>
      <c r="AD2888" t="s">
        <v>6604</v>
      </c>
    </row>
    <row r="2889" spans="1:32" x14ac:dyDescent="0.25">
      <c r="A2889" t="s">
        <v>33</v>
      </c>
      <c r="B2889" t="s">
        <v>2319</v>
      </c>
      <c r="D2889" t="s">
        <v>2847</v>
      </c>
      <c r="E2889" t="s">
        <v>2893</v>
      </c>
      <c r="F2889" t="s">
        <v>866</v>
      </c>
      <c r="G2889" t="s">
        <v>6605</v>
      </c>
      <c r="H2889" t="s">
        <v>166</v>
      </c>
      <c r="I2889" t="s">
        <v>1263</v>
      </c>
      <c r="J2889" t="s">
        <v>167</v>
      </c>
      <c r="K2889" t="s">
        <v>41</v>
      </c>
      <c r="L2889" t="s">
        <v>6606</v>
      </c>
      <c r="N2889" t="s">
        <v>6607</v>
      </c>
      <c r="O2889" t="s">
        <v>1264</v>
      </c>
      <c r="Q2889" t="s">
        <v>2541</v>
      </c>
      <c r="R2889" t="s">
        <v>1959</v>
      </c>
      <c r="S2889" t="s">
        <v>2864</v>
      </c>
      <c r="V2889" t="s">
        <v>2855</v>
      </c>
      <c r="W2889" t="s">
        <v>2898</v>
      </c>
      <c r="AD2889" t="s">
        <v>6608</v>
      </c>
    </row>
    <row r="2890" spans="1:32" x14ac:dyDescent="0.25">
      <c r="A2890" t="s">
        <v>33</v>
      </c>
      <c r="D2890" t="s">
        <v>2847</v>
      </c>
      <c r="E2890" t="s">
        <v>2893</v>
      </c>
      <c r="F2890" t="s">
        <v>866</v>
      </c>
      <c r="G2890" t="s">
        <v>6527</v>
      </c>
      <c r="H2890" t="s">
        <v>166</v>
      </c>
      <c r="I2890" t="s">
        <v>80</v>
      </c>
      <c r="J2890" t="s">
        <v>167</v>
      </c>
      <c r="K2890" t="s">
        <v>41</v>
      </c>
      <c r="L2890" t="s">
        <v>6528</v>
      </c>
      <c r="N2890" t="s">
        <v>6509</v>
      </c>
      <c r="O2890" t="s">
        <v>862</v>
      </c>
      <c r="Q2890" t="s">
        <v>863</v>
      </c>
      <c r="R2890" t="s">
        <v>6609</v>
      </c>
      <c r="S2890" t="s">
        <v>2864</v>
      </c>
      <c r="V2890" t="s">
        <v>2855</v>
      </c>
      <c r="W2890" t="s">
        <v>2898</v>
      </c>
      <c r="AD2890" t="s">
        <v>6530</v>
      </c>
    </row>
    <row r="2891" spans="1:32" x14ac:dyDescent="0.25">
      <c r="A2891" t="s">
        <v>33</v>
      </c>
      <c r="D2891" t="s">
        <v>2847</v>
      </c>
      <c r="E2891" t="s">
        <v>2848</v>
      </c>
      <c r="F2891" t="s">
        <v>2849</v>
      </c>
      <c r="G2891" t="s">
        <v>6315</v>
      </c>
      <c r="H2891" t="s">
        <v>143</v>
      </c>
      <c r="I2891" t="s">
        <v>1289</v>
      </c>
      <c r="J2891" t="s">
        <v>145</v>
      </c>
      <c r="K2891" t="s">
        <v>146</v>
      </c>
      <c r="L2891" t="s">
        <v>6316</v>
      </c>
      <c r="M2891" t="s">
        <v>53</v>
      </c>
      <c r="N2891" t="s">
        <v>6317</v>
      </c>
      <c r="O2891" t="s">
        <v>1290</v>
      </c>
      <c r="R2891" t="s">
        <v>6610</v>
      </c>
      <c r="S2891" t="s">
        <v>2882</v>
      </c>
      <c r="V2891" t="s">
        <v>2855</v>
      </c>
      <c r="W2891" t="s">
        <v>2856</v>
      </c>
      <c r="X2891" t="s">
        <v>56</v>
      </c>
      <c r="AD2891" t="s">
        <v>6611</v>
      </c>
    </row>
    <row r="2892" spans="1:32" x14ac:dyDescent="0.25">
      <c r="A2892" t="s">
        <v>33</v>
      </c>
      <c r="D2892" t="s">
        <v>2847</v>
      </c>
      <c r="E2892" t="s">
        <v>2848</v>
      </c>
      <c r="F2892" t="s">
        <v>2849</v>
      </c>
      <c r="G2892" t="s">
        <v>6315</v>
      </c>
      <c r="H2892" t="s">
        <v>143</v>
      </c>
      <c r="I2892" t="s">
        <v>2546</v>
      </c>
      <c r="J2892" t="s">
        <v>145</v>
      </c>
      <c r="K2892" t="s">
        <v>146</v>
      </c>
      <c r="L2892" t="s">
        <v>6316</v>
      </c>
      <c r="M2892" t="s">
        <v>53</v>
      </c>
      <c r="N2892" t="s">
        <v>6317</v>
      </c>
      <c r="O2892" t="s">
        <v>2547</v>
      </c>
      <c r="R2892" t="s">
        <v>6324</v>
      </c>
      <c r="S2892" t="s">
        <v>2882</v>
      </c>
      <c r="V2892" t="s">
        <v>2855</v>
      </c>
      <c r="W2892" t="s">
        <v>2856</v>
      </c>
      <c r="X2892" t="s">
        <v>56</v>
      </c>
      <c r="AD2892" t="s">
        <v>6612</v>
      </c>
    </row>
    <row r="2893" spans="1:32" x14ac:dyDescent="0.25">
      <c r="A2893" t="s">
        <v>33</v>
      </c>
      <c r="D2893" t="s">
        <v>2847</v>
      </c>
      <c r="E2893" t="s">
        <v>2848</v>
      </c>
      <c r="F2893" t="s">
        <v>2849</v>
      </c>
      <c r="G2893" t="s">
        <v>6613</v>
      </c>
      <c r="H2893" t="s">
        <v>153</v>
      </c>
      <c r="I2893" t="s">
        <v>598</v>
      </c>
      <c r="J2893" t="s">
        <v>154</v>
      </c>
      <c r="K2893" t="s">
        <v>155</v>
      </c>
      <c r="L2893" t="s">
        <v>6614</v>
      </c>
      <c r="N2893" t="s">
        <v>5723</v>
      </c>
      <c r="O2893" t="s">
        <v>599</v>
      </c>
      <c r="R2893" t="s">
        <v>6615</v>
      </c>
      <c r="S2893" t="s">
        <v>2882</v>
      </c>
      <c r="V2893" t="s">
        <v>2855</v>
      </c>
      <c r="W2893" t="s">
        <v>2856</v>
      </c>
      <c r="AD2893" t="s">
        <v>5725</v>
      </c>
    </row>
    <row r="2894" spans="1:32" x14ac:dyDescent="0.25">
      <c r="A2894" t="s">
        <v>947</v>
      </c>
      <c r="B2894" t="s">
        <v>1948</v>
      </c>
      <c r="C2894" t="s">
        <v>949</v>
      </c>
      <c r="D2894" t="s">
        <v>2847</v>
      </c>
      <c r="E2894" t="s">
        <v>2848</v>
      </c>
      <c r="F2894" t="s">
        <v>2849</v>
      </c>
      <c r="G2894" t="s">
        <v>6613</v>
      </c>
      <c r="H2894" t="s">
        <v>153</v>
      </c>
      <c r="I2894" t="s">
        <v>5737</v>
      </c>
      <c r="J2894" t="s">
        <v>154</v>
      </c>
      <c r="K2894" t="s">
        <v>155</v>
      </c>
      <c r="L2894" t="s">
        <v>6614</v>
      </c>
      <c r="N2894" t="s">
        <v>5723</v>
      </c>
      <c r="O2894" t="s">
        <v>5738</v>
      </c>
      <c r="R2894" t="s">
        <v>2832</v>
      </c>
      <c r="S2894" t="s">
        <v>2882</v>
      </c>
      <c r="V2894" t="s">
        <v>2855</v>
      </c>
      <c r="W2894" t="s">
        <v>2856</v>
      </c>
      <c r="AD2894" t="s">
        <v>5740</v>
      </c>
    </row>
    <row r="2895" spans="1:32" x14ac:dyDescent="0.25">
      <c r="A2895" t="s">
        <v>33</v>
      </c>
      <c r="D2895" t="s">
        <v>2847</v>
      </c>
      <c r="E2895" t="s">
        <v>2848</v>
      </c>
      <c r="F2895" t="s">
        <v>2849</v>
      </c>
      <c r="G2895" t="s">
        <v>6613</v>
      </c>
      <c r="H2895" t="s">
        <v>166</v>
      </c>
      <c r="I2895" t="s">
        <v>1105</v>
      </c>
      <c r="J2895" t="s">
        <v>167</v>
      </c>
      <c r="K2895" t="s">
        <v>41</v>
      </c>
      <c r="L2895" t="s">
        <v>6614</v>
      </c>
      <c r="N2895" t="s">
        <v>5723</v>
      </c>
      <c r="O2895" t="s">
        <v>1106</v>
      </c>
      <c r="Q2895" t="s">
        <v>1107</v>
      </c>
      <c r="R2895" t="s">
        <v>6616</v>
      </c>
      <c r="S2895" t="s">
        <v>2882</v>
      </c>
      <c r="V2895" t="s">
        <v>2855</v>
      </c>
      <c r="W2895" t="s">
        <v>2856</v>
      </c>
      <c r="AD2895" t="s">
        <v>5736</v>
      </c>
    </row>
    <row r="2896" spans="1:32" x14ac:dyDescent="0.25">
      <c r="A2896" t="s">
        <v>33</v>
      </c>
      <c r="D2896" t="s">
        <v>2847</v>
      </c>
      <c r="E2896" t="s">
        <v>2848</v>
      </c>
      <c r="F2896" t="s">
        <v>2849</v>
      </c>
      <c r="G2896" t="s">
        <v>6613</v>
      </c>
      <c r="H2896" t="s">
        <v>166</v>
      </c>
      <c r="I2896" t="s">
        <v>216</v>
      </c>
      <c r="J2896" t="s">
        <v>167</v>
      </c>
      <c r="K2896" t="s">
        <v>41</v>
      </c>
      <c r="L2896" t="s">
        <v>6614</v>
      </c>
      <c r="N2896" t="s">
        <v>5723</v>
      </c>
      <c r="O2896" t="s">
        <v>872</v>
      </c>
      <c r="Q2896" t="s">
        <v>1275</v>
      </c>
      <c r="R2896" t="s">
        <v>3460</v>
      </c>
      <c r="S2896" t="s">
        <v>2882</v>
      </c>
      <c r="V2896" t="s">
        <v>2855</v>
      </c>
      <c r="W2896" t="s">
        <v>2856</v>
      </c>
      <c r="AD2896" t="s">
        <v>5750</v>
      </c>
    </row>
    <row r="2897" spans="1:30" x14ac:dyDescent="0.25">
      <c r="A2897" t="s">
        <v>947</v>
      </c>
      <c r="B2897" t="s">
        <v>1948</v>
      </c>
      <c r="C2897" t="s">
        <v>949</v>
      </c>
      <c r="D2897" t="s">
        <v>2847</v>
      </c>
      <c r="E2897" t="s">
        <v>2848</v>
      </c>
      <c r="F2897" t="s">
        <v>2849</v>
      </c>
      <c r="G2897" t="s">
        <v>6613</v>
      </c>
      <c r="H2897" t="s">
        <v>166</v>
      </c>
      <c r="I2897" t="s">
        <v>5737</v>
      </c>
      <c r="J2897" t="s">
        <v>167</v>
      </c>
      <c r="K2897" t="s">
        <v>41</v>
      </c>
      <c r="L2897" t="s">
        <v>6614</v>
      </c>
      <c r="N2897" t="s">
        <v>5723</v>
      </c>
      <c r="O2897" t="s">
        <v>5763</v>
      </c>
      <c r="Q2897" t="s">
        <v>5764</v>
      </c>
      <c r="R2897" t="s">
        <v>6617</v>
      </c>
      <c r="S2897" t="s">
        <v>2882</v>
      </c>
      <c r="V2897" t="s">
        <v>2855</v>
      </c>
      <c r="W2897" t="s">
        <v>2856</v>
      </c>
      <c r="AD2897" t="s">
        <v>5766</v>
      </c>
    </row>
    <row r="2898" spans="1:30" x14ac:dyDescent="0.25">
      <c r="A2898" t="s">
        <v>33</v>
      </c>
      <c r="D2898" t="s">
        <v>2847</v>
      </c>
      <c r="E2898" t="s">
        <v>2859</v>
      </c>
      <c r="F2898" t="s">
        <v>78</v>
      </c>
      <c r="G2898" t="s">
        <v>6618</v>
      </c>
      <c r="H2898" t="s">
        <v>166</v>
      </c>
      <c r="I2898" t="s">
        <v>288</v>
      </c>
      <c r="J2898" t="s">
        <v>167</v>
      </c>
      <c r="K2898" t="s">
        <v>41</v>
      </c>
      <c r="L2898" t="s">
        <v>6619</v>
      </c>
      <c r="N2898" t="s">
        <v>6620</v>
      </c>
      <c r="O2898" t="s">
        <v>289</v>
      </c>
      <c r="Q2898" t="s">
        <v>285</v>
      </c>
      <c r="R2898" t="s">
        <v>6621</v>
      </c>
      <c r="S2898" t="s">
        <v>2864</v>
      </c>
      <c r="V2898" t="s">
        <v>2855</v>
      </c>
      <c r="W2898" t="s">
        <v>2865</v>
      </c>
      <c r="AD2898" t="s">
        <v>6622</v>
      </c>
    </row>
    <row r="2899" spans="1:30" x14ac:dyDescent="0.25">
      <c r="A2899" t="s">
        <v>33</v>
      </c>
      <c r="D2899" t="s">
        <v>2847</v>
      </c>
      <c r="E2899" t="s">
        <v>2859</v>
      </c>
      <c r="F2899" t="s">
        <v>78</v>
      </c>
      <c r="G2899" t="s">
        <v>6618</v>
      </c>
      <c r="H2899" t="s">
        <v>143</v>
      </c>
      <c r="I2899" t="s">
        <v>276</v>
      </c>
      <c r="J2899" t="s">
        <v>145</v>
      </c>
      <c r="K2899" t="s">
        <v>146</v>
      </c>
      <c r="L2899" t="s">
        <v>6619</v>
      </c>
      <c r="N2899" t="s">
        <v>6620</v>
      </c>
      <c r="O2899" t="s">
        <v>277</v>
      </c>
      <c r="R2899" t="s">
        <v>6623</v>
      </c>
      <c r="S2899" t="s">
        <v>2864</v>
      </c>
      <c r="V2899" t="s">
        <v>2855</v>
      </c>
      <c r="W2899" t="s">
        <v>2865</v>
      </c>
      <c r="X2899" t="s">
        <v>270</v>
      </c>
      <c r="AD2899" t="s">
        <v>6624</v>
      </c>
    </row>
    <row r="2900" spans="1:30" x14ac:dyDescent="0.25">
      <c r="A2900" t="s">
        <v>33</v>
      </c>
      <c r="D2900" t="s">
        <v>2847</v>
      </c>
      <c r="E2900" t="s">
        <v>2859</v>
      </c>
      <c r="F2900" t="s">
        <v>78</v>
      </c>
      <c r="G2900" t="s">
        <v>6618</v>
      </c>
      <c r="H2900" t="s">
        <v>143</v>
      </c>
      <c r="I2900" t="s">
        <v>272</v>
      </c>
      <c r="J2900" t="s">
        <v>145</v>
      </c>
      <c r="K2900" t="s">
        <v>146</v>
      </c>
      <c r="L2900" t="s">
        <v>6619</v>
      </c>
      <c r="N2900" t="s">
        <v>6620</v>
      </c>
      <c r="O2900" t="s">
        <v>273</v>
      </c>
      <c r="R2900" t="s">
        <v>6625</v>
      </c>
      <c r="S2900" t="s">
        <v>2864</v>
      </c>
      <c r="V2900" t="s">
        <v>2855</v>
      </c>
      <c r="W2900" t="s">
        <v>2865</v>
      </c>
      <c r="X2900" t="s">
        <v>270</v>
      </c>
      <c r="AD2900" t="s">
        <v>6626</v>
      </c>
    </row>
    <row r="2901" spans="1:30" x14ac:dyDescent="0.25">
      <c r="A2901" t="s">
        <v>33</v>
      </c>
      <c r="D2901" t="s">
        <v>2847</v>
      </c>
      <c r="E2901" t="s">
        <v>2859</v>
      </c>
      <c r="F2901" t="s">
        <v>78</v>
      </c>
      <c r="G2901" t="s">
        <v>6618</v>
      </c>
      <c r="H2901" t="s">
        <v>143</v>
      </c>
      <c r="I2901" t="s">
        <v>267</v>
      </c>
      <c r="J2901" t="s">
        <v>145</v>
      </c>
      <c r="K2901" t="s">
        <v>146</v>
      </c>
      <c r="L2901" t="s">
        <v>6619</v>
      </c>
      <c r="N2901" t="s">
        <v>6620</v>
      </c>
      <c r="O2901" t="s">
        <v>268</v>
      </c>
      <c r="R2901" t="s">
        <v>6627</v>
      </c>
      <c r="S2901" t="s">
        <v>2864</v>
      </c>
      <c r="V2901" t="s">
        <v>2855</v>
      </c>
      <c r="W2901" t="s">
        <v>2865</v>
      </c>
      <c r="X2901" t="s">
        <v>270</v>
      </c>
      <c r="AD2901" t="s">
        <v>6628</v>
      </c>
    </row>
    <row r="2902" spans="1:30" x14ac:dyDescent="0.25">
      <c r="A2902" t="s">
        <v>33</v>
      </c>
      <c r="D2902" t="s">
        <v>2847</v>
      </c>
      <c r="E2902" t="s">
        <v>2859</v>
      </c>
      <c r="F2902" t="s">
        <v>78</v>
      </c>
      <c r="G2902" t="s">
        <v>6618</v>
      </c>
      <c r="H2902" t="s">
        <v>143</v>
      </c>
      <c r="I2902" t="s">
        <v>295</v>
      </c>
      <c r="J2902" t="s">
        <v>145</v>
      </c>
      <c r="K2902" t="s">
        <v>146</v>
      </c>
      <c r="L2902" t="s">
        <v>6619</v>
      </c>
      <c r="M2902" t="s">
        <v>82</v>
      </c>
      <c r="N2902" t="s">
        <v>6620</v>
      </c>
      <c r="O2902" t="s">
        <v>296</v>
      </c>
      <c r="R2902" t="s">
        <v>6629</v>
      </c>
      <c r="S2902" t="s">
        <v>2864</v>
      </c>
      <c r="V2902" t="s">
        <v>2855</v>
      </c>
      <c r="W2902" t="s">
        <v>2865</v>
      </c>
      <c r="AD2902" t="s">
        <v>6630</v>
      </c>
    </row>
    <row r="2903" spans="1:30" x14ac:dyDescent="0.25">
      <c r="A2903" t="s">
        <v>33</v>
      </c>
      <c r="D2903" t="s">
        <v>2847</v>
      </c>
      <c r="E2903" t="s">
        <v>2859</v>
      </c>
      <c r="F2903" t="s">
        <v>78</v>
      </c>
      <c r="G2903" t="s">
        <v>6618</v>
      </c>
      <c r="H2903" t="s">
        <v>143</v>
      </c>
      <c r="I2903" t="s">
        <v>4475</v>
      </c>
      <c r="J2903" t="s">
        <v>145</v>
      </c>
      <c r="K2903" t="s">
        <v>146</v>
      </c>
      <c r="L2903" t="s">
        <v>6619</v>
      </c>
      <c r="M2903" t="s">
        <v>3327</v>
      </c>
      <c r="N2903" t="s">
        <v>6620</v>
      </c>
      <c r="O2903" t="s">
        <v>4476</v>
      </c>
      <c r="R2903" t="s">
        <v>6631</v>
      </c>
      <c r="S2903" t="s">
        <v>2864</v>
      </c>
      <c r="V2903" t="s">
        <v>2855</v>
      </c>
      <c r="W2903" t="s">
        <v>2865</v>
      </c>
      <c r="X2903" t="s">
        <v>1193</v>
      </c>
      <c r="AD2903" t="s">
        <v>6632</v>
      </c>
    </row>
    <row r="2904" spans="1:30" x14ac:dyDescent="0.25">
      <c r="A2904" t="s">
        <v>33</v>
      </c>
      <c r="D2904" t="s">
        <v>2847</v>
      </c>
      <c r="E2904" t="s">
        <v>2859</v>
      </c>
      <c r="F2904" t="s">
        <v>78</v>
      </c>
      <c r="G2904" t="s">
        <v>6618</v>
      </c>
      <c r="H2904" t="s">
        <v>143</v>
      </c>
      <c r="I2904" t="s">
        <v>299</v>
      </c>
      <c r="J2904" t="s">
        <v>145</v>
      </c>
      <c r="K2904" t="s">
        <v>146</v>
      </c>
      <c r="L2904" t="s">
        <v>6619</v>
      </c>
      <c r="M2904" t="s">
        <v>82</v>
      </c>
      <c r="N2904" t="s">
        <v>6620</v>
      </c>
      <c r="O2904" t="s">
        <v>300</v>
      </c>
      <c r="R2904" t="s">
        <v>6633</v>
      </c>
      <c r="S2904" t="s">
        <v>2864</v>
      </c>
      <c r="V2904" t="s">
        <v>2855</v>
      </c>
      <c r="W2904" t="s">
        <v>2865</v>
      </c>
      <c r="AD2904" t="s">
        <v>6634</v>
      </c>
    </row>
    <row r="2905" spans="1:30" x14ac:dyDescent="0.25">
      <c r="A2905" t="s">
        <v>33</v>
      </c>
      <c r="D2905" t="s">
        <v>2847</v>
      </c>
      <c r="E2905" t="s">
        <v>2859</v>
      </c>
      <c r="F2905" t="s">
        <v>78</v>
      </c>
      <c r="G2905" t="s">
        <v>6618</v>
      </c>
      <c r="H2905" t="s">
        <v>143</v>
      </c>
      <c r="I2905" t="s">
        <v>4401</v>
      </c>
      <c r="J2905" t="s">
        <v>145</v>
      </c>
      <c r="K2905" t="s">
        <v>146</v>
      </c>
      <c r="L2905" t="s">
        <v>6619</v>
      </c>
      <c r="M2905" t="s">
        <v>3327</v>
      </c>
      <c r="N2905" t="s">
        <v>6620</v>
      </c>
      <c r="O2905" t="s">
        <v>4402</v>
      </c>
      <c r="R2905" t="s">
        <v>6635</v>
      </c>
      <c r="S2905" t="s">
        <v>2864</v>
      </c>
      <c r="V2905" t="s">
        <v>2855</v>
      </c>
      <c r="W2905" t="s">
        <v>2865</v>
      </c>
      <c r="X2905" t="s">
        <v>1193</v>
      </c>
      <c r="AD2905" t="s">
        <v>6636</v>
      </c>
    </row>
    <row r="2906" spans="1:30" x14ac:dyDescent="0.25">
      <c r="A2906" t="s">
        <v>33</v>
      </c>
      <c r="D2906" t="s">
        <v>2847</v>
      </c>
      <c r="E2906" t="s">
        <v>2859</v>
      </c>
      <c r="F2906" t="s">
        <v>78</v>
      </c>
      <c r="G2906" t="s">
        <v>6618</v>
      </c>
      <c r="H2906" t="s">
        <v>38</v>
      </c>
      <c r="I2906" t="s">
        <v>257</v>
      </c>
      <c r="J2906" t="s">
        <v>40</v>
      </c>
      <c r="K2906" t="s">
        <v>41</v>
      </c>
      <c r="L2906" t="s">
        <v>6619</v>
      </c>
      <c r="M2906" t="s">
        <v>82</v>
      </c>
      <c r="N2906" t="s">
        <v>6620</v>
      </c>
      <c r="O2906" t="s">
        <v>258</v>
      </c>
      <c r="R2906" t="s">
        <v>6637</v>
      </c>
      <c r="S2906" t="s">
        <v>2864</v>
      </c>
      <c r="V2906" t="s">
        <v>2855</v>
      </c>
      <c r="W2906" t="s">
        <v>2865</v>
      </c>
      <c r="AD2906" t="s">
        <v>6638</v>
      </c>
    </row>
    <row r="2907" spans="1:30" x14ac:dyDescent="0.25">
      <c r="A2907" t="s">
        <v>33</v>
      </c>
      <c r="D2907" t="s">
        <v>2847</v>
      </c>
      <c r="E2907" t="s">
        <v>2859</v>
      </c>
      <c r="F2907" t="s">
        <v>78</v>
      </c>
      <c r="G2907" t="s">
        <v>6618</v>
      </c>
      <c r="H2907" t="s">
        <v>38</v>
      </c>
      <c r="I2907" t="s">
        <v>250</v>
      </c>
      <c r="J2907" t="s">
        <v>40</v>
      </c>
      <c r="K2907" t="s">
        <v>41</v>
      </c>
      <c r="L2907" t="s">
        <v>6619</v>
      </c>
      <c r="M2907" t="s">
        <v>3327</v>
      </c>
      <c r="N2907" t="s">
        <v>6620</v>
      </c>
      <c r="O2907" t="s">
        <v>254</v>
      </c>
      <c r="R2907" t="s">
        <v>6639</v>
      </c>
      <c r="S2907" t="s">
        <v>2864</v>
      </c>
      <c r="V2907" t="s">
        <v>2855</v>
      </c>
      <c r="W2907" t="s">
        <v>2865</v>
      </c>
      <c r="X2907" t="s">
        <v>1193</v>
      </c>
      <c r="AD2907" t="s">
        <v>6640</v>
      </c>
    </row>
    <row r="2908" spans="1:30" x14ac:dyDescent="0.25">
      <c r="A2908" t="s">
        <v>33</v>
      </c>
      <c r="D2908" t="s">
        <v>2847</v>
      </c>
      <c r="E2908" t="s">
        <v>2859</v>
      </c>
      <c r="F2908" t="s">
        <v>78</v>
      </c>
      <c r="G2908" t="s">
        <v>6618</v>
      </c>
      <c r="H2908" t="s">
        <v>143</v>
      </c>
      <c r="I2908" t="s">
        <v>257</v>
      </c>
      <c r="J2908" t="s">
        <v>145</v>
      </c>
      <c r="K2908" t="s">
        <v>146</v>
      </c>
      <c r="L2908" t="s">
        <v>6619</v>
      </c>
      <c r="M2908" t="s">
        <v>82</v>
      </c>
      <c r="N2908" t="s">
        <v>6620</v>
      </c>
      <c r="O2908" t="s">
        <v>292</v>
      </c>
      <c r="R2908" t="s">
        <v>6641</v>
      </c>
      <c r="S2908" t="s">
        <v>2864</v>
      </c>
      <c r="V2908" t="s">
        <v>2855</v>
      </c>
      <c r="W2908" t="s">
        <v>2865</v>
      </c>
      <c r="AD2908" t="s">
        <v>6642</v>
      </c>
    </row>
    <row r="2909" spans="1:30" x14ac:dyDescent="0.25">
      <c r="A2909" t="s">
        <v>33</v>
      </c>
      <c r="D2909" t="s">
        <v>2847</v>
      </c>
      <c r="E2909" t="s">
        <v>2859</v>
      </c>
      <c r="F2909" t="s">
        <v>78</v>
      </c>
      <c r="G2909" t="s">
        <v>6618</v>
      </c>
      <c r="H2909" t="s">
        <v>143</v>
      </c>
      <c r="I2909" t="s">
        <v>261</v>
      </c>
      <c r="J2909" t="s">
        <v>145</v>
      </c>
      <c r="K2909" t="s">
        <v>146</v>
      </c>
      <c r="L2909" t="s">
        <v>6619</v>
      </c>
      <c r="M2909" t="s">
        <v>3327</v>
      </c>
      <c r="N2909" t="s">
        <v>6620</v>
      </c>
      <c r="O2909" t="s">
        <v>263</v>
      </c>
      <c r="R2909" t="s">
        <v>6643</v>
      </c>
      <c r="S2909" t="s">
        <v>2864</v>
      </c>
      <c r="V2909" t="s">
        <v>2855</v>
      </c>
      <c r="W2909" t="s">
        <v>2865</v>
      </c>
      <c r="X2909" t="s">
        <v>1193</v>
      </c>
      <c r="AD2909" t="s">
        <v>6644</v>
      </c>
    </row>
    <row r="2910" spans="1:30" x14ac:dyDescent="0.25">
      <c r="A2910" t="s">
        <v>33</v>
      </c>
      <c r="D2910" t="s">
        <v>2847</v>
      </c>
      <c r="E2910" t="s">
        <v>2859</v>
      </c>
      <c r="F2910" t="s">
        <v>78</v>
      </c>
      <c r="G2910" t="s">
        <v>6618</v>
      </c>
      <c r="H2910" t="s">
        <v>280</v>
      </c>
      <c r="I2910" t="s">
        <v>281</v>
      </c>
      <c r="J2910" t="s">
        <v>282</v>
      </c>
      <c r="K2910" t="s">
        <v>283</v>
      </c>
      <c r="L2910" t="s">
        <v>6619</v>
      </c>
      <c r="N2910" t="s">
        <v>6620</v>
      </c>
      <c r="O2910" t="s">
        <v>284</v>
      </c>
      <c r="Q2910" t="s">
        <v>285</v>
      </c>
      <c r="R2910" t="s">
        <v>6645</v>
      </c>
      <c r="S2910" t="s">
        <v>2864</v>
      </c>
      <c r="V2910" t="s">
        <v>2855</v>
      </c>
      <c r="W2910" t="s">
        <v>2865</v>
      </c>
      <c r="AD2910" t="s">
        <v>6646</v>
      </c>
    </row>
    <row r="2911" spans="1:30" x14ac:dyDescent="0.25">
      <c r="A2911" t="s">
        <v>33</v>
      </c>
      <c r="D2911" t="s">
        <v>2847</v>
      </c>
      <c r="E2911" t="s">
        <v>2848</v>
      </c>
      <c r="F2911" t="s">
        <v>2849</v>
      </c>
      <c r="G2911" t="s">
        <v>6613</v>
      </c>
      <c r="H2911" t="s">
        <v>166</v>
      </c>
      <c r="I2911" t="s">
        <v>80</v>
      </c>
      <c r="J2911" t="s">
        <v>167</v>
      </c>
      <c r="K2911" t="s">
        <v>41</v>
      </c>
      <c r="L2911" t="s">
        <v>6614</v>
      </c>
      <c r="N2911" t="s">
        <v>5723</v>
      </c>
      <c r="O2911" t="s">
        <v>862</v>
      </c>
      <c r="Q2911" t="s">
        <v>863</v>
      </c>
      <c r="R2911" t="s">
        <v>6647</v>
      </c>
      <c r="S2911" t="s">
        <v>2882</v>
      </c>
      <c r="V2911" t="s">
        <v>2855</v>
      </c>
      <c r="W2911" t="s">
        <v>2856</v>
      </c>
      <c r="AD2911" t="s">
        <v>5776</v>
      </c>
    </row>
    <row r="2912" spans="1:30" x14ac:dyDescent="0.25">
      <c r="A2912" t="s">
        <v>33</v>
      </c>
      <c r="D2912" t="s">
        <v>2847</v>
      </c>
      <c r="E2912" t="s">
        <v>2848</v>
      </c>
      <c r="F2912" t="s">
        <v>2849</v>
      </c>
      <c r="G2912" t="s">
        <v>6613</v>
      </c>
      <c r="H2912" t="s">
        <v>280</v>
      </c>
      <c r="I2912" t="s">
        <v>3311</v>
      </c>
      <c r="J2912" t="s">
        <v>282</v>
      </c>
      <c r="K2912" t="s">
        <v>283</v>
      </c>
      <c r="L2912" t="s">
        <v>6614</v>
      </c>
      <c r="N2912" t="s">
        <v>5723</v>
      </c>
      <c r="O2912" t="s">
        <v>3312</v>
      </c>
      <c r="Q2912" t="s">
        <v>3313</v>
      </c>
      <c r="R2912" t="s">
        <v>6285</v>
      </c>
      <c r="S2912" t="s">
        <v>2882</v>
      </c>
      <c r="V2912" t="s">
        <v>2855</v>
      </c>
      <c r="W2912" t="s">
        <v>2856</v>
      </c>
      <c r="AD2912" t="s">
        <v>5778</v>
      </c>
    </row>
    <row r="2913" spans="1:30" x14ac:dyDescent="0.25">
      <c r="A2913" t="s">
        <v>33</v>
      </c>
      <c r="D2913" t="s">
        <v>2847</v>
      </c>
      <c r="E2913" t="s">
        <v>2848</v>
      </c>
      <c r="F2913" t="s">
        <v>2849</v>
      </c>
      <c r="G2913" t="s">
        <v>6613</v>
      </c>
      <c r="H2913" t="s">
        <v>280</v>
      </c>
      <c r="I2913" t="s">
        <v>1263</v>
      </c>
      <c r="J2913" t="s">
        <v>282</v>
      </c>
      <c r="K2913" t="s">
        <v>283</v>
      </c>
      <c r="L2913" t="s">
        <v>6614</v>
      </c>
      <c r="N2913" t="s">
        <v>5723</v>
      </c>
      <c r="O2913" t="s">
        <v>1264</v>
      </c>
      <c r="Q2913" t="s">
        <v>6281</v>
      </c>
      <c r="R2913" t="s">
        <v>6648</v>
      </c>
      <c r="S2913" t="s">
        <v>2882</v>
      </c>
      <c r="V2913" t="s">
        <v>2855</v>
      </c>
      <c r="W2913" t="s">
        <v>2856</v>
      </c>
      <c r="AD2913" t="s">
        <v>6283</v>
      </c>
    </row>
    <row r="2914" spans="1:30" x14ac:dyDescent="0.25">
      <c r="A2914" t="s">
        <v>33</v>
      </c>
      <c r="D2914" t="s">
        <v>2847</v>
      </c>
      <c r="E2914" t="s">
        <v>2893</v>
      </c>
      <c r="F2914" t="s">
        <v>78</v>
      </c>
      <c r="G2914" t="s">
        <v>6649</v>
      </c>
      <c r="H2914" t="s">
        <v>143</v>
      </c>
      <c r="I2914" t="s">
        <v>276</v>
      </c>
      <c r="J2914" t="s">
        <v>145</v>
      </c>
      <c r="K2914" t="s">
        <v>146</v>
      </c>
      <c r="L2914" t="s">
        <v>6650</v>
      </c>
      <c r="N2914" t="s">
        <v>6651</v>
      </c>
      <c r="O2914" t="s">
        <v>277</v>
      </c>
      <c r="R2914" t="s">
        <v>6652</v>
      </c>
      <c r="S2914" t="s">
        <v>2864</v>
      </c>
      <c r="V2914" t="s">
        <v>2855</v>
      </c>
      <c r="W2914" t="s">
        <v>2898</v>
      </c>
      <c r="X2914" t="s">
        <v>270</v>
      </c>
      <c r="AD2914" t="s">
        <v>6653</v>
      </c>
    </row>
    <row r="2915" spans="1:30" x14ac:dyDescent="0.25">
      <c r="A2915" t="s">
        <v>33</v>
      </c>
      <c r="D2915" t="s">
        <v>2847</v>
      </c>
      <c r="E2915" t="s">
        <v>2893</v>
      </c>
      <c r="F2915" t="s">
        <v>78</v>
      </c>
      <c r="G2915" t="s">
        <v>6649</v>
      </c>
      <c r="H2915" t="s">
        <v>143</v>
      </c>
      <c r="I2915" t="s">
        <v>272</v>
      </c>
      <c r="J2915" t="s">
        <v>145</v>
      </c>
      <c r="K2915" t="s">
        <v>146</v>
      </c>
      <c r="L2915" t="s">
        <v>6650</v>
      </c>
      <c r="N2915" t="s">
        <v>6651</v>
      </c>
      <c r="O2915" t="s">
        <v>273</v>
      </c>
      <c r="R2915" t="s">
        <v>6654</v>
      </c>
      <c r="S2915" t="s">
        <v>2864</v>
      </c>
      <c r="V2915" t="s">
        <v>2855</v>
      </c>
      <c r="W2915" t="s">
        <v>2898</v>
      </c>
      <c r="X2915" t="s">
        <v>270</v>
      </c>
      <c r="AD2915" t="s">
        <v>6655</v>
      </c>
    </row>
    <row r="2916" spans="1:30" x14ac:dyDescent="0.25">
      <c r="A2916" t="s">
        <v>33</v>
      </c>
      <c r="D2916" t="s">
        <v>2847</v>
      </c>
      <c r="E2916" t="s">
        <v>2893</v>
      </c>
      <c r="F2916" t="s">
        <v>78</v>
      </c>
      <c r="G2916" t="s">
        <v>6649</v>
      </c>
      <c r="H2916" t="s">
        <v>143</v>
      </c>
      <c r="I2916" t="s">
        <v>267</v>
      </c>
      <c r="J2916" t="s">
        <v>145</v>
      </c>
      <c r="K2916" t="s">
        <v>146</v>
      </c>
      <c r="L2916" t="s">
        <v>6650</v>
      </c>
      <c r="N2916" t="s">
        <v>6651</v>
      </c>
      <c r="O2916" t="s">
        <v>268</v>
      </c>
      <c r="R2916" t="s">
        <v>6656</v>
      </c>
      <c r="S2916" t="s">
        <v>2864</v>
      </c>
      <c r="V2916" t="s">
        <v>2855</v>
      </c>
      <c r="W2916" t="s">
        <v>2898</v>
      </c>
      <c r="X2916" t="s">
        <v>270</v>
      </c>
      <c r="AD2916" t="s">
        <v>6657</v>
      </c>
    </row>
    <row r="2917" spans="1:30" x14ac:dyDescent="0.25">
      <c r="A2917" t="s">
        <v>33</v>
      </c>
      <c r="D2917" t="s">
        <v>2847</v>
      </c>
      <c r="E2917" t="s">
        <v>2893</v>
      </c>
      <c r="F2917" t="s">
        <v>78</v>
      </c>
      <c r="G2917" t="s">
        <v>6649</v>
      </c>
      <c r="H2917" t="s">
        <v>143</v>
      </c>
      <c r="I2917" t="s">
        <v>295</v>
      </c>
      <c r="J2917" t="s">
        <v>145</v>
      </c>
      <c r="K2917" t="s">
        <v>146</v>
      </c>
      <c r="L2917" t="s">
        <v>6650</v>
      </c>
      <c r="M2917" t="s">
        <v>82</v>
      </c>
      <c r="N2917" t="s">
        <v>6651</v>
      </c>
      <c r="O2917" t="s">
        <v>296</v>
      </c>
      <c r="R2917" t="s">
        <v>6658</v>
      </c>
      <c r="S2917" t="s">
        <v>2864</v>
      </c>
      <c r="V2917" t="s">
        <v>2855</v>
      </c>
      <c r="W2917" t="s">
        <v>2898</v>
      </c>
      <c r="AD2917" t="s">
        <v>6659</v>
      </c>
    </row>
    <row r="2918" spans="1:30" x14ac:dyDescent="0.25">
      <c r="A2918" t="s">
        <v>33</v>
      </c>
      <c r="D2918" t="s">
        <v>2847</v>
      </c>
      <c r="E2918" t="s">
        <v>2893</v>
      </c>
      <c r="F2918" t="s">
        <v>78</v>
      </c>
      <c r="G2918" t="s">
        <v>6649</v>
      </c>
      <c r="H2918" t="s">
        <v>143</v>
      </c>
      <c r="I2918" t="s">
        <v>299</v>
      </c>
      <c r="J2918" t="s">
        <v>145</v>
      </c>
      <c r="K2918" t="s">
        <v>146</v>
      </c>
      <c r="L2918" t="s">
        <v>6650</v>
      </c>
      <c r="M2918" t="s">
        <v>82</v>
      </c>
      <c r="N2918" t="s">
        <v>6651</v>
      </c>
      <c r="O2918" t="s">
        <v>300</v>
      </c>
      <c r="R2918" t="s">
        <v>6660</v>
      </c>
      <c r="S2918" t="s">
        <v>2864</v>
      </c>
      <c r="V2918" t="s">
        <v>2855</v>
      </c>
      <c r="W2918" t="s">
        <v>2898</v>
      </c>
      <c r="AD2918" t="s">
        <v>6661</v>
      </c>
    </row>
    <row r="2919" spans="1:30" x14ac:dyDescent="0.25">
      <c r="A2919" t="s">
        <v>33</v>
      </c>
      <c r="D2919" t="s">
        <v>2847</v>
      </c>
      <c r="E2919" t="s">
        <v>2893</v>
      </c>
      <c r="F2919" t="s">
        <v>78</v>
      </c>
      <c r="G2919" t="s">
        <v>6649</v>
      </c>
      <c r="H2919" t="s">
        <v>38</v>
      </c>
      <c r="I2919" t="s">
        <v>257</v>
      </c>
      <c r="J2919" t="s">
        <v>40</v>
      </c>
      <c r="K2919" t="s">
        <v>41</v>
      </c>
      <c r="L2919" t="s">
        <v>6650</v>
      </c>
      <c r="M2919" t="s">
        <v>82</v>
      </c>
      <c r="N2919" t="s">
        <v>6651</v>
      </c>
      <c r="O2919" t="s">
        <v>258</v>
      </c>
      <c r="R2919" t="s">
        <v>6662</v>
      </c>
      <c r="S2919" t="s">
        <v>2864</v>
      </c>
      <c r="V2919" t="s">
        <v>2855</v>
      </c>
      <c r="W2919" t="s">
        <v>2898</v>
      </c>
      <c r="AD2919" t="s">
        <v>6663</v>
      </c>
    </row>
    <row r="2920" spans="1:30" x14ac:dyDescent="0.25">
      <c r="A2920" t="s">
        <v>33</v>
      </c>
      <c r="D2920" t="s">
        <v>2847</v>
      </c>
      <c r="E2920" t="s">
        <v>2893</v>
      </c>
      <c r="F2920" t="s">
        <v>78</v>
      </c>
      <c r="G2920" t="s">
        <v>6649</v>
      </c>
      <c r="H2920" t="s">
        <v>38</v>
      </c>
      <c r="I2920" t="s">
        <v>250</v>
      </c>
      <c r="J2920" t="s">
        <v>40</v>
      </c>
      <c r="K2920" t="s">
        <v>41</v>
      </c>
      <c r="L2920" t="s">
        <v>6650</v>
      </c>
      <c r="M2920" t="s">
        <v>3483</v>
      </c>
      <c r="N2920" t="s">
        <v>6651</v>
      </c>
      <c r="O2920" t="s">
        <v>254</v>
      </c>
      <c r="R2920" t="s">
        <v>6664</v>
      </c>
      <c r="S2920" t="s">
        <v>2864</v>
      </c>
      <c r="V2920" t="s">
        <v>2855</v>
      </c>
      <c r="W2920" t="s">
        <v>2898</v>
      </c>
      <c r="X2920" t="s">
        <v>963</v>
      </c>
      <c r="AD2920" t="s">
        <v>6665</v>
      </c>
    </row>
    <row r="2921" spans="1:30" x14ac:dyDescent="0.25">
      <c r="A2921" t="s">
        <v>33</v>
      </c>
      <c r="D2921" t="s">
        <v>2847</v>
      </c>
      <c r="E2921" t="s">
        <v>2893</v>
      </c>
      <c r="F2921" t="s">
        <v>78</v>
      </c>
      <c r="G2921" t="s">
        <v>6649</v>
      </c>
      <c r="H2921" t="s">
        <v>143</v>
      </c>
      <c r="I2921" t="s">
        <v>257</v>
      </c>
      <c r="J2921" t="s">
        <v>145</v>
      </c>
      <c r="K2921" t="s">
        <v>146</v>
      </c>
      <c r="L2921" t="s">
        <v>6650</v>
      </c>
      <c r="M2921" t="s">
        <v>82</v>
      </c>
      <c r="N2921" t="s">
        <v>6651</v>
      </c>
      <c r="O2921" t="s">
        <v>292</v>
      </c>
      <c r="R2921" t="s">
        <v>6666</v>
      </c>
      <c r="S2921" t="s">
        <v>2864</v>
      </c>
      <c r="V2921" t="s">
        <v>2855</v>
      </c>
      <c r="W2921" t="s">
        <v>2898</v>
      </c>
      <c r="AD2921" t="s">
        <v>6667</v>
      </c>
    </row>
    <row r="2922" spans="1:30" x14ac:dyDescent="0.25">
      <c r="A2922" t="s">
        <v>33</v>
      </c>
      <c r="D2922" t="s">
        <v>2847</v>
      </c>
      <c r="E2922" t="s">
        <v>2893</v>
      </c>
      <c r="F2922" t="s">
        <v>78</v>
      </c>
      <c r="G2922" t="s">
        <v>6649</v>
      </c>
      <c r="H2922" t="s">
        <v>143</v>
      </c>
      <c r="I2922" t="s">
        <v>261</v>
      </c>
      <c r="J2922" t="s">
        <v>145</v>
      </c>
      <c r="K2922" t="s">
        <v>262</v>
      </c>
      <c r="L2922" t="s">
        <v>6650</v>
      </c>
      <c r="M2922" t="s">
        <v>3483</v>
      </c>
      <c r="N2922" t="s">
        <v>6651</v>
      </c>
      <c r="O2922" t="s">
        <v>263</v>
      </c>
      <c r="R2922" t="s">
        <v>6668</v>
      </c>
      <c r="S2922" t="s">
        <v>2864</v>
      </c>
      <c r="V2922" t="s">
        <v>2855</v>
      </c>
      <c r="W2922" t="s">
        <v>2898</v>
      </c>
      <c r="X2922" t="s">
        <v>963</v>
      </c>
      <c r="AD2922" t="s">
        <v>6669</v>
      </c>
    </row>
    <row r="2923" spans="1:30" x14ac:dyDescent="0.25">
      <c r="A2923" t="s">
        <v>33</v>
      </c>
      <c r="D2923" t="s">
        <v>2847</v>
      </c>
      <c r="E2923" t="s">
        <v>2893</v>
      </c>
      <c r="F2923" t="s">
        <v>78</v>
      </c>
      <c r="G2923" t="s">
        <v>6649</v>
      </c>
      <c r="H2923" t="s">
        <v>280</v>
      </c>
      <c r="I2923" t="s">
        <v>281</v>
      </c>
      <c r="J2923" t="s">
        <v>282</v>
      </c>
      <c r="K2923" t="s">
        <v>283</v>
      </c>
      <c r="L2923" t="s">
        <v>6650</v>
      </c>
      <c r="N2923" t="s">
        <v>6651</v>
      </c>
      <c r="O2923" t="s">
        <v>284</v>
      </c>
      <c r="Q2923" t="s">
        <v>285</v>
      </c>
      <c r="R2923" t="s">
        <v>6670</v>
      </c>
      <c r="S2923" t="s">
        <v>2864</v>
      </c>
      <c r="V2923" t="s">
        <v>2855</v>
      </c>
      <c r="W2923" t="s">
        <v>2898</v>
      </c>
      <c r="AD2923" t="s">
        <v>6671</v>
      </c>
    </row>
    <row r="2924" spans="1:30" x14ac:dyDescent="0.25">
      <c r="A2924" t="s">
        <v>33</v>
      </c>
      <c r="D2924" t="s">
        <v>2847</v>
      </c>
      <c r="E2924" t="s">
        <v>2893</v>
      </c>
      <c r="F2924" t="s">
        <v>78</v>
      </c>
      <c r="G2924" t="s">
        <v>6649</v>
      </c>
      <c r="H2924" t="s">
        <v>143</v>
      </c>
      <c r="I2924" t="s">
        <v>261</v>
      </c>
      <c r="J2924" t="s">
        <v>145</v>
      </c>
      <c r="K2924" t="s">
        <v>146</v>
      </c>
      <c r="L2924" t="s">
        <v>6650</v>
      </c>
      <c r="M2924" t="s">
        <v>3483</v>
      </c>
      <c r="N2924" t="s">
        <v>6651</v>
      </c>
      <c r="O2924" t="s">
        <v>263</v>
      </c>
      <c r="R2924" t="s">
        <v>6672</v>
      </c>
      <c r="S2924" t="s">
        <v>2864</v>
      </c>
      <c r="V2924" t="s">
        <v>2855</v>
      </c>
      <c r="W2924" t="s">
        <v>2898</v>
      </c>
      <c r="X2924" t="s">
        <v>963</v>
      </c>
      <c r="AD2924" t="s">
        <v>6669</v>
      </c>
    </row>
    <row r="2925" spans="1:30" x14ac:dyDescent="0.25">
      <c r="A2925" t="s">
        <v>33</v>
      </c>
      <c r="D2925" t="s">
        <v>2847</v>
      </c>
      <c r="E2925" t="s">
        <v>2893</v>
      </c>
      <c r="F2925" t="s">
        <v>78</v>
      </c>
      <c r="G2925" t="s">
        <v>6673</v>
      </c>
      <c r="H2925" t="s">
        <v>143</v>
      </c>
      <c r="I2925" t="s">
        <v>276</v>
      </c>
      <c r="J2925" t="s">
        <v>145</v>
      </c>
      <c r="K2925" t="s">
        <v>146</v>
      </c>
      <c r="L2925" t="s">
        <v>6674</v>
      </c>
      <c r="N2925" t="s">
        <v>6675</v>
      </c>
      <c r="O2925" t="s">
        <v>277</v>
      </c>
      <c r="R2925" t="s">
        <v>6676</v>
      </c>
      <c r="S2925" t="s">
        <v>2864</v>
      </c>
      <c r="V2925" t="s">
        <v>2855</v>
      </c>
      <c r="W2925" t="s">
        <v>2898</v>
      </c>
      <c r="X2925" t="s">
        <v>270</v>
      </c>
      <c r="AD2925" t="s">
        <v>6677</v>
      </c>
    </row>
    <row r="2926" spans="1:30" x14ac:dyDescent="0.25">
      <c r="A2926" t="s">
        <v>33</v>
      </c>
      <c r="D2926" t="s">
        <v>2847</v>
      </c>
      <c r="E2926" t="s">
        <v>2893</v>
      </c>
      <c r="F2926" t="s">
        <v>78</v>
      </c>
      <c r="G2926" t="s">
        <v>6673</v>
      </c>
      <c r="H2926" t="s">
        <v>143</v>
      </c>
      <c r="I2926" t="s">
        <v>272</v>
      </c>
      <c r="J2926" t="s">
        <v>145</v>
      </c>
      <c r="K2926" t="s">
        <v>146</v>
      </c>
      <c r="L2926" t="s">
        <v>6674</v>
      </c>
      <c r="N2926" t="s">
        <v>6675</v>
      </c>
      <c r="O2926" t="s">
        <v>273</v>
      </c>
      <c r="R2926" t="s">
        <v>6678</v>
      </c>
      <c r="S2926" t="s">
        <v>2864</v>
      </c>
      <c r="V2926" t="s">
        <v>2855</v>
      </c>
      <c r="W2926" t="s">
        <v>2898</v>
      </c>
      <c r="X2926" t="s">
        <v>270</v>
      </c>
      <c r="AD2926" t="s">
        <v>6679</v>
      </c>
    </row>
    <row r="2927" spans="1:30" x14ac:dyDescent="0.25">
      <c r="A2927" t="s">
        <v>33</v>
      </c>
      <c r="D2927" t="s">
        <v>2847</v>
      </c>
      <c r="E2927" t="s">
        <v>2893</v>
      </c>
      <c r="F2927" t="s">
        <v>78</v>
      </c>
      <c r="G2927" t="s">
        <v>6673</v>
      </c>
      <c r="H2927" t="s">
        <v>143</v>
      </c>
      <c r="I2927" t="s">
        <v>267</v>
      </c>
      <c r="J2927" t="s">
        <v>145</v>
      </c>
      <c r="K2927" t="s">
        <v>146</v>
      </c>
      <c r="L2927" t="s">
        <v>6674</v>
      </c>
      <c r="N2927" t="s">
        <v>6675</v>
      </c>
      <c r="O2927" t="s">
        <v>268</v>
      </c>
      <c r="R2927" t="s">
        <v>6680</v>
      </c>
      <c r="S2927" t="s">
        <v>2864</v>
      </c>
      <c r="V2927" t="s">
        <v>2855</v>
      </c>
      <c r="W2927" t="s">
        <v>2898</v>
      </c>
      <c r="X2927" t="s">
        <v>270</v>
      </c>
      <c r="AD2927" t="s">
        <v>6681</v>
      </c>
    </row>
    <row r="2928" spans="1:30" x14ac:dyDescent="0.25">
      <c r="A2928" t="s">
        <v>33</v>
      </c>
      <c r="D2928" t="s">
        <v>2847</v>
      </c>
      <c r="E2928" t="s">
        <v>2893</v>
      </c>
      <c r="F2928" t="s">
        <v>78</v>
      </c>
      <c r="G2928" t="s">
        <v>6673</v>
      </c>
      <c r="H2928" t="s">
        <v>143</v>
      </c>
      <c r="I2928" t="s">
        <v>295</v>
      </c>
      <c r="J2928" t="s">
        <v>745</v>
      </c>
      <c r="K2928" t="s">
        <v>262</v>
      </c>
      <c r="L2928" t="s">
        <v>6674</v>
      </c>
      <c r="M2928" t="s">
        <v>82</v>
      </c>
      <c r="N2928" t="s">
        <v>6675</v>
      </c>
      <c r="O2928" t="s">
        <v>296</v>
      </c>
      <c r="R2928" t="s">
        <v>6682</v>
      </c>
      <c r="S2928" t="s">
        <v>2864</v>
      </c>
      <c r="V2928" t="s">
        <v>2855</v>
      </c>
      <c r="W2928" t="s">
        <v>2898</v>
      </c>
      <c r="AD2928" t="s">
        <v>6683</v>
      </c>
    </row>
    <row r="2929" spans="1:32" x14ac:dyDescent="0.25">
      <c r="A2929" t="s">
        <v>33</v>
      </c>
      <c r="D2929" t="s">
        <v>2847</v>
      </c>
      <c r="E2929" t="s">
        <v>2893</v>
      </c>
      <c r="F2929" t="s">
        <v>866</v>
      </c>
      <c r="G2929" t="s">
        <v>6527</v>
      </c>
      <c r="H2929" t="s">
        <v>166</v>
      </c>
      <c r="I2929" t="s">
        <v>216</v>
      </c>
      <c r="J2929" t="s">
        <v>167</v>
      </c>
      <c r="K2929" t="s">
        <v>41</v>
      </c>
      <c r="L2929" t="s">
        <v>6528</v>
      </c>
      <c r="N2929" t="s">
        <v>6509</v>
      </c>
      <c r="O2929" t="s">
        <v>872</v>
      </c>
      <c r="Q2929" t="s">
        <v>873</v>
      </c>
      <c r="R2929" t="s">
        <v>6684</v>
      </c>
      <c r="S2929" t="s">
        <v>2864</v>
      </c>
      <c r="V2929" t="s">
        <v>2855</v>
      </c>
      <c r="W2929" t="s">
        <v>2898</v>
      </c>
      <c r="AD2929" t="s">
        <v>6532</v>
      </c>
    </row>
    <row r="2930" spans="1:32" x14ac:dyDescent="0.25">
      <c r="A2930" t="s">
        <v>33</v>
      </c>
      <c r="D2930" t="s">
        <v>2847</v>
      </c>
      <c r="E2930" t="s">
        <v>2893</v>
      </c>
      <c r="F2930" t="s">
        <v>866</v>
      </c>
      <c r="G2930" t="s">
        <v>6527</v>
      </c>
      <c r="H2930" t="s">
        <v>166</v>
      </c>
      <c r="I2930" t="s">
        <v>281</v>
      </c>
      <c r="J2930" t="s">
        <v>167</v>
      </c>
      <c r="K2930" t="s">
        <v>41</v>
      </c>
      <c r="L2930" t="s">
        <v>6528</v>
      </c>
      <c r="N2930" t="s">
        <v>6509</v>
      </c>
      <c r="O2930" t="s">
        <v>858</v>
      </c>
      <c r="Q2930" t="s">
        <v>2536</v>
      </c>
      <c r="R2930" t="s">
        <v>6685</v>
      </c>
      <c r="S2930" t="s">
        <v>2864</v>
      </c>
      <c r="V2930" t="s">
        <v>2855</v>
      </c>
      <c r="W2930" t="s">
        <v>2898</v>
      </c>
      <c r="AD2930" t="s">
        <v>6534</v>
      </c>
    </row>
    <row r="2931" spans="1:32" x14ac:dyDescent="0.25">
      <c r="A2931" t="s">
        <v>33</v>
      </c>
      <c r="D2931" t="s">
        <v>2847</v>
      </c>
      <c r="E2931" t="s">
        <v>2893</v>
      </c>
      <c r="F2931" t="s">
        <v>866</v>
      </c>
      <c r="G2931" t="s">
        <v>6527</v>
      </c>
      <c r="H2931" t="s">
        <v>280</v>
      </c>
      <c r="I2931" t="s">
        <v>3311</v>
      </c>
      <c r="J2931" t="s">
        <v>282</v>
      </c>
      <c r="K2931" t="s">
        <v>283</v>
      </c>
      <c r="L2931" t="s">
        <v>6528</v>
      </c>
      <c r="N2931" t="s">
        <v>6509</v>
      </c>
      <c r="O2931" t="s">
        <v>3312</v>
      </c>
      <c r="Q2931" t="s">
        <v>3313</v>
      </c>
      <c r="R2931" t="s">
        <v>6686</v>
      </c>
      <c r="S2931" t="s">
        <v>2864</v>
      </c>
      <c r="V2931" t="s">
        <v>2855</v>
      </c>
      <c r="W2931" t="s">
        <v>2898</v>
      </c>
      <c r="AD2931" t="s">
        <v>6536</v>
      </c>
    </row>
    <row r="2932" spans="1:32" x14ac:dyDescent="0.25">
      <c r="A2932" t="s">
        <v>33</v>
      </c>
      <c r="D2932" t="s">
        <v>2847</v>
      </c>
      <c r="E2932" t="s">
        <v>2893</v>
      </c>
      <c r="F2932" t="s">
        <v>866</v>
      </c>
      <c r="G2932" t="s">
        <v>6687</v>
      </c>
      <c r="H2932" t="s">
        <v>153</v>
      </c>
      <c r="I2932" t="s">
        <v>598</v>
      </c>
      <c r="J2932" t="s">
        <v>154</v>
      </c>
      <c r="K2932" t="s">
        <v>155</v>
      </c>
      <c r="L2932" t="s">
        <v>6688</v>
      </c>
      <c r="N2932" t="s">
        <v>6689</v>
      </c>
      <c r="O2932" t="s">
        <v>599</v>
      </c>
      <c r="R2932" t="s">
        <v>6690</v>
      </c>
      <c r="S2932" t="s">
        <v>2864</v>
      </c>
      <c r="V2932" t="s">
        <v>2855</v>
      </c>
      <c r="W2932" t="s">
        <v>2898</v>
      </c>
      <c r="AD2932" t="s">
        <v>6691</v>
      </c>
      <c r="AE2932" t="s">
        <v>5178</v>
      </c>
      <c r="AF2932">
        <v>1</v>
      </c>
    </row>
    <row r="2933" spans="1:32" x14ac:dyDescent="0.25">
      <c r="A2933" t="s">
        <v>33</v>
      </c>
      <c r="D2933" t="s">
        <v>2847</v>
      </c>
      <c r="E2933" t="s">
        <v>2893</v>
      </c>
      <c r="F2933" t="s">
        <v>866</v>
      </c>
      <c r="G2933" t="s">
        <v>6687</v>
      </c>
      <c r="H2933" t="s">
        <v>166</v>
      </c>
      <c r="I2933" t="s">
        <v>80</v>
      </c>
      <c r="J2933" t="s">
        <v>167</v>
      </c>
      <c r="K2933" t="s">
        <v>41</v>
      </c>
      <c r="L2933" t="s">
        <v>6688</v>
      </c>
      <c r="N2933" t="s">
        <v>6689</v>
      </c>
      <c r="O2933" t="s">
        <v>862</v>
      </c>
      <c r="Q2933" t="s">
        <v>863</v>
      </c>
      <c r="R2933" t="s">
        <v>6692</v>
      </c>
      <c r="S2933" t="s">
        <v>2864</v>
      </c>
      <c r="V2933" t="s">
        <v>2855</v>
      </c>
      <c r="W2933" t="s">
        <v>2898</v>
      </c>
      <c r="AD2933" t="s">
        <v>6693</v>
      </c>
    </row>
    <row r="2934" spans="1:32" x14ac:dyDescent="0.25">
      <c r="A2934" t="s">
        <v>33</v>
      </c>
      <c r="D2934" t="s">
        <v>2847</v>
      </c>
      <c r="E2934" t="s">
        <v>2893</v>
      </c>
      <c r="F2934" t="s">
        <v>866</v>
      </c>
      <c r="G2934" t="s">
        <v>6687</v>
      </c>
      <c r="H2934" t="s">
        <v>166</v>
      </c>
      <c r="I2934" t="s">
        <v>216</v>
      </c>
      <c r="J2934" t="s">
        <v>167</v>
      </c>
      <c r="K2934" t="s">
        <v>41</v>
      </c>
      <c r="L2934" t="s">
        <v>6688</v>
      </c>
      <c r="N2934" t="s">
        <v>6689</v>
      </c>
      <c r="O2934" t="s">
        <v>872</v>
      </c>
      <c r="Q2934" t="s">
        <v>873</v>
      </c>
      <c r="R2934" t="s">
        <v>6694</v>
      </c>
      <c r="S2934" t="s">
        <v>2864</v>
      </c>
      <c r="V2934" t="s">
        <v>2855</v>
      </c>
      <c r="W2934" t="s">
        <v>2898</v>
      </c>
      <c r="AD2934" t="s">
        <v>6695</v>
      </c>
    </row>
    <row r="2935" spans="1:32" x14ac:dyDescent="0.25">
      <c r="A2935" t="s">
        <v>33</v>
      </c>
      <c r="D2935" t="s">
        <v>2847</v>
      </c>
      <c r="E2935" t="s">
        <v>2893</v>
      </c>
      <c r="F2935" t="s">
        <v>866</v>
      </c>
      <c r="G2935" t="s">
        <v>6687</v>
      </c>
      <c r="H2935" t="s">
        <v>166</v>
      </c>
      <c r="I2935" t="s">
        <v>281</v>
      </c>
      <c r="J2935" t="s">
        <v>167</v>
      </c>
      <c r="K2935" t="s">
        <v>41</v>
      </c>
      <c r="L2935" t="s">
        <v>6688</v>
      </c>
      <c r="N2935" t="s">
        <v>6689</v>
      </c>
      <c r="O2935" t="s">
        <v>858</v>
      </c>
      <c r="Q2935" t="s">
        <v>2536</v>
      </c>
      <c r="R2935" t="s">
        <v>6696</v>
      </c>
      <c r="S2935" t="s">
        <v>2864</v>
      </c>
      <c r="V2935" t="s">
        <v>2855</v>
      </c>
      <c r="W2935" t="s">
        <v>2898</v>
      </c>
      <c r="AD2935" t="s">
        <v>6697</v>
      </c>
    </row>
    <row r="2936" spans="1:32" x14ac:dyDescent="0.25">
      <c r="A2936" t="s">
        <v>33</v>
      </c>
      <c r="D2936" t="s">
        <v>2847</v>
      </c>
      <c r="E2936" t="s">
        <v>2893</v>
      </c>
      <c r="F2936" t="s">
        <v>866</v>
      </c>
      <c r="G2936" t="s">
        <v>6687</v>
      </c>
      <c r="H2936" t="s">
        <v>143</v>
      </c>
      <c r="I2936" t="s">
        <v>2087</v>
      </c>
      <c r="J2936" t="s">
        <v>145</v>
      </c>
      <c r="K2936" t="s">
        <v>146</v>
      </c>
      <c r="L2936" t="s">
        <v>6688</v>
      </c>
      <c r="M2936" t="s">
        <v>176</v>
      </c>
      <c r="N2936" t="s">
        <v>6689</v>
      </c>
      <c r="O2936" t="s">
        <v>2088</v>
      </c>
      <c r="R2936" t="s">
        <v>6698</v>
      </c>
      <c r="S2936" t="s">
        <v>2864</v>
      </c>
      <c r="V2936" t="s">
        <v>2855</v>
      </c>
      <c r="W2936" t="s">
        <v>2898</v>
      </c>
      <c r="AD2936" t="s">
        <v>6699</v>
      </c>
    </row>
    <row r="2937" spans="1:32" x14ac:dyDescent="0.25">
      <c r="A2937" t="s">
        <v>33</v>
      </c>
      <c r="D2937" t="s">
        <v>2847</v>
      </c>
      <c r="E2937" t="s">
        <v>2893</v>
      </c>
      <c r="F2937" t="s">
        <v>866</v>
      </c>
      <c r="G2937" t="s">
        <v>6687</v>
      </c>
      <c r="H2937" t="s">
        <v>143</v>
      </c>
      <c r="I2937" t="s">
        <v>1147</v>
      </c>
      <c r="J2937" t="s">
        <v>145</v>
      </c>
      <c r="K2937" t="s">
        <v>146</v>
      </c>
      <c r="L2937" t="s">
        <v>6688</v>
      </c>
      <c r="M2937" t="s">
        <v>176</v>
      </c>
      <c r="N2937" t="s">
        <v>6689</v>
      </c>
      <c r="O2937" t="s">
        <v>2091</v>
      </c>
      <c r="R2937" t="s">
        <v>6700</v>
      </c>
      <c r="S2937" t="s">
        <v>2864</v>
      </c>
      <c r="V2937" t="s">
        <v>2855</v>
      </c>
      <c r="W2937" t="s">
        <v>2898</v>
      </c>
      <c r="AD2937" t="s">
        <v>6701</v>
      </c>
    </row>
    <row r="2938" spans="1:32" x14ac:dyDescent="0.25">
      <c r="A2938" t="s">
        <v>33</v>
      </c>
      <c r="D2938" t="s">
        <v>2847</v>
      </c>
      <c r="E2938" t="s">
        <v>2893</v>
      </c>
      <c r="F2938" t="s">
        <v>866</v>
      </c>
      <c r="G2938" t="s">
        <v>6687</v>
      </c>
      <c r="H2938" t="s">
        <v>280</v>
      </c>
      <c r="I2938" t="s">
        <v>3311</v>
      </c>
      <c r="J2938" t="s">
        <v>282</v>
      </c>
      <c r="K2938" t="s">
        <v>283</v>
      </c>
      <c r="L2938" t="s">
        <v>6688</v>
      </c>
      <c r="N2938" t="s">
        <v>6689</v>
      </c>
      <c r="O2938" t="s">
        <v>3312</v>
      </c>
      <c r="Q2938" t="s">
        <v>3313</v>
      </c>
      <c r="R2938" t="s">
        <v>6702</v>
      </c>
      <c r="S2938" t="s">
        <v>2864</v>
      </c>
      <c r="V2938" t="s">
        <v>2855</v>
      </c>
      <c r="W2938" t="s">
        <v>2898</v>
      </c>
      <c r="AD2938" t="s">
        <v>6703</v>
      </c>
    </row>
    <row r="2939" spans="1:32" x14ac:dyDescent="0.25">
      <c r="A2939" t="s">
        <v>33</v>
      </c>
      <c r="D2939" t="s">
        <v>2847</v>
      </c>
      <c r="E2939" t="s">
        <v>2848</v>
      </c>
      <c r="F2939" t="s">
        <v>87</v>
      </c>
      <c r="G2939" t="s">
        <v>6182</v>
      </c>
      <c r="H2939" t="s">
        <v>143</v>
      </c>
      <c r="I2939" t="s">
        <v>90</v>
      </c>
      <c r="J2939" t="s">
        <v>145</v>
      </c>
      <c r="K2939" t="s">
        <v>146</v>
      </c>
      <c r="L2939" t="s">
        <v>6183</v>
      </c>
      <c r="M2939" t="s">
        <v>5968</v>
      </c>
      <c r="N2939" t="s">
        <v>6184</v>
      </c>
      <c r="O2939" t="s">
        <v>380</v>
      </c>
      <c r="R2939" t="s">
        <v>6704</v>
      </c>
      <c r="S2939" t="s">
        <v>2854</v>
      </c>
      <c r="V2939" t="s">
        <v>2855</v>
      </c>
      <c r="W2939" t="s">
        <v>2856</v>
      </c>
      <c r="AD2939" t="s">
        <v>6705</v>
      </c>
    </row>
    <row r="2940" spans="1:32" x14ac:dyDescent="0.25">
      <c r="A2940" t="s">
        <v>33</v>
      </c>
      <c r="D2940" t="s">
        <v>2847</v>
      </c>
      <c r="E2940" t="s">
        <v>2848</v>
      </c>
      <c r="F2940" t="s">
        <v>87</v>
      </c>
      <c r="G2940" t="s">
        <v>6182</v>
      </c>
      <c r="H2940" t="s">
        <v>143</v>
      </c>
      <c r="I2940" t="s">
        <v>90</v>
      </c>
      <c r="J2940" t="s">
        <v>145</v>
      </c>
      <c r="K2940" t="s">
        <v>262</v>
      </c>
      <c r="L2940" t="s">
        <v>6183</v>
      </c>
      <c r="M2940" t="s">
        <v>5968</v>
      </c>
      <c r="N2940" t="s">
        <v>6184</v>
      </c>
      <c r="O2940" t="s">
        <v>380</v>
      </c>
      <c r="R2940" t="s">
        <v>6706</v>
      </c>
      <c r="S2940" t="s">
        <v>2854</v>
      </c>
      <c r="V2940" t="s">
        <v>2855</v>
      </c>
      <c r="W2940" t="s">
        <v>2856</v>
      </c>
      <c r="AD2940" t="s">
        <v>6705</v>
      </c>
    </row>
    <row r="2941" spans="1:32" x14ac:dyDescent="0.25">
      <c r="A2941" t="s">
        <v>33</v>
      </c>
      <c r="D2941" t="s">
        <v>2847</v>
      </c>
      <c r="E2941" t="s">
        <v>2848</v>
      </c>
      <c r="F2941" t="s">
        <v>87</v>
      </c>
      <c r="G2941" t="s">
        <v>6182</v>
      </c>
      <c r="H2941" t="s">
        <v>38</v>
      </c>
      <c r="I2941" t="s">
        <v>106</v>
      </c>
      <c r="J2941" t="s">
        <v>40</v>
      </c>
      <c r="K2941" t="s">
        <v>41</v>
      </c>
      <c r="L2941" t="s">
        <v>6183</v>
      </c>
      <c r="M2941" t="s">
        <v>5968</v>
      </c>
      <c r="N2941" t="s">
        <v>6184</v>
      </c>
      <c r="O2941" t="s">
        <v>109</v>
      </c>
      <c r="R2941" t="s">
        <v>6707</v>
      </c>
      <c r="S2941" t="s">
        <v>2854</v>
      </c>
      <c r="V2941" t="s">
        <v>2855</v>
      </c>
      <c r="W2941" t="s">
        <v>2856</v>
      </c>
      <c r="AD2941" t="s">
        <v>6708</v>
      </c>
    </row>
    <row r="2942" spans="1:32" x14ac:dyDescent="0.25">
      <c r="A2942" t="s">
        <v>33</v>
      </c>
      <c r="D2942" t="s">
        <v>2847</v>
      </c>
      <c r="E2942" t="s">
        <v>2848</v>
      </c>
      <c r="F2942" t="s">
        <v>87</v>
      </c>
      <c r="G2942" t="s">
        <v>6182</v>
      </c>
      <c r="H2942" t="s">
        <v>38</v>
      </c>
      <c r="I2942" t="s">
        <v>25</v>
      </c>
      <c r="J2942" t="s">
        <v>69</v>
      </c>
      <c r="K2942" t="s">
        <v>41</v>
      </c>
      <c r="L2942" t="s">
        <v>6183</v>
      </c>
      <c r="M2942" t="s">
        <v>5968</v>
      </c>
      <c r="N2942" t="s">
        <v>6184</v>
      </c>
      <c r="O2942" t="s">
        <v>512</v>
      </c>
      <c r="R2942" t="s">
        <v>2259</v>
      </c>
      <c r="S2942" t="s">
        <v>2854</v>
      </c>
      <c r="V2942" t="s">
        <v>2855</v>
      </c>
      <c r="W2942" t="s">
        <v>2856</v>
      </c>
      <c r="AD2942" t="s">
        <v>6709</v>
      </c>
    </row>
    <row r="2943" spans="1:32" x14ac:dyDescent="0.25">
      <c r="A2943" t="s">
        <v>33</v>
      </c>
      <c r="D2943" t="s">
        <v>2847</v>
      </c>
      <c r="E2943" t="s">
        <v>2848</v>
      </c>
      <c r="F2943" t="s">
        <v>87</v>
      </c>
      <c r="G2943" t="s">
        <v>6182</v>
      </c>
      <c r="H2943" t="s">
        <v>38</v>
      </c>
      <c r="I2943" t="s">
        <v>24</v>
      </c>
      <c r="J2943" t="s">
        <v>69</v>
      </c>
      <c r="K2943" t="s">
        <v>41</v>
      </c>
      <c r="L2943" t="s">
        <v>6183</v>
      </c>
      <c r="M2943" t="s">
        <v>5968</v>
      </c>
      <c r="N2943" t="s">
        <v>6184</v>
      </c>
      <c r="O2943" t="s">
        <v>509</v>
      </c>
      <c r="R2943" t="s">
        <v>2260</v>
      </c>
      <c r="S2943" t="s">
        <v>2854</v>
      </c>
      <c r="V2943" t="s">
        <v>2855</v>
      </c>
      <c r="W2943" t="s">
        <v>2856</v>
      </c>
      <c r="AD2943" t="s">
        <v>6710</v>
      </c>
    </row>
    <row r="2944" spans="1:32" x14ac:dyDescent="0.25">
      <c r="A2944" t="s">
        <v>33</v>
      </c>
      <c r="D2944" t="s">
        <v>2847</v>
      </c>
      <c r="E2944" t="s">
        <v>2848</v>
      </c>
      <c r="F2944" t="s">
        <v>87</v>
      </c>
      <c r="G2944" t="s">
        <v>6711</v>
      </c>
      <c r="H2944" t="s">
        <v>153</v>
      </c>
      <c r="I2944" t="s">
        <v>144</v>
      </c>
      <c r="J2944" t="s">
        <v>154</v>
      </c>
      <c r="K2944" t="s">
        <v>155</v>
      </c>
      <c r="L2944" t="s">
        <v>6712</v>
      </c>
      <c r="N2944" t="s">
        <v>6713</v>
      </c>
      <c r="O2944" t="s">
        <v>156</v>
      </c>
      <c r="R2944" t="s">
        <v>6714</v>
      </c>
      <c r="S2944" t="s">
        <v>2854</v>
      </c>
      <c r="V2944" t="s">
        <v>2855</v>
      </c>
      <c r="W2944" t="s">
        <v>2856</v>
      </c>
      <c r="AD2944" t="s">
        <v>6715</v>
      </c>
    </row>
    <row r="2945" spans="1:32" x14ac:dyDescent="0.25">
      <c r="A2945" t="s">
        <v>33</v>
      </c>
      <c r="D2945" t="s">
        <v>2847</v>
      </c>
      <c r="E2945" t="s">
        <v>2848</v>
      </c>
      <c r="F2945" t="s">
        <v>87</v>
      </c>
      <c r="G2945" t="s">
        <v>6711</v>
      </c>
      <c r="H2945" t="s">
        <v>89</v>
      </c>
      <c r="I2945" t="s">
        <v>144</v>
      </c>
      <c r="J2945" t="s">
        <v>91</v>
      </c>
      <c r="K2945" t="s">
        <v>92</v>
      </c>
      <c r="L2945" t="s">
        <v>6712</v>
      </c>
      <c r="M2945" t="s">
        <v>94</v>
      </c>
      <c r="N2945" t="s">
        <v>6713</v>
      </c>
      <c r="O2945" t="s">
        <v>150</v>
      </c>
      <c r="P2945">
        <v>1E-3</v>
      </c>
      <c r="R2945" t="s">
        <v>6716</v>
      </c>
      <c r="S2945" t="s">
        <v>2854</v>
      </c>
      <c r="V2945" t="s">
        <v>2855</v>
      </c>
      <c r="W2945" t="s">
        <v>2856</v>
      </c>
      <c r="AD2945" t="s">
        <v>6717</v>
      </c>
    </row>
    <row r="2946" spans="1:32" x14ac:dyDescent="0.25">
      <c r="A2946" t="s">
        <v>33</v>
      </c>
      <c r="D2946" t="s">
        <v>2847</v>
      </c>
      <c r="E2946" t="s">
        <v>2848</v>
      </c>
      <c r="F2946" t="s">
        <v>87</v>
      </c>
      <c r="G2946" t="s">
        <v>6711</v>
      </c>
      <c r="H2946" t="s">
        <v>143</v>
      </c>
      <c r="I2946" t="s">
        <v>144</v>
      </c>
      <c r="J2946" t="s">
        <v>145</v>
      </c>
      <c r="K2946" t="s">
        <v>146</v>
      </c>
      <c r="L2946" t="s">
        <v>6712</v>
      </c>
      <c r="M2946" t="s">
        <v>1879</v>
      </c>
      <c r="N2946" t="s">
        <v>6713</v>
      </c>
      <c r="O2946" t="s">
        <v>147</v>
      </c>
      <c r="R2946" t="s">
        <v>6718</v>
      </c>
      <c r="S2946" t="s">
        <v>2854</v>
      </c>
      <c r="V2946" t="s">
        <v>2855</v>
      </c>
      <c r="W2946" t="s">
        <v>2856</v>
      </c>
      <c r="X2946" t="s">
        <v>1881</v>
      </c>
      <c r="AD2946" t="s">
        <v>6719</v>
      </c>
    </row>
    <row r="2947" spans="1:32" x14ac:dyDescent="0.25">
      <c r="A2947" t="s">
        <v>33</v>
      </c>
      <c r="D2947" t="s">
        <v>2847</v>
      </c>
      <c r="E2947" t="s">
        <v>2893</v>
      </c>
      <c r="F2947" t="s">
        <v>866</v>
      </c>
      <c r="G2947" t="s">
        <v>6605</v>
      </c>
      <c r="H2947" t="s">
        <v>153</v>
      </c>
      <c r="I2947" t="s">
        <v>598</v>
      </c>
      <c r="J2947" t="s">
        <v>154</v>
      </c>
      <c r="K2947" t="s">
        <v>155</v>
      </c>
      <c r="L2947" t="s">
        <v>6606</v>
      </c>
      <c r="N2947" t="s">
        <v>6607</v>
      </c>
      <c r="O2947" t="s">
        <v>599</v>
      </c>
      <c r="R2947" t="s">
        <v>6720</v>
      </c>
      <c r="S2947" t="s">
        <v>2864</v>
      </c>
      <c r="V2947" t="s">
        <v>2855</v>
      </c>
      <c r="W2947" t="s">
        <v>2898</v>
      </c>
      <c r="AD2947" t="s">
        <v>6721</v>
      </c>
      <c r="AE2947" t="s">
        <v>6722</v>
      </c>
      <c r="AF2947">
        <v>1</v>
      </c>
    </row>
    <row r="2948" spans="1:32" x14ac:dyDescent="0.25">
      <c r="A2948" t="s">
        <v>33</v>
      </c>
      <c r="D2948" t="s">
        <v>2847</v>
      </c>
      <c r="E2948" t="s">
        <v>2893</v>
      </c>
      <c r="F2948" t="s">
        <v>866</v>
      </c>
      <c r="G2948" t="s">
        <v>6605</v>
      </c>
      <c r="H2948" t="s">
        <v>166</v>
      </c>
      <c r="I2948" t="s">
        <v>1105</v>
      </c>
      <c r="J2948" t="s">
        <v>167</v>
      </c>
      <c r="K2948" t="s">
        <v>41</v>
      </c>
      <c r="L2948" t="s">
        <v>6606</v>
      </c>
      <c r="N2948" t="s">
        <v>6607</v>
      </c>
      <c r="O2948" t="s">
        <v>1106</v>
      </c>
      <c r="Q2948" t="s">
        <v>1107</v>
      </c>
      <c r="R2948" t="s">
        <v>6723</v>
      </c>
      <c r="S2948" t="s">
        <v>2864</v>
      </c>
      <c r="V2948" t="s">
        <v>2855</v>
      </c>
      <c r="W2948" t="s">
        <v>2898</v>
      </c>
      <c r="AD2948" t="s">
        <v>6724</v>
      </c>
    </row>
    <row r="2949" spans="1:32" x14ac:dyDescent="0.25">
      <c r="A2949" t="s">
        <v>33</v>
      </c>
      <c r="B2949" t="s">
        <v>2319</v>
      </c>
      <c r="D2949" t="s">
        <v>2847</v>
      </c>
      <c r="E2949" t="s">
        <v>2893</v>
      </c>
      <c r="F2949" t="s">
        <v>866</v>
      </c>
      <c r="G2949" t="s">
        <v>6725</v>
      </c>
      <c r="H2949" t="s">
        <v>166</v>
      </c>
      <c r="I2949" t="s">
        <v>1263</v>
      </c>
      <c r="J2949" t="s">
        <v>167</v>
      </c>
      <c r="K2949" t="s">
        <v>41</v>
      </c>
      <c r="L2949" t="s">
        <v>6726</v>
      </c>
      <c r="N2949" t="s">
        <v>6607</v>
      </c>
      <c r="O2949" t="s">
        <v>1264</v>
      </c>
      <c r="Q2949" t="s">
        <v>2541</v>
      </c>
      <c r="R2949" t="s">
        <v>1959</v>
      </c>
      <c r="S2949" t="s">
        <v>2864</v>
      </c>
      <c r="V2949" t="s">
        <v>2855</v>
      </c>
      <c r="W2949" t="s">
        <v>2898</v>
      </c>
      <c r="AD2949" t="s">
        <v>6608</v>
      </c>
    </row>
    <row r="2950" spans="1:32" x14ac:dyDescent="0.25">
      <c r="A2950" t="s">
        <v>33</v>
      </c>
      <c r="D2950" t="s">
        <v>2847</v>
      </c>
      <c r="E2950" t="s">
        <v>2893</v>
      </c>
      <c r="F2950" t="s">
        <v>866</v>
      </c>
      <c r="G2950" t="s">
        <v>6605</v>
      </c>
      <c r="H2950" t="s">
        <v>166</v>
      </c>
      <c r="I2950" t="s">
        <v>80</v>
      </c>
      <c r="J2950" t="s">
        <v>167</v>
      </c>
      <c r="K2950" t="s">
        <v>41</v>
      </c>
      <c r="L2950" t="s">
        <v>6606</v>
      </c>
      <c r="N2950" t="s">
        <v>6607</v>
      </c>
      <c r="O2950" t="s">
        <v>862</v>
      </c>
      <c r="Q2950" t="s">
        <v>863</v>
      </c>
      <c r="R2950" t="s">
        <v>6727</v>
      </c>
      <c r="S2950" t="s">
        <v>2864</v>
      </c>
      <c r="V2950" t="s">
        <v>2855</v>
      </c>
      <c r="W2950" t="s">
        <v>2898</v>
      </c>
      <c r="AD2950" t="s">
        <v>6728</v>
      </c>
    </row>
    <row r="2951" spans="1:32" x14ac:dyDescent="0.25">
      <c r="A2951" t="s">
        <v>33</v>
      </c>
      <c r="D2951" t="s">
        <v>2847</v>
      </c>
      <c r="E2951" t="s">
        <v>2893</v>
      </c>
      <c r="F2951" t="s">
        <v>866</v>
      </c>
      <c r="G2951" t="s">
        <v>6605</v>
      </c>
      <c r="H2951" t="s">
        <v>166</v>
      </c>
      <c r="I2951" t="s">
        <v>216</v>
      </c>
      <c r="J2951" t="s">
        <v>167</v>
      </c>
      <c r="K2951" t="s">
        <v>41</v>
      </c>
      <c r="L2951" t="s">
        <v>6606</v>
      </c>
      <c r="N2951" t="s">
        <v>6607</v>
      </c>
      <c r="O2951" t="s">
        <v>872</v>
      </c>
      <c r="Q2951" t="s">
        <v>873</v>
      </c>
      <c r="R2951" t="s">
        <v>6729</v>
      </c>
      <c r="S2951" t="s">
        <v>2864</v>
      </c>
      <c r="V2951" t="s">
        <v>2855</v>
      </c>
      <c r="W2951" t="s">
        <v>2898</v>
      </c>
      <c r="AD2951" t="s">
        <v>6730</v>
      </c>
    </row>
    <row r="2952" spans="1:32" x14ac:dyDescent="0.25">
      <c r="A2952" t="s">
        <v>33</v>
      </c>
      <c r="D2952" t="s">
        <v>2847</v>
      </c>
      <c r="E2952" t="s">
        <v>2893</v>
      </c>
      <c r="F2952" t="s">
        <v>866</v>
      </c>
      <c r="G2952" t="s">
        <v>6605</v>
      </c>
      <c r="H2952" t="s">
        <v>166</v>
      </c>
      <c r="I2952" t="s">
        <v>281</v>
      </c>
      <c r="J2952" t="s">
        <v>167</v>
      </c>
      <c r="K2952" t="s">
        <v>41</v>
      </c>
      <c r="L2952" t="s">
        <v>6606</v>
      </c>
      <c r="N2952" t="s">
        <v>6607</v>
      </c>
      <c r="O2952" t="s">
        <v>858</v>
      </c>
      <c r="Q2952" t="s">
        <v>2536</v>
      </c>
      <c r="R2952" t="s">
        <v>6731</v>
      </c>
      <c r="S2952" t="s">
        <v>2864</v>
      </c>
      <c r="V2952" t="s">
        <v>2855</v>
      </c>
      <c r="W2952" t="s">
        <v>2898</v>
      </c>
      <c r="AD2952" t="s">
        <v>6732</v>
      </c>
    </row>
    <row r="2953" spans="1:32" x14ac:dyDescent="0.25">
      <c r="A2953" t="s">
        <v>33</v>
      </c>
      <c r="D2953" t="s">
        <v>2847</v>
      </c>
      <c r="E2953" t="s">
        <v>2893</v>
      </c>
      <c r="F2953" t="s">
        <v>866</v>
      </c>
      <c r="G2953" t="s">
        <v>6605</v>
      </c>
      <c r="H2953" t="s">
        <v>280</v>
      </c>
      <c r="I2953" t="s">
        <v>3311</v>
      </c>
      <c r="J2953" t="s">
        <v>282</v>
      </c>
      <c r="K2953" t="s">
        <v>283</v>
      </c>
      <c r="L2953" t="s">
        <v>6606</v>
      </c>
      <c r="N2953" t="s">
        <v>6607</v>
      </c>
      <c r="O2953" t="s">
        <v>3312</v>
      </c>
      <c r="Q2953" t="s">
        <v>3313</v>
      </c>
      <c r="R2953" t="s">
        <v>6733</v>
      </c>
      <c r="S2953" t="s">
        <v>2864</v>
      </c>
      <c r="V2953" t="s">
        <v>2855</v>
      </c>
      <c r="W2953" t="s">
        <v>2898</v>
      </c>
      <c r="AD2953" t="s">
        <v>6734</v>
      </c>
    </row>
    <row r="2954" spans="1:32" x14ac:dyDescent="0.25">
      <c r="A2954" t="s">
        <v>33</v>
      </c>
      <c r="D2954" t="s">
        <v>2847</v>
      </c>
      <c r="E2954" t="s">
        <v>2893</v>
      </c>
      <c r="F2954" t="s">
        <v>866</v>
      </c>
      <c r="G2954" t="s">
        <v>6735</v>
      </c>
      <c r="H2954" t="s">
        <v>280</v>
      </c>
      <c r="I2954" t="s">
        <v>1263</v>
      </c>
      <c r="J2954" t="s">
        <v>282</v>
      </c>
      <c r="K2954" t="s">
        <v>283</v>
      </c>
      <c r="L2954" t="s">
        <v>6736</v>
      </c>
      <c r="N2954" t="s">
        <v>6737</v>
      </c>
      <c r="O2954" t="s">
        <v>1264</v>
      </c>
      <c r="Q2954" t="s">
        <v>6738</v>
      </c>
      <c r="R2954" t="s">
        <v>6739</v>
      </c>
      <c r="S2954" t="s">
        <v>2864</v>
      </c>
      <c r="V2954" t="s">
        <v>2855</v>
      </c>
      <c r="W2954" t="s">
        <v>2898</v>
      </c>
      <c r="AD2954" t="s">
        <v>6740</v>
      </c>
    </row>
    <row r="2955" spans="1:32" x14ac:dyDescent="0.25">
      <c r="A2955" t="s">
        <v>33</v>
      </c>
      <c r="D2955" t="s">
        <v>2847</v>
      </c>
      <c r="E2955" t="s">
        <v>2893</v>
      </c>
      <c r="F2955" t="s">
        <v>866</v>
      </c>
      <c r="G2955" t="s">
        <v>6725</v>
      </c>
      <c r="H2955" t="s">
        <v>153</v>
      </c>
      <c r="I2955" t="s">
        <v>598</v>
      </c>
      <c r="J2955" t="s">
        <v>154</v>
      </c>
      <c r="K2955" t="s">
        <v>155</v>
      </c>
      <c r="L2955" t="s">
        <v>6726</v>
      </c>
      <c r="N2955" t="s">
        <v>6607</v>
      </c>
      <c r="O2955" t="s">
        <v>599</v>
      </c>
      <c r="R2955" t="s">
        <v>6741</v>
      </c>
      <c r="S2955" t="s">
        <v>2864</v>
      </c>
      <c r="V2955" t="s">
        <v>2855</v>
      </c>
      <c r="W2955" t="s">
        <v>2898</v>
      </c>
      <c r="AD2955" t="s">
        <v>6721</v>
      </c>
      <c r="AE2955" t="s">
        <v>6742</v>
      </c>
      <c r="AF2955">
        <v>1</v>
      </c>
    </row>
    <row r="2956" spans="1:32" x14ac:dyDescent="0.25">
      <c r="A2956" t="s">
        <v>33</v>
      </c>
      <c r="D2956" t="s">
        <v>2847</v>
      </c>
      <c r="E2956" t="s">
        <v>2893</v>
      </c>
      <c r="F2956" t="s">
        <v>866</v>
      </c>
      <c r="G2956" t="s">
        <v>6725</v>
      </c>
      <c r="H2956" t="s">
        <v>166</v>
      </c>
      <c r="I2956" t="s">
        <v>1105</v>
      </c>
      <c r="J2956" t="s">
        <v>167</v>
      </c>
      <c r="K2956" t="s">
        <v>41</v>
      </c>
      <c r="L2956" t="s">
        <v>6726</v>
      </c>
      <c r="N2956" t="s">
        <v>6607</v>
      </c>
      <c r="O2956" t="s">
        <v>1106</v>
      </c>
      <c r="Q2956" t="s">
        <v>1107</v>
      </c>
      <c r="R2956" t="s">
        <v>6743</v>
      </c>
      <c r="S2956" t="s">
        <v>2864</v>
      </c>
      <c r="V2956" t="s">
        <v>2855</v>
      </c>
      <c r="W2956" t="s">
        <v>2898</v>
      </c>
      <c r="AD2956" t="s">
        <v>6724</v>
      </c>
    </row>
    <row r="2957" spans="1:32" x14ac:dyDescent="0.25">
      <c r="A2957" t="s">
        <v>33</v>
      </c>
      <c r="B2957" t="s">
        <v>2319</v>
      </c>
      <c r="D2957" t="s">
        <v>2847</v>
      </c>
      <c r="E2957" t="s">
        <v>2859</v>
      </c>
      <c r="F2957" t="s">
        <v>78</v>
      </c>
      <c r="G2957" t="s">
        <v>6744</v>
      </c>
      <c r="H2957" t="s">
        <v>166</v>
      </c>
      <c r="I2957" t="s">
        <v>80</v>
      </c>
      <c r="J2957" t="s">
        <v>167</v>
      </c>
      <c r="K2957" t="s">
        <v>41</v>
      </c>
      <c r="L2957" t="s">
        <v>6745</v>
      </c>
      <c r="N2957" t="s">
        <v>6746</v>
      </c>
      <c r="O2957" t="s">
        <v>84</v>
      </c>
      <c r="Q2957" t="s">
        <v>1161</v>
      </c>
      <c r="R2957" t="s">
        <v>1959</v>
      </c>
      <c r="S2957" t="s">
        <v>2864</v>
      </c>
      <c r="V2957" t="s">
        <v>2855</v>
      </c>
      <c r="W2957" t="s">
        <v>2865</v>
      </c>
      <c r="AD2957" t="s">
        <v>6747</v>
      </c>
    </row>
    <row r="2958" spans="1:32" x14ac:dyDescent="0.25">
      <c r="A2958" t="s">
        <v>33</v>
      </c>
      <c r="D2958" t="s">
        <v>2847</v>
      </c>
      <c r="E2958" t="s">
        <v>2893</v>
      </c>
      <c r="F2958" t="s">
        <v>866</v>
      </c>
      <c r="G2958" t="s">
        <v>6725</v>
      </c>
      <c r="H2958" t="s">
        <v>166</v>
      </c>
      <c r="I2958" t="s">
        <v>80</v>
      </c>
      <c r="J2958" t="s">
        <v>167</v>
      </c>
      <c r="K2958" t="s">
        <v>41</v>
      </c>
      <c r="L2958" t="s">
        <v>6726</v>
      </c>
      <c r="N2958" t="s">
        <v>6607</v>
      </c>
      <c r="O2958" t="s">
        <v>862</v>
      </c>
      <c r="Q2958" t="s">
        <v>863</v>
      </c>
      <c r="R2958" t="s">
        <v>6748</v>
      </c>
      <c r="S2958" t="s">
        <v>2864</v>
      </c>
      <c r="V2958" t="s">
        <v>2855</v>
      </c>
      <c r="W2958" t="s">
        <v>2898</v>
      </c>
      <c r="AD2958" t="s">
        <v>6728</v>
      </c>
    </row>
    <row r="2959" spans="1:32" x14ac:dyDescent="0.25">
      <c r="A2959" t="s">
        <v>33</v>
      </c>
      <c r="D2959" t="s">
        <v>2847</v>
      </c>
      <c r="E2959" t="s">
        <v>2893</v>
      </c>
      <c r="F2959" t="s">
        <v>866</v>
      </c>
      <c r="G2959" t="s">
        <v>6725</v>
      </c>
      <c r="H2959" t="s">
        <v>280</v>
      </c>
      <c r="I2959" t="s">
        <v>3311</v>
      </c>
      <c r="J2959" t="s">
        <v>282</v>
      </c>
      <c r="K2959" t="s">
        <v>283</v>
      </c>
      <c r="L2959" t="s">
        <v>6726</v>
      </c>
      <c r="N2959" t="s">
        <v>6607</v>
      </c>
      <c r="O2959" t="s">
        <v>3312</v>
      </c>
      <c r="Q2959" t="s">
        <v>3313</v>
      </c>
      <c r="R2959" t="s">
        <v>6749</v>
      </c>
      <c r="S2959" t="s">
        <v>2864</v>
      </c>
      <c r="V2959" t="s">
        <v>2855</v>
      </c>
      <c r="W2959" t="s">
        <v>2898</v>
      </c>
      <c r="AD2959" t="s">
        <v>6734</v>
      </c>
    </row>
    <row r="2960" spans="1:32" x14ac:dyDescent="0.25">
      <c r="A2960" t="s">
        <v>33</v>
      </c>
      <c r="D2960" t="s">
        <v>2847</v>
      </c>
      <c r="E2960" t="s">
        <v>2893</v>
      </c>
      <c r="F2960" t="s">
        <v>866</v>
      </c>
      <c r="G2960" t="s">
        <v>6725</v>
      </c>
      <c r="H2960" t="s">
        <v>166</v>
      </c>
      <c r="I2960" t="s">
        <v>216</v>
      </c>
      <c r="J2960" t="s">
        <v>167</v>
      </c>
      <c r="K2960" t="s">
        <v>41</v>
      </c>
      <c r="L2960" t="s">
        <v>6726</v>
      </c>
      <c r="N2960" t="s">
        <v>6607</v>
      </c>
      <c r="O2960" t="s">
        <v>872</v>
      </c>
      <c r="Q2960" t="s">
        <v>873</v>
      </c>
      <c r="R2960" t="s">
        <v>6750</v>
      </c>
      <c r="S2960" t="s">
        <v>2864</v>
      </c>
      <c r="V2960" t="s">
        <v>2855</v>
      </c>
      <c r="W2960" t="s">
        <v>2898</v>
      </c>
      <c r="AD2960" t="s">
        <v>6730</v>
      </c>
    </row>
    <row r="2961" spans="1:30" x14ac:dyDescent="0.25">
      <c r="A2961" t="s">
        <v>33</v>
      </c>
      <c r="D2961" t="s">
        <v>2847</v>
      </c>
      <c r="E2961" t="s">
        <v>2893</v>
      </c>
      <c r="F2961" t="s">
        <v>866</v>
      </c>
      <c r="G2961" t="s">
        <v>6725</v>
      </c>
      <c r="H2961" t="s">
        <v>166</v>
      </c>
      <c r="I2961" t="s">
        <v>281</v>
      </c>
      <c r="J2961" t="s">
        <v>167</v>
      </c>
      <c r="K2961" t="s">
        <v>41</v>
      </c>
      <c r="L2961" t="s">
        <v>6726</v>
      </c>
      <c r="N2961" t="s">
        <v>6607</v>
      </c>
      <c r="O2961" t="s">
        <v>858</v>
      </c>
      <c r="Q2961" t="s">
        <v>2536</v>
      </c>
      <c r="R2961" t="s">
        <v>6751</v>
      </c>
      <c r="S2961" t="s">
        <v>2864</v>
      </c>
      <c r="V2961" t="s">
        <v>2855</v>
      </c>
      <c r="W2961" t="s">
        <v>2898</v>
      </c>
      <c r="AD2961" t="s">
        <v>6732</v>
      </c>
    </row>
    <row r="2962" spans="1:30" x14ac:dyDescent="0.25">
      <c r="A2962" t="s">
        <v>33</v>
      </c>
      <c r="D2962" t="s">
        <v>2847</v>
      </c>
      <c r="E2962" t="s">
        <v>2893</v>
      </c>
      <c r="F2962" t="s">
        <v>78</v>
      </c>
      <c r="G2962" t="s">
        <v>6673</v>
      </c>
      <c r="H2962" t="s">
        <v>143</v>
      </c>
      <c r="I2962" t="s">
        <v>299</v>
      </c>
      <c r="J2962" t="s">
        <v>145</v>
      </c>
      <c r="K2962" t="s">
        <v>146</v>
      </c>
      <c r="L2962" t="s">
        <v>6674</v>
      </c>
      <c r="M2962" t="s">
        <v>82</v>
      </c>
      <c r="N2962" t="s">
        <v>6675</v>
      </c>
      <c r="O2962" t="s">
        <v>300</v>
      </c>
      <c r="R2962" t="s">
        <v>6752</v>
      </c>
      <c r="S2962" t="s">
        <v>2864</v>
      </c>
      <c r="V2962" t="s">
        <v>2855</v>
      </c>
      <c r="W2962" t="s">
        <v>2898</v>
      </c>
      <c r="AD2962" t="s">
        <v>6753</v>
      </c>
    </row>
    <row r="2963" spans="1:30" x14ac:dyDescent="0.25">
      <c r="A2963" t="s">
        <v>33</v>
      </c>
      <c r="D2963" t="s">
        <v>2847</v>
      </c>
      <c r="E2963" t="s">
        <v>2893</v>
      </c>
      <c r="F2963" t="s">
        <v>78</v>
      </c>
      <c r="G2963" t="s">
        <v>6673</v>
      </c>
      <c r="H2963" t="s">
        <v>38</v>
      </c>
      <c r="I2963" t="s">
        <v>257</v>
      </c>
      <c r="J2963" t="s">
        <v>40</v>
      </c>
      <c r="K2963" t="s">
        <v>41</v>
      </c>
      <c r="L2963" t="s">
        <v>6674</v>
      </c>
      <c r="M2963" t="s">
        <v>82</v>
      </c>
      <c r="N2963" t="s">
        <v>6675</v>
      </c>
      <c r="O2963" t="s">
        <v>258</v>
      </c>
      <c r="R2963" t="s">
        <v>6754</v>
      </c>
      <c r="S2963" t="s">
        <v>2864</v>
      </c>
      <c r="V2963" t="s">
        <v>2855</v>
      </c>
      <c r="W2963" t="s">
        <v>2898</v>
      </c>
      <c r="AD2963" t="s">
        <v>6755</v>
      </c>
    </row>
    <row r="2964" spans="1:30" x14ac:dyDescent="0.25">
      <c r="A2964" t="s">
        <v>33</v>
      </c>
      <c r="D2964" t="s">
        <v>2847</v>
      </c>
      <c r="E2964" t="s">
        <v>2893</v>
      </c>
      <c r="F2964" t="s">
        <v>78</v>
      </c>
      <c r="G2964" t="s">
        <v>6673</v>
      </c>
      <c r="H2964" t="s">
        <v>38</v>
      </c>
      <c r="I2964" t="s">
        <v>250</v>
      </c>
      <c r="J2964" t="s">
        <v>40</v>
      </c>
      <c r="K2964" t="s">
        <v>41</v>
      </c>
      <c r="L2964" t="s">
        <v>6674</v>
      </c>
      <c r="M2964" t="s">
        <v>3327</v>
      </c>
      <c r="N2964" t="s">
        <v>6675</v>
      </c>
      <c r="O2964" t="s">
        <v>254</v>
      </c>
      <c r="R2964" t="s">
        <v>6756</v>
      </c>
      <c r="S2964" t="s">
        <v>2864</v>
      </c>
      <c r="V2964" t="s">
        <v>2855</v>
      </c>
      <c r="W2964" t="s">
        <v>2898</v>
      </c>
      <c r="X2964" t="s">
        <v>1193</v>
      </c>
      <c r="AD2964" t="s">
        <v>6757</v>
      </c>
    </row>
    <row r="2965" spans="1:30" x14ac:dyDescent="0.25">
      <c r="A2965" t="s">
        <v>33</v>
      </c>
      <c r="D2965" t="s">
        <v>2847</v>
      </c>
      <c r="E2965" t="s">
        <v>2893</v>
      </c>
      <c r="F2965" t="s">
        <v>78</v>
      </c>
      <c r="G2965" t="s">
        <v>6673</v>
      </c>
      <c r="H2965" t="s">
        <v>143</v>
      </c>
      <c r="I2965" t="s">
        <v>257</v>
      </c>
      <c r="J2965" t="s">
        <v>145</v>
      </c>
      <c r="K2965" t="s">
        <v>146</v>
      </c>
      <c r="L2965" t="s">
        <v>6674</v>
      </c>
      <c r="M2965" t="s">
        <v>82</v>
      </c>
      <c r="N2965" t="s">
        <v>6675</v>
      </c>
      <c r="O2965" t="s">
        <v>292</v>
      </c>
      <c r="R2965" t="s">
        <v>6758</v>
      </c>
      <c r="S2965" t="s">
        <v>2864</v>
      </c>
      <c r="V2965" t="s">
        <v>2855</v>
      </c>
      <c r="W2965" t="s">
        <v>2898</v>
      </c>
      <c r="AD2965" t="s">
        <v>6759</v>
      </c>
    </row>
    <row r="2966" spans="1:30" x14ac:dyDescent="0.25">
      <c r="A2966" t="s">
        <v>33</v>
      </c>
      <c r="D2966" t="s">
        <v>2847</v>
      </c>
      <c r="E2966" t="s">
        <v>2893</v>
      </c>
      <c r="F2966" t="s">
        <v>78</v>
      </c>
      <c r="G2966" t="s">
        <v>6673</v>
      </c>
      <c r="H2966" t="s">
        <v>143</v>
      </c>
      <c r="I2966" t="s">
        <v>261</v>
      </c>
      <c r="J2966" t="s">
        <v>145</v>
      </c>
      <c r="K2966" t="s">
        <v>146</v>
      </c>
      <c r="L2966" t="s">
        <v>6674</v>
      </c>
      <c r="M2966" t="s">
        <v>3327</v>
      </c>
      <c r="N2966" t="s">
        <v>6675</v>
      </c>
      <c r="O2966" t="s">
        <v>263</v>
      </c>
      <c r="R2966" t="s">
        <v>6760</v>
      </c>
      <c r="S2966" t="s">
        <v>2864</v>
      </c>
      <c r="V2966" t="s">
        <v>2855</v>
      </c>
      <c r="W2966" t="s">
        <v>2898</v>
      </c>
      <c r="X2966" t="s">
        <v>1193</v>
      </c>
      <c r="AD2966" t="s">
        <v>6761</v>
      </c>
    </row>
    <row r="2967" spans="1:30" x14ac:dyDescent="0.25">
      <c r="A2967" t="s">
        <v>33</v>
      </c>
      <c r="D2967" t="s">
        <v>2847</v>
      </c>
      <c r="E2967" t="s">
        <v>2893</v>
      </c>
      <c r="F2967" t="s">
        <v>78</v>
      </c>
      <c r="G2967" t="s">
        <v>6673</v>
      </c>
      <c r="H2967" t="s">
        <v>280</v>
      </c>
      <c r="I2967" t="s">
        <v>281</v>
      </c>
      <c r="J2967" t="s">
        <v>282</v>
      </c>
      <c r="K2967" t="s">
        <v>283</v>
      </c>
      <c r="L2967" t="s">
        <v>6674</v>
      </c>
      <c r="N2967" t="s">
        <v>6675</v>
      </c>
      <c r="O2967" t="s">
        <v>284</v>
      </c>
      <c r="Q2967" t="s">
        <v>285</v>
      </c>
      <c r="R2967" t="s">
        <v>6762</v>
      </c>
      <c r="S2967" t="s">
        <v>2864</v>
      </c>
      <c r="V2967" t="s">
        <v>2855</v>
      </c>
      <c r="W2967" t="s">
        <v>2898</v>
      </c>
      <c r="AD2967" t="s">
        <v>6763</v>
      </c>
    </row>
    <row r="2968" spans="1:30" x14ac:dyDescent="0.25">
      <c r="A2968" t="s">
        <v>33</v>
      </c>
      <c r="D2968" t="s">
        <v>2847</v>
      </c>
      <c r="E2968" t="s">
        <v>2859</v>
      </c>
      <c r="F2968" t="s">
        <v>78</v>
      </c>
      <c r="G2968" t="s">
        <v>6764</v>
      </c>
      <c r="H2968" t="s">
        <v>38</v>
      </c>
      <c r="I2968" t="s">
        <v>80</v>
      </c>
      <c r="J2968" t="s">
        <v>69</v>
      </c>
      <c r="K2968" t="s">
        <v>41</v>
      </c>
      <c r="L2968" t="s">
        <v>6765</v>
      </c>
      <c r="M2968" t="s">
        <v>82</v>
      </c>
      <c r="N2968" t="s">
        <v>6766</v>
      </c>
      <c r="O2968" t="s">
        <v>84</v>
      </c>
      <c r="R2968" t="s">
        <v>6767</v>
      </c>
      <c r="S2968" t="s">
        <v>2864</v>
      </c>
      <c r="V2968" t="s">
        <v>2855</v>
      </c>
      <c r="W2968" t="s">
        <v>2865</v>
      </c>
      <c r="AD2968" t="s">
        <v>6768</v>
      </c>
    </row>
    <row r="2969" spans="1:30" x14ac:dyDescent="0.25">
      <c r="A2969" t="s">
        <v>33</v>
      </c>
      <c r="D2969" t="s">
        <v>2847</v>
      </c>
      <c r="E2969" t="s">
        <v>2859</v>
      </c>
      <c r="F2969" t="s">
        <v>78</v>
      </c>
      <c r="G2969" t="s">
        <v>6764</v>
      </c>
      <c r="H2969" t="s">
        <v>143</v>
      </c>
      <c r="I2969" t="s">
        <v>276</v>
      </c>
      <c r="J2969" t="s">
        <v>145</v>
      </c>
      <c r="K2969" t="s">
        <v>146</v>
      </c>
      <c r="L2969" t="s">
        <v>6765</v>
      </c>
      <c r="N2969" t="s">
        <v>6766</v>
      </c>
      <c r="O2969" t="s">
        <v>277</v>
      </c>
      <c r="R2969" t="s">
        <v>6769</v>
      </c>
      <c r="S2969" t="s">
        <v>2864</v>
      </c>
      <c r="V2969" t="s">
        <v>2855</v>
      </c>
      <c r="W2969" t="s">
        <v>2865</v>
      </c>
      <c r="X2969" t="s">
        <v>270</v>
      </c>
      <c r="AD2969" t="s">
        <v>6770</v>
      </c>
    </row>
    <row r="2970" spans="1:30" x14ac:dyDescent="0.25">
      <c r="A2970" t="s">
        <v>33</v>
      </c>
      <c r="D2970" t="s">
        <v>2847</v>
      </c>
      <c r="E2970" t="s">
        <v>2859</v>
      </c>
      <c r="F2970" t="s">
        <v>78</v>
      </c>
      <c r="G2970" t="s">
        <v>6764</v>
      </c>
      <c r="H2970" t="s">
        <v>143</v>
      </c>
      <c r="I2970" t="s">
        <v>272</v>
      </c>
      <c r="J2970" t="s">
        <v>145</v>
      </c>
      <c r="K2970" t="s">
        <v>146</v>
      </c>
      <c r="L2970" t="s">
        <v>6765</v>
      </c>
      <c r="N2970" t="s">
        <v>6766</v>
      </c>
      <c r="O2970" t="s">
        <v>273</v>
      </c>
      <c r="R2970" t="s">
        <v>6771</v>
      </c>
      <c r="S2970" t="s">
        <v>2864</v>
      </c>
      <c r="V2970" t="s">
        <v>2855</v>
      </c>
      <c r="W2970" t="s">
        <v>2865</v>
      </c>
      <c r="X2970" t="s">
        <v>270</v>
      </c>
      <c r="AD2970" t="s">
        <v>6772</v>
      </c>
    </row>
    <row r="2971" spans="1:30" x14ac:dyDescent="0.25">
      <c r="A2971" t="s">
        <v>33</v>
      </c>
      <c r="D2971" t="s">
        <v>2847</v>
      </c>
      <c r="E2971" t="s">
        <v>2859</v>
      </c>
      <c r="F2971" t="s">
        <v>78</v>
      </c>
      <c r="G2971" t="s">
        <v>6764</v>
      </c>
      <c r="H2971" t="s">
        <v>143</v>
      </c>
      <c r="I2971" t="s">
        <v>267</v>
      </c>
      <c r="J2971" t="s">
        <v>145</v>
      </c>
      <c r="K2971" t="s">
        <v>146</v>
      </c>
      <c r="L2971" t="s">
        <v>6765</v>
      </c>
      <c r="N2971" t="s">
        <v>6766</v>
      </c>
      <c r="O2971" t="s">
        <v>268</v>
      </c>
      <c r="R2971" t="s">
        <v>6773</v>
      </c>
      <c r="S2971" t="s">
        <v>2864</v>
      </c>
      <c r="V2971" t="s">
        <v>2855</v>
      </c>
      <c r="W2971" t="s">
        <v>2865</v>
      </c>
      <c r="X2971" t="s">
        <v>270</v>
      </c>
      <c r="AD2971" t="s">
        <v>6774</v>
      </c>
    </row>
    <row r="2972" spans="1:30" x14ac:dyDescent="0.25">
      <c r="A2972" t="s">
        <v>33</v>
      </c>
      <c r="D2972" t="s">
        <v>2847</v>
      </c>
      <c r="E2972" t="s">
        <v>2859</v>
      </c>
      <c r="F2972" t="s">
        <v>78</v>
      </c>
      <c r="G2972" t="s">
        <v>6764</v>
      </c>
      <c r="H2972" t="s">
        <v>143</v>
      </c>
      <c r="I2972" t="s">
        <v>295</v>
      </c>
      <c r="J2972" t="s">
        <v>745</v>
      </c>
      <c r="K2972" t="s">
        <v>262</v>
      </c>
      <c r="L2972" t="s">
        <v>6765</v>
      </c>
      <c r="M2972" t="s">
        <v>82</v>
      </c>
      <c r="N2972" t="s">
        <v>6766</v>
      </c>
      <c r="O2972" t="s">
        <v>296</v>
      </c>
      <c r="R2972" t="s">
        <v>6775</v>
      </c>
      <c r="S2972" t="s">
        <v>2864</v>
      </c>
      <c r="V2972" t="s">
        <v>2855</v>
      </c>
      <c r="W2972" t="s">
        <v>2865</v>
      </c>
      <c r="AD2972" t="s">
        <v>6776</v>
      </c>
    </row>
    <row r="2973" spans="1:30" x14ac:dyDescent="0.25">
      <c r="A2973" t="s">
        <v>33</v>
      </c>
      <c r="D2973" t="s">
        <v>2847</v>
      </c>
      <c r="E2973" t="s">
        <v>2859</v>
      </c>
      <c r="F2973" t="s">
        <v>78</v>
      </c>
      <c r="G2973" t="s">
        <v>6764</v>
      </c>
      <c r="H2973" t="s">
        <v>143</v>
      </c>
      <c r="I2973" t="s">
        <v>4475</v>
      </c>
      <c r="J2973" t="s">
        <v>145</v>
      </c>
      <c r="K2973" t="s">
        <v>262</v>
      </c>
      <c r="L2973" t="s">
        <v>6765</v>
      </c>
      <c r="M2973" t="s">
        <v>3483</v>
      </c>
      <c r="N2973" t="s">
        <v>6766</v>
      </c>
      <c r="O2973" t="s">
        <v>4476</v>
      </c>
      <c r="R2973" t="s">
        <v>6777</v>
      </c>
      <c r="S2973" t="s">
        <v>2864</v>
      </c>
      <c r="V2973" t="s">
        <v>2855</v>
      </c>
      <c r="W2973" t="s">
        <v>2865</v>
      </c>
      <c r="X2973" t="s">
        <v>963</v>
      </c>
      <c r="AD2973" t="s">
        <v>6778</v>
      </c>
    </row>
    <row r="2974" spans="1:30" x14ac:dyDescent="0.25">
      <c r="A2974" t="s">
        <v>33</v>
      </c>
      <c r="D2974" t="s">
        <v>2847</v>
      </c>
      <c r="E2974" t="s">
        <v>2859</v>
      </c>
      <c r="F2974" t="s">
        <v>78</v>
      </c>
      <c r="G2974" t="s">
        <v>6764</v>
      </c>
      <c r="H2974" t="s">
        <v>143</v>
      </c>
      <c r="I2974" t="s">
        <v>299</v>
      </c>
      <c r="J2974" t="s">
        <v>145</v>
      </c>
      <c r="K2974" t="s">
        <v>146</v>
      </c>
      <c r="L2974" t="s">
        <v>6765</v>
      </c>
      <c r="M2974" t="s">
        <v>82</v>
      </c>
      <c r="N2974" t="s">
        <v>6766</v>
      </c>
      <c r="O2974" t="s">
        <v>300</v>
      </c>
      <c r="R2974" t="s">
        <v>6779</v>
      </c>
      <c r="S2974" t="s">
        <v>2864</v>
      </c>
      <c r="V2974" t="s">
        <v>2855</v>
      </c>
      <c r="W2974" t="s">
        <v>2865</v>
      </c>
      <c r="AD2974" t="s">
        <v>6780</v>
      </c>
    </row>
    <row r="2975" spans="1:30" x14ac:dyDescent="0.25">
      <c r="A2975" t="s">
        <v>33</v>
      </c>
      <c r="D2975" t="s">
        <v>2847</v>
      </c>
      <c r="E2975" t="s">
        <v>2859</v>
      </c>
      <c r="F2975" t="s">
        <v>78</v>
      </c>
      <c r="G2975" t="s">
        <v>6764</v>
      </c>
      <c r="H2975" t="s">
        <v>143</v>
      </c>
      <c r="I2975" t="s">
        <v>4401</v>
      </c>
      <c r="J2975" t="s">
        <v>145</v>
      </c>
      <c r="K2975" t="s">
        <v>146</v>
      </c>
      <c r="L2975" t="s">
        <v>6765</v>
      </c>
      <c r="M2975" t="s">
        <v>3483</v>
      </c>
      <c r="N2975" t="s">
        <v>6766</v>
      </c>
      <c r="O2975" t="s">
        <v>4402</v>
      </c>
      <c r="R2975" t="s">
        <v>6781</v>
      </c>
      <c r="S2975" t="s">
        <v>2864</v>
      </c>
      <c r="V2975" t="s">
        <v>2855</v>
      </c>
      <c r="W2975" t="s">
        <v>2865</v>
      </c>
      <c r="X2975" t="s">
        <v>963</v>
      </c>
      <c r="AD2975" t="s">
        <v>6782</v>
      </c>
    </row>
    <row r="2976" spans="1:30" x14ac:dyDescent="0.25">
      <c r="A2976" t="s">
        <v>33</v>
      </c>
      <c r="D2976" t="s">
        <v>2847</v>
      </c>
      <c r="E2976" t="s">
        <v>2859</v>
      </c>
      <c r="F2976" t="s">
        <v>78</v>
      </c>
      <c r="G2976" t="s">
        <v>6764</v>
      </c>
      <c r="H2976" t="s">
        <v>38</v>
      </c>
      <c r="I2976" t="s">
        <v>257</v>
      </c>
      <c r="J2976" t="s">
        <v>40</v>
      </c>
      <c r="K2976" t="s">
        <v>41</v>
      </c>
      <c r="L2976" t="s">
        <v>6765</v>
      </c>
      <c r="M2976" t="s">
        <v>82</v>
      </c>
      <c r="N2976" t="s">
        <v>6766</v>
      </c>
      <c r="O2976" t="s">
        <v>258</v>
      </c>
      <c r="R2976" t="s">
        <v>6783</v>
      </c>
      <c r="S2976" t="s">
        <v>2864</v>
      </c>
      <c r="V2976" t="s">
        <v>2855</v>
      </c>
      <c r="W2976" t="s">
        <v>2865</v>
      </c>
      <c r="AD2976" t="s">
        <v>6784</v>
      </c>
    </row>
    <row r="2977" spans="1:32" x14ac:dyDescent="0.25">
      <c r="A2977" t="s">
        <v>33</v>
      </c>
      <c r="D2977" t="s">
        <v>2847</v>
      </c>
      <c r="E2977" t="s">
        <v>2859</v>
      </c>
      <c r="F2977" t="s">
        <v>78</v>
      </c>
      <c r="G2977" t="s">
        <v>6764</v>
      </c>
      <c r="H2977" t="s">
        <v>38</v>
      </c>
      <c r="I2977" t="s">
        <v>250</v>
      </c>
      <c r="J2977" t="s">
        <v>40</v>
      </c>
      <c r="K2977" t="s">
        <v>41</v>
      </c>
      <c r="L2977" t="s">
        <v>6765</v>
      </c>
      <c r="M2977" t="s">
        <v>3483</v>
      </c>
      <c r="N2977" t="s">
        <v>6766</v>
      </c>
      <c r="O2977" t="s">
        <v>254</v>
      </c>
      <c r="R2977" t="s">
        <v>6785</v>
      </c>
      <c r="S2977" t="s">
        <v>2864</v>
      </c>
      <c r="V2977" t="s">
        <v>2855</v>
      </c>
      <c r="W2977" t="s">
        <v>2865</v>
      </c>
      <c r="X2977" t="s">
        <v>963</v>
      </c>
      <c r="AD2977" t="s">
        <v>6786</v>
      </c>
    </row>
    <row r="2978" spans="1:32" x14ac:dyDescent="0.25">
      <c r="A2978" t="s">
        <v>33</v>
      </c>
      <c r="D2978" t="s">
        <v>2847</v>
      </c>
      <c r="E2978" t="s">
        <v>2859</v>
      </c>
      <c r="F2978" t="s">
        <v>78</v>
      </c>
      <c r="G2978" t="s">
        <v>6764</v>
      </c>
      <c r="H2978" t="s">
        <v>143</v>
      </c>
      <c r="I2978" t="s">
        <v>257</v>
      </c>
      <c r="J2978" t="s">
        <v>145</v>
      </c>
      <c r="K2978" t="s">
        <v>146</v>
      </c>
      <c r="L2978" t="s">
        <v>6765</v>
      </c>
      <c r="M2978" t="s">
        <v>82</v>
      </c>
      <c r="N2978" t="s">
        <v>6766</v>
      </c>
      <c r="O2978" t="s">
        <v>292</v>
      </c>
      <c r="R2978" t="s">
        <v>6787</v>
      </c>
      <c r="S2978" t="s">
        <v>2864</v>
      </c>
      <c r="V2978" t="s">
        <v>2855</v>
      </c>
      <c r="W2978" t="s">
        <v>2865</v>
      </c>
      <c r="AD2978" t="s">
        <v>6788</v>
      </c>
    </row>
    <row r="2979" spans="1:32" x14ac:dyDescent="0.25">
      <c r="A2979" t="s">
        <v>33</v>
      </c>
      <c r="D2979" t="s">
        <v>2847</v>
      </c>
      <c r="E2979" t="s">
        <v>2859</v>
      </c>
      <c r="F2979" t="s">
        <v>78</v>
      </c>
      <c r="G2979" t="s">
        <v>6764</v>
      </c>
      <c r="H2979" t="s">
        <v>143</v>
      </c>
      <c r="I2979" t="s">
        <v>261</v>
      </c>
      <c r="J2979" t="s">
        <v>745</v>
      </c>
      <c r="K2979" t="s">
        <v>262</v>
      </c>
      <c r="L2979" t="s">
        <v>6765</v>
      </c>
      <c r="M2979" t="s">
        <v>3483</v>
      </c>
      <c r="N2979" t="s">
        <v>6766</v>
      </c>
      <c r="O2979" t="s">
        <v>263</v>
      </c>
      <c r="R2979" t="s">
        <v>6789</v>
      </c>
      <c r="S2979" t="s">
        <v>2864</v>
      </c>
      <c r="V2979" t="s">
        <v>2855</v>
      </c>
      <c r="W2979" t="s">
        <v>2865</v>
      </c>
      <c r="X2979" t="s">
        <v>963</v>
      </c>
      <c r="AD2979" t="s">
        <v>6790</v>
      </c>
    </row>
    <row r="2980" spans="1:32" x14ac:dyDescent="0.25">
      <c r="A2980" t="s">
        <v>33</v>
      </c>
      <c r="D2980" t="s">
        <v>2847</v>
      </c>
      <c r="E2980" t="s">
        <v>2859</v>
      </c>
      <c r="F2980" t="s">
        <v>78</v>
      </c>
      <c r="G2980" t="s">
        <v>6764</v>
      </c>
      <c r="H2980" t="s">
        <v>280</v>
      </c>
      <c r="I2980" t="s">
        <v>281</v>
      </c>
      <c r="J2980" t="s">
        <v>282</v>
      </c>
      <c r="K2980" t="s">
        <v>283</v>
      </c>
      <c r="L2980" t="s">
        <v>6765</v>
      </c>
      <c r="N2980" t="s">
        <v>6766</v>
      </c>
      <c r="O2980" t="s">
        <v>284</v>
      </c>
      <c r="Q2980" t="s">
        <v>285</v>
      </c>
      <c r="R2980" t="s">
        <v>6791</v>
      </c>
      <c r="S2980" t="s">
        <v>2864</v>
      </c>
      <c r="V2980" t="s">
        <v>2855</v>
      </c>
      <c r="W2980" t="s">
        <v>2865</v>
      </c>
      <c r="AD2980" t="s">
        <v>6792</v>
      </c>
    </row>
    <row r="2981" spans="1:32" x14ac:dyDescent="0.25">
      <c r="A2981" t="s">
        <v>33</v>
      </c>
      <c r="D2981" t="s">
        <v>2847</v>
      </c>
      <c r="E2981" t="s">
        <v>2859</v>
      </c>
      <c r="F2981" t="s">
        <v>78</v>
      </c>
      <c r="G2981" t="s">
        <v>6764</v>
      </c>
      <c r="H2981" t="s">
        <v>143</v>
      </c>
      <c r="I2981" t="s">
        <v>4475</v>
      </c>
      <c r="J2981" t="s">
        <v>145</v>
      </c>
      <c r="K2981" t="s">
        <v>146</v>
      </c>
      <c r="L2981" t="s">
        <v>6765</v>
      </c>
      <c r="M2981" t="s">
        <v>3483</v>
      </c>
      <c r="N2981" t="s">
        <v>6766</v>
      </c>
      <c r="O2981" t="s">
        <v>4476</v>
      </c>
      <c r="R2981" t="s">
        <v>6793</v>
      </c>
      <c r="S2981" t="s">
        <v>2864</v>
      </c>
      <c r="V2981" t="s">
        <v>2855</v>
      </c>
      <c r="W2981" t="s">
        <v>2865</v>
      </c>
      <c r="X2981" t="s">
        <v>963</v>
      </c>
      <c r="AD2981" t="s">
        <v>6778</v>
      </c>
    </row>
    <row r="2982" spans="1:32" x14ac:dyDescent="0.25">
      <c r="A2982" t="s">
        <v>33</v>
      </c>
      <c r="D2982" t="s">
        <v>2847</v>
      </c>
      <c r="E2982" t="s">
        <v>2848</v>
      </c>
      <c r="F2982" t="s">
        <v>87</v>
      </c>
      <c r="G2982" t="s">
        <v>6711</v>
      </c>
      <c r="H2982" t="s">
        <v>143</v>
      </c>
      <c r="I2982" t="s">
        <v>144</v>
      </c>
      <c r="J2982" t="s">
        <v>145</v>
      </c>
      <c r="K2982" t="s">
        <v>262</v>
      </c>
      <c r="L2982" t="s">
        <v>6712</v>
      </c>
      <c r="M2982" t="s">
        <v>1879</v>
      </c>
      <c r="N2982" t="s">
        <v>6713</v>
      </c>
      <c r="O2982" t="s">
        <v>147</v>
      </c>
      <c r="R2982" t="s">
        <v>6794</v>
      </c>
      <c r="S2982" t="s">
        <v>2854</v>
      </c>
      <c r="V2982" t="s">
        <v>2855</v>
      </c>
      <c r="W2982" t="s">
        <v>2856</v>
      </c>
      <c r="X2982" t="s">
        <v>1881</v>
      </c>
      <c r="AD2982" t="s">
        <v>6719</v>
      </c>
    </row>
    <row r="2983" spans="1:32" x14ac:dyDescent="0.25">
      <c r="A2983" t="s">
        <v>33</v>
      </c>
      <c r="D2983" t="s">
        <v>2847</v>
      </c>
      <c r="E2983" t="s">
        <v>2848</v>
      </c>
      <c r="F2983" t="s">
        <v>87</v>
      </c>
      <c r="G2983" t="s">
        <v>6711</v>
      </c>
      <c r="H2983" t="s">
        <v>153</v>
      </c>
      <c r="I2983" t="s">
        <v>90</v>
      </c>
      <c r="J2983" t="s">
        <v>154</v>
      </c>
      <c r="K2983" t="s">
        <v>155</v>
      </c>
      <c r="L2983" t="s">
        <v>6712</v>
      </c>
      <c r="N2983" t="s">
        <v>6713</v>
      </c>
      <c r="O2983" t="s">
        <v>386</v>
      </c>
      <c r="R2983" t="s">
        <v>6795</v>
      </c>
      <c r="S2983" t="s">
        <v>2854</v>
      </c>
      <c r="V2983" t="s">
        <v>2855</v>
      </c>
      <c r="W2983" t="s">
        <v>2856</v>
      </c>
      <c r="AC2983" t="s">
        <v>6796</v>
      </c>
      <c r="AD2983" t="s">
        <v>6797</v>
      </c>
      <c r="AE2983" t="s">
        <v>3034</v>
      </c>
      <c r="AF2983">
        <v>12</v>
      </c>
    </row>
    <row r="2984" spans="1:32" x14ac:dyDescent="0.25">
      <c r="A2984" t="s">
        <v>33</v>
      </c>
      <c r="D2984" t="s">
        <v>2847</v>
      </c>
      <c r="E2984" t="s">
        <v>2848</v>
      </c>
      <c r="F2984" t="s">
        <v>87</v>
      </c>
      <c r="G2984" t="s">
        <v>6711</v>
      </c>
      <c r="H2984" t="s">
        <v>89</v>
      </c>
      <c r="I2984" t="s">
        <v>90</v>
      </c>
      <c r="J2984" t="s">
        <v>91</v>
      </c>
      <c r="K2984" t="s">
        <v>92</v>
      </c>
      <c r="L2984" t="s">
        <v>6712</v>
      </c>
      <c r="M2984" t="s">
        <v>94</v>
      </c>
      <c r="N2984" t="s">
        <v>6713</v>
      </c>
      <c r="O2984" t="s">
        <v>383</v>
      </c>
      <c r="P2984">
        <v>1E-3</v>
      </c>
      <c r="R2984" t="s">
        <v>6798</v>
      </c>
      <c r="S2984" t="s">
        <v>2854</v>
      </c>
      <c r="V2984" t="s">
        <v>2855</v>
      </c>
      <c r="W2984" t="s">
        <v>2856</v>
      </c>
      <c r="AD2984" t="s">
        <v>6799</v>
      </c>
    </row>
    <row r="2985" spans="1:32" x14ac:dyDescent="0.25">
      <c r="A2985" t="s">
        <v>33</v>
      </c>
      <c r="D2985" t="s">
        <v>2847</v>
      </c>
      <c r="E2985" t="s">
        <v>2848</v>
      </c>
      <c r="F2985" t="s">
        <v>87</v>
      </c>
      <c r="G2985" t="s">
        <v>6711</v>
      </c>
      <c r="H2985" t="s">
        <v>143</v>
      </c>
      <c r="I2985" t="s">
        <v>90</v>
      </c>
      <c r="J2985" t="s">
        <v>145</v>
      </c>
      <c r="K2985" t="s">
        <v>146</v>
      </c>
      <c r="L2985" t="s">
        <v>6712</v>
      </c>
      <c r="M2985" t="s">
        <v>1879</v>
      </c>
      <c r="N2985" t="s">
        <v>6713</v>
      </c>
      <c r="O2985" t="s">
        <v>380</v>
      </c>
      <c r="R2985" t="s">
        <v>6800</v>
      </c>
      <c r="S2985" t="s">
        <v>2854</v>
      </c>
      <c r="V2985" t="s">
        <v>2855</v>
      </c>
      <c r="W2985" t="s">
        <v>2856</v>
      </c>
      <c r="X2985" t="s">
        <v>1881</v>
      </c>
      <c r="AD2985" t="s">
        <v>6801</v>
      </c>
    </row>
    <row r="2986" spans="1:32" x14ac:dyDescent="0.25">
      <c r="A2986" t="s">
        <v>33</v>
      </c>
      <c r="D2986" t="s">
        <v>2847</v>
      </c>
      <c r="E2986" t="s">
        <v>2848</v>
      </c>
      <c r="F2986" t="s">
        <v>87</v>
      </c>
      <c r="G2986" t="s">
        <v>6711</v>
      </c>
      <c r="H2986" t="s">
        <v>143</v>
      </c>
      <c r="I2986" t="s">
        <v>90</v>
      </c>
      <c r="J2986" t="s">
        <v>145</v>
      </c>
      <c r="K2986" t="s">
        <v>262</v>
      </c>
      <c r="L2986" t="s">
        <v>6712</v>
      </c>
      <c r="M2986" t="s">
        <v>1879</v>
      </c>
      <c r="N2986" t="s">
        <v>6713</v>
      </c>
      <c r="O2986" t="s">
        <v>380</v>
      </c>
      <c r="R2986" t="s">
        <v>6802</v>
      </c>
      <c r="S2986" t="s">
        <v>2854</v>
      </c>
      <c r="V2986" t="s">
        <v>2855</v>
      </c>
      <c r="W2986" t="s">
        <v>2856</v>
      </c>
      <c r="X2986" t="s">
        <v>1881</v>
      </c>
      <c r="AD2986" t="s">
        <v>6801</v>
      </c>
    </row>
    <row r="2987" spans="1:32" x14ac:dyDescent="0.25">
      <c r="A2987" t="s">
        <v>33</v>
      </c>
      <c r="D2987" t="s">
        <v>2847</v>
      </c>
      <c r="E2987" t="s">
        <v>2848</v>
      </c>
      <c r="F2987" t="s">
        <v>87</v>
      </c>
      <c r="G2987" t="s">
        <v>6711</v>
      </c>
      <c r="H2987" t="s">
        <v>38</v>
      </c>
      <c r="I2987" t="s">
        <v>106</v>
      </c>
      <c r="J2987" t="s">
        <v>40</v>
      </c>
      <c r="K2987" t="s">
        <v>41</v>
      </c>
      <c r="L2987" t="s">
        <v>6712</v>
      </c>
      <c r="M2987" t="s">
        <v>1879</v>
      </c>
      <c r="N2987" t="s">
        <v>6713</v>
      </c>
      <c r="O2987" t="s">
        <v>109</v>
      </c>
      <c r="R2987" t="s">
        <v>6803</v>
      </c>
      <c r="S2987" t="s">
        <v>2854</v>
      </c>
      <c r="V2987" t="s">
        <v>2855</v>
      </c>
      <c r="W2987" t="s">
        <v>2856</v>
      </c>
      <c r="X2987" t="s">
        <v>1881</v>
      </c>
      <c r="AD2987" t="s">
        <v>6804</v>
      </c>
    </row>
    <row r="2988" spans="1:32" x14ac:dyDescent="0.25">
      <c r="A2988" t="s">
        <v>33</v>
      </c>
      <c r="D2988" t="s">
        <v>2847</v>
      </c>
      <c r="E2988" t="s">
        <v>2848</v>
      </c>
      <c r="F2988" t="s">
        <v>87</v>
      </c>
      <c r="G2988" t="s">
        <v>6711</v>
      </c>
      <c r="H2988" t="s">
        <v>38</v>
      </c>
      <c r="I2988" t="s">
        <v>25</v>
      </c>
      <c r="J2988" t="s">
        <v>69</v>
      </c>
      <c r="K2988" t="s">
        <v>41</v>
      </c>
      <c r="L2988" t="s">
        <v>6712</v>
      </c>
      <c r="M2988" t="s">
        <v>1879</v>
      </c>
      <c r="N2988" t="s">
        <v>6713</v>
      </c>
      <c r="O2988" t="s">
        <v>512</v>
      </c>
      <c r="R2988" t="s">
        <v>1024</v>
      </c>
      <c r="S2988" t="s">
        <v>2854</v>
      </c>
      <c r="V2988" t="s">
        <v>2855</v>
      </c>
      <c r="W2988" t="s">
        <v>2856</v>
      </c>
      <c r="X2988" t="s">
        <v>1881</v>
      </c>
      <c r="AD2988" t="s">
        <v>6805</v>
      </c>
    </row>
    <row r="2989" spans="1:32" x14ac:dyDescent="0.25">
      <c r="A2989" t="s">
        <v>33</v>
      </c>
      <c r="D2989" t="s">
        <v>2847</v>
      </c>
      <c r="E2989" t="s">
        <v>2848</v>
      </c>
      <c r="F2989" t="s">
        <v>87</v>
      </c>
      <c r="G2989" t="s">
        <v>6711</v>
      </c>
      <c r="H2989" t="s">
        <v>38</v>
      </c>
      <c r="I2989" t="s">
        <v>24</v>
      </c>
      <c r="J2989" t="s">
        <v>69</v>
      </c>
      <c r="K2989" t="s">
        <v>41</v>
      </c>
      <c r="L2989" t="s">
        <v>6712</v>
      </c>
      <c r="M2989" t="s">
        <v>1879</v>
      </c>
      <c r="N2989" t="s">
        <v>6713</v>
      </c>
      <c r="O2989" t="s">
        <v>509</v>
      </c>
      <c r="R2989" t="s">
        <v>1026</v>
      </c>
      <c r="S2989" t="s">
        <v>2854</v>
      </c>
      <c r="V2989" t="s">
        <v>2855</v>
      </c>
      <c r="W2989" t="s">
        <v>2856</v>
      </c>
      <c r="X2989" t="s">
        <v>1881</v>
      </c>
      <c r="AD2989" t="s">
        <v>6806</v>
      </c>
    </row>
    <row r="2990" spans="1:32" x14ac:dyDescent="0.25">
      <c r="A2990" t="s">
        <v>33</v>
      </c>
      <c r="D2990" t="s">
        <v>6807</v>
      </c>
      <c r="E2990" t="s">
        <v>2859</v>
      </c>
      <c r="F2990" t="s">
        <v>87</v>
      </c>
      <c r="G2990" t="s">
        <v>6808</v>
      </c>
      <c r="H2990" t="s">
        <v>38</v>
      </c>
      <c r="I2990" t="s">
        <v>106</v>
      </c>
      <c r="J2990" t="s">
        <v>40</v>
      </c>
      <c r="K2990" t="s">
        <v>41</v>
      </c>
      <c r="L2990" t="s">
        <v>6809</v>
      </c>
      <c r="M2990" t="s">
        <v>82</v>
      </c>
      <c r="N2990" t="s">
        <v>6810</v>
      </c>
      <c r="O2990" t="s">
        <v>109</v>
      </c>
      <c r="R2990" t="s">
        <v>6811</v>
      </c>
      <c r="V2990" t="s">
        <v>6812</v>
      </c>
    </row>
    <row r="2991" spans="1:32" x14ac:dyDescent="0.25">
      <c r="A2991" t="s">
        <v>238</v>
      </c>
      <c r="B2991" t="s">
        <v>6813</v>
      </c>
      <c r="D2991" t="s">
        <v>6807</v>
      </c>
      <c r="E2991" t="s">
        <v>6814</v>
      </c>
      <c r="G2991" t="s">
        <v>2838</v>
      </c>
      <c r="L2991" t="s">
        <v>6815</v>
      </c>
      <c r="N2991" t="s">
        <v>6816</v>
      </c>
      <c r="O2991" t="s">
        <v>213</v>
      </c>
      <c r="R2991" t="s">
        <v>230</v>
      </c>
      <c r="V2991" t="s">
        <v>6812</v>
      </c>
    </row>
    <row r="2992" spans="1:32" x14ac:dyDescent="0.25">
      <c r="A2992" t="s">
        <v>33</v>
      </c>
      <c r="D2992" t="s">
        <v>6807</v>
      </c>
      <c r="E2992" t="s">
        <v>2859</v>
      </c>
      <c r="F2992" t="s">
        <v>36</v>
      </c>
      <c r="G2992" t="s">
        <v>6817</v>
      </c>
      <c r="H2992" t="s">
        <v>38</v>
      </c>
      <c r="I2992" t="s">
        <v>63</v>
      </c>
      <c r="J2992" t="s">
        <v>40</v>
      </c>
      <c r="K2992" t="s">
        <v>41</v>
      </c>
      <c r="L2992" t="s">
        <v>6818</v>
      </c>
      <c r="N2992" t="s">
        <v>6819</v>
      </c>
      <c r="O2992" t="s">
        <v>65</v>
      </c>
      <c r="R2992" t="s">
        <v>6820</v>
      </c>
      <c r="V2992" t="s">
        <v>6812</v>
      </c>
    </row>
    <row r="2993" spans="1:22" x14ac:dyDescent="0.25">
      <c r="A2993" t="s">
        <v>33</v>
      </c>
      <c r="D2993" t="s">
        <v>6807</v>
      </c>
      <c r="E2993" t="s">
        <v>2859</v>
      </c>
      <c r="F2993" t="s">
        <v>36</v>
      </c>
      <c r="G2993" t="s">
        <v>6817</v>
      </c>
      <c r="H2993" t="s">
        <v>38</v>
      </c>
      <c r="I2993" t="s">
        <v>74</v>
      </c>
      <c r="J2993" t="s">
        <v>69</v>
      </c>
      <c r="K2993" t="s">
        <v>41</v>
      </c>
      <c r="L2993" t="s">
        <v>6818</v>
      </c>
      <c r="M2993" t="s">
        <v>6821</v>
      </c>
      <c r="N2993" t="s">
        <v>6819</v>
      </c>
      <c r="O2993" t="s">
        <v>75</v>
      </c>
      <c r="R2993" t="s">
        <v>2378</v>
      </c>
      <c r="V2993" t="s">
        <v>6812</v>
      </c>
    </row>
    <row r="2994" spans="1:22" x14ac:dyDescent="0.25">
      <c r="A2994" t="s">
        <v>33</v>
      </c>
      <c r="D2994" t="s">
        <v>6807</v>
      </c>
      <c r="E2994" t="s">
        <v>2859</v>
      </c>
      <c r="F2994" t="s">
        <v>36</v>
      </c>
      <c r="G2994" t="s">
        <v>6817</v>
      </c>
      <c r="H2994" t="s">
        <v>38</v>
      </c>
      <c r="I2994" t="s">
        <v>68</v>
      </c>
      <c r="J2994" t="s">
        <v>69</v>
      </c>
      <c r="K2994" t="s">
        <v>41</v>
      </c>
      <c r="L2994" t="s">
        <v>6818</v>
      </c>
      <c r="M2994" t="s">
        <v>6821</v>
      </c>
      <c r="N2994" t="s">
        <v>6819</v>
      </c>
      <c r="O2994" t="s">
        <v>71</v>
      </c>
      <c r="R2994" t="s">
        <v>6822</v>
      </c>
      <c r="V2994" t="s">
        <v>6812</v>
      </c>
    </row>
    <row r="2995" spans="1:22" x14ac:dyDescent="0.25">
      <c r="A2995" t="s">
        <v>33</v>
      </c>
      <c r="D2995" t="s">
        <v>6807</v>
      </c>
      <c r="E2995" t="s">
        <v>2859</v>
      </c>
      <c r="F2995" t="s">
        <v>36</v>
      </c>
      <c r="G2995" t="s">
        <v>6823</v>
      </c>
      <c r="H2995" t="s">
        <v>38</v>
      </c>
      <c r="I2995" t="s">
        <v>74</v>
      </c>
      <c r="J2995" t="s">
        <v>69</v>
      </c>
      <c r="K2995" t="s">
        <v>41</v>
      </c>
      <c r="L2995" t="s">
        <v>6824</v>
      </c>
      <c r="M2995" t="s">
        <v>6825</v>
      </c>
      <c r="N2995" t="s">
        <v>6826</v>
      </c>
      <c r="O2995" t="s">
        <v>75</v>
      </c>
      <c r="R2995" t="s">
        <v>6827</v>
      </c>
      <c r="V2995" t="s">
        <v>6812</v>
      </c>
    </row>
    <row r="2996" spans="1:22" x14ac:dyDescent="0.25">
      <c r="A2996" t="s">
        <v>33</v>
      </c>
      <c r="D2996" t="s">
        <v>6807</v>
      </c>
      <c r="E2996" t="s">
        <v>2859</v>
      </c>
      <c r="F2996" t="s">
        <v>36</v>
      </c>
      <c r="G2996" t="s">
        <v>6823</v>
      </c>
      <c r="H2996" t="s">
        <v>38</v>
      </c>
      <c r="I2996" t="s">
        <v>68</v>
      </c>
      <c r="J2996" t="s">
        <v>69</v>
      </c>
      <c r="K2996" t="s">
        <v>41</v>
      </c>
      <c r="L2996" t="s">
        <v>6824</v>
      </c>
      <c r="M2996" t="s">
        <v>6825</v>
      </c>
      <c r="N2996" t="s">
        <v>6826</v>
      </c>
      <c r="O2996" t="s">
        <v>71</v>
      </c>
      <c r="R2996" t="s">
        <v>6828</v>
      </c>
      <c r="V2996" t="s">
        <v>6812</v>
      </c>
    </row>
    <row r="2997" spans="1:22" x14ac:dyDescent="0.25">
      <c r="A2997" t="s">
        <v>33</v>
      </c>
      <c r="D2997" t="s">
        <v>6807</v>
      </c>
      <c r="E2997" t="s">
        <v>2859</v>
      </c>
      <c r="F2997" t="s">
        <v>36</v>
      </c>
      <c r="G2997" t="s">
        <v>6823</v>
      </c>
      <c r="H2997" t="s">
        <v>38</v>
      </c>
      <c r="I2997" t="s">
        <v>63</v>
      </c>
      <c r="J2997" t="s">
        <v>40</v>
      </c>
      <c r="K2997" t="s">
        <v>41</v>
      </c>
      <c r="L2997" t="s">
        <v>6824</v>
      </c>
      <c r="M2997" t="s">
        <v>6829</v>
      </c>
      <c r="N2997" t="s">
        <v>6826</v>
      </c>
      <c r="O2997" t="s">
        <v>65</v>
      </c>
      <c r="R2997" t="s">
        <v>6830</v>
      </c>
      <c r="V2997" t="s">
        <v>6812</v>
      </c>
    </row>
    <row r="2998" spans="1:22" x14ac:dyDescent="0.25">
      <c r="A2998" t="s">
        <v>33</v>
      </c>
      <c r="D2998" t="s">
        <v>6807</v>
      </c>
      <c r="E2998" t="s">
        <v>2859</v>
      </c>
      <c r="F2998" t="s">
        <v>36</v>
      </c>
      <c r="G2998" t="s">
        <v>6831</v>
      </c>
      <c r="H2998" t="s">
        <v>38</v>
      </c>
      <c r="I2998" t="s">
        <v>74</v>
      </c>
      <c r="J2998" t="s">
        <v>69</v>
      </c>
      <c r="K2998" t="s">
        <v>41</v>
      </c>
      <c r="L2998" t="s">
        <v>6832</v>
      </c>
      <c r="M2998" t="s">
        <v>960</v>
      </c>
      <c r="N2998" t="s">
        <v>6833</v>
      </c>
      <c r="O2998" t="s">
        <v>75</v>
      </c>
      <c r="R2998" t="s">
        <v>6834</v>
      </c>
      <c r="V2998" t="s">
        <v>6812</v>
      </c>
    </row>
    <row r="2999" spans="1:22" x14ac:dyDescent="0.25">
      <c r="A2999" t="s">
        <v>33</v>
      </c>
      <c r="D2999" t="s">
        <v>6807</v>
      </c>
      <c r="E2999" t="s">
        <v>2859</v>
      </c>
      <c r="F2999" t="s">
        <v>36</v>
      </c>
      <c r="G2999" t="s">
        <v>6831</v>
      </c>
      <c r="H2999" t="s">
        <v>38</v>
      </c>
      <c r="I2999" t="s">
        <v>68</v>
      </c>
      <c r="J2999" t="s">
        <v>69</v>
      </c>
      <c r="K2999" t="s">
        <v>41</v>
      </c>
      <c r="L2999" t="s">
        <v>6832</v>
      </c>
      <c r="M2999" t="s">
        <v>960</v>
      </c>
      <c r="N2999" t="s">
        <v>6833</v>
      </c>
      <c r="O2999" t="s">
        <v>71</v>
      </c>
      <c r="R2999" t="s">
        <v>6835</v>
      </c>
      <c r="V2999" t="s">
        <v>6812</v>
      </c>
    </row>
    <row r="3000" spans="1:22" x14ac:dyDescent="0.25">
      <c r="A3000" t="s">
        <v>33</v>
      </c>
      <c r="D3000" t="s">
        <v>6807</v>
      </c>
      <c r="E3000" t="s">
        <v>2859</v>
      </c>
      <c r="F3000" t="s">
        <v>36</v>
      </c>
      <c r="G3000" t="s">
        <v>6831</v>
      </c>
      <c r="H3000" t="s">
        <v>38</v>
      </c>
      <c r="I3000" t="s">
        <v>63</v>
      </c>
      <c r="J3000" t="s">
        <v>40</v>
      </c>
      <c r="K3000" t="s">
        <v>41</v>
      </c>
      <c r="L3000" t="s">
        <v>6832</v>
      </c>
      <c r="M3000" t="s">
        <v>3483</v>
      </c>
      <c r="N3000" t="s">
        <v>6833</v>
      </c>
      <c r="O3000" t="s">
        <v>65</v>
      </c>
      <c r="R3000" t="s">
        <v>6836</v>
      </c>
      <c r="V3000" t="s">
        <v>6812</v>
      </c>
    </row>
    <row r="3001" spans="1:22" x14ac:dyDescent="0.25">
      <c r="A3001" t="s">
        <v>33</v>
      </c>
      <c r="D3001" t="s">
        <v>6807</v>
      </c>
      <c r="E3001" t="s">
        <v>2859</v>
      </c>
      <c r="F3001" t="s">
        <v>36</v>
      </c>
      <c r="G3001" t="s">
        <v>6837</v>
      </c>
      <c r="H3001" t="s">
        <v>38</v>
      </c>
      <c r="I3001" t="s">
        <v>63</v>
      </c>
      <c r="J3001" t="s">
        <v>40</v>
      </c>
      <c r="K3001" t="s">
        <v>41</v>
      </c>
      <c r="L3001" t="s">
        <v>6838</v>
      </c>
      <c r="M3001" t="s">
        <v>3483</v>
      </c>
      <c r="N3001" t="s">
        <v>6839</v>
      </c>
      <c r="O3001" t="s">
        <v>65</v>
      </c>
      <c r="R3001" t="s">
        <v>6840</v>
      </c>
      <c r="V3001" t="s">
        <v>6812</v>
      </c>
    </row>
    <row r="3002" spans="1:22" x14ac:dyDescent="0.25">
      <c r="A3002" t="s">
        <v>33</v>
      </c>
      <c r="D3002" t="s">
        <v>6807</v>
      </c>
      <c r="E3002" t="s">
        <v>2859</v>
      </c>
      <c r="F3002" t="s">
        <v>36</v>
      </c>
      <c r="G3002" t="s">
        <v>6837</v>
      </c>
      <c r="H3002" t="s">
        <v>38</v>
      </c>
      <c r="I3002" t="s">
        <v>74</v>
      </c>
      <c r="J3002" t="s">
        <v>69</v>
      </c>
      <c r="K3002" t="s">
        <v>41</v>
      </c>
      <c r="L3002" t="s">
        <v>6838</v>
      </c>
      <c r="M3002" t="s">
        <v>960</v>
      </c>
      <c r="N3002" t="s">
        <v>6839</v>
      </c>
      <c r="O3002" t="s">
        <v>75</v>
      </c>
      <c r="R3002" t="s">
        <v>6841</v>
      </c>
      <c r="V3002" t="s">
        <v>6812</v>
      </c>
    </row>
    <row r="3003" spans="1:22" x14ac:dyDescent="0.25">
      <c r="A3003" t="s">
        <v>33</v>
      </c>
      <c r="D3003" t="s">
        <v>6807</v>
      </c>
      <c r="E3003" t="s">
        <v>2859</v>
      </c>
      <c r="F3003" t="s">
        <v>36</v>
      </c>
      <c r="G3003" t="s">
        <v>6837</v>
      </c>
      <c r="H3003" t="s">
        <v>38</v>
      </c>
      <c r="I3003" t="s">
        <v>68</v>
      </c>
      <c r="J3003" t="s">
        <v>69</v>
      </c>
      <c r="K3003" t="s">
        <v>41</v>
      </c>
      <c r="L3003" t="s">
        <v>6838</v>
      </c>
      <c r="M3003" t="s">
        <v>960</v>
      </c>
      <c r="N3003" t="s">
        <v>6839</v>
      </c>
      <c r="O3003" t="s">
        <v>71</v>
      </c>
      <c r="R3003" t="s">
        <v>6842</v>
      </c>
      <c r="V3003" t="s">
        <v>6812</v>
      </c>
    </row>
    <row r="3004" spans="1:22" x14ac:dyDescent="0.25">
      <c r="A3004" t="s">
        <v>33</v>
      </c>
      <c r="D3004" t="s">
        <v>6807</v>
      </c>
      <c r="E3004" t="s">
        <v>2848</v>
      </c>
      <c r="F3004" t="s">
        <v>36</v>
      </c>
      <c r="G3004" t="s">
        <v>6843</v>
      </c>
      <c r="H3004" t="s">
        <v>38</v>
      </c>
      <c r="I3004" t="s">
        <v>74</v>
      </c>
      <c r="J3004" t="s">
        <v>69</v>
      </c>
      <c r="K3004" t="s">
        <v>41</v>
      </c>
      <c r="L3004" t="s">
        <v>6844</v>
      </c>
      <c r="M3004" t="s">
        <v>6825</v>
      </c>
      <c r="N3004" t="s">
        <v>6845</v>
      </c>
      <c r="O3004" t="s">
        <v>75</v>
      </c>
      <c r="R3004" t="s">
        <v>6846</v>
      </c>
      <c r="V3004" t="s">
        <v>6812</v>
      </c>
    </row>
    <row r="3005" spans="1:22" x14ac:dyDescent="0.25">
      <c r="A3005" t="s">
        <v>33</v>
      </c>
      <c r="D3005" t="s">
        <v>6807</v>
      </c>
      <c r="E3005" t="s">
        <v>2848</v>
      </c>
      <c r="F3005" t="s">
        <v>36</v>
      </c>
      <c r="G3005" t="s">
        <v>6843</v>
      </c>
      <c r="H3005" t="s">
        <v>38</v>
      </c>
      <c r="I3005" t="s">
        <v>68</v>
      </c>
      <c r="J3005" t="s">
        <v>69</v>
      </c>
      <c r="K3005" t="s">
        <v>41</v>
      </c>
      <c r="L3005" t="s">
        <v>6844</v>
      </c>
      <c r="M3005" t="s">
        <v>6825</v>
      </c>
      <c r="N3005" t="s">
        <v>6845</v>
      </c>
      <c r="O3005" t="s">
        <v>71</v>
      </c>
      <c r="R3005" t="s">
        <v>6847</v>
      </c>
      <c r="V3005" t="s">
        <v>6812</v>
      </c>
    </row>
    <row r="3006" spans="1:22" x14ac:dyDescent="0.25">
      <c r="A3006" t="s">
        <v>33</v>
      </c>
      <c r="D3006" t="s">
        <v>6807</v>
      </c>
      <c r="E3006" t="s">
        <v>2848</v>
      </c>
      <c r="F3006" t="s">
        <v>36</v>
      </c>
      <c r="G3006" t="s">
        <v>6843</v>
      </c>
      <c r="H3006" t="s">
        <v>38</v>
      </c>
      <c r="I3006" t="s">
        <v>63</v>
      </c>
      <c r="J3006" t="s">
        <v>40</v>
      </c>
      <c r="K3006" t="s">
        <v>41</v>
      </c>
      <c r="L3006" t="s">
        <v>6844</v>
      </c>
      <c r="M3006" t="s">
        <v>6829</v>
      </c>
      <c r="N3006" t="s">
        <v>6845</v>
      </c>
      <c r="O3006" t="s">
        <v>65</v>
      </c>
      <c r="R3006" t="s">
        <v>6848</v>
      </c>
      <c r="V3006" t="s">
        <v>6812</v>
      </c>
    </row>
    <row r="3007" spans="1:22" x14ac:dyDescent="0.25">
      <c r="A3007" t="s">
        <v>33</v>
      </c>
      <c r="D3007" t="s">
        <v>6807</v>
      </c>
      <c r="E3007" t="s">
        <v>2859</v>
      </c>
      <c r="F3007" t="s">
        <v>78</v>
      </c>
      <c r="G3007" t="s">
        <v>6849</v>
      </c>
      <c r="H3007" t="s">
        <v>38</v>
      </c>
      <c r="I3007" t="s">
        <v>257</v>
      </c>
      <c r="J3007" t="s">
        <v>40</v>
      </c>
      <c r="K3007" t="s">
        <v>41</v>
      </c>
      <c r="L3007" t="s">
        <v>6850</v>
      </c>
      <c r="M3007" t="s">
        <v>82</v>
      </c>
      <c r="N3007" t="s">
        <v>6851</v>
      </c>
      <c r="O3007" t="s">
        <v>258</v>
      </c>
      <c r="R3007" t="s">
        <v>6852</v>
      </c>
      <c r="V3007" t="s">
        <v>6812</v>
      </c>
    </row>
    <row r="3008" spans="1:22" x14ac:dyDescent="0.25">
      <c r="A3008" t="s">
        <v>33</v>
      </c>
      <c r="D3008" t="s">
        <v>6807</v>
      </c>
      <c r="E3008" t="s">
        <v>2859</v>
      </c>
      <c r="F3008" t="s">
        <v>78</v>
      </c>
      <c r="G3008" t="s">
        <v>6849</v>
      </c>
      <c r="H3008" t="s">
        <v>143</v>
      </c>
      <c r="I3008" t="s">
        <v>261</v>
      </c>
      <c r="J3008" t="s">
        <v>145</v>
      </c>
      <c r="K3008" t="s">
        <v>262</v>
      </c>
      <c r="L3008" t="s">
        <v>6850</v>
      </c>
      <c r="M3008" t="s">
        <v>3327</v>
      </c>
      <c r="N3008" t="s">
        <v>6851</v>
      </c>
      <c r="O3008" t="s">
        <v>263</v>
      </c>
      <c r="R3008" t="s">
        <v>6853</v>
      </c>
      <c r="V3008" t="s">
        <v>6812</v>
      </c>
    </row>
    <row r="3009" spans="1:22" x14ac:dyDescent="0.25">
      <c r="A3009" t="s">
        <v>33</v>
      </c>
      <c r="D3009" t="s">
        <v>6807</v>
      </c>
      <c r="E3009" t="s">
        <v>2859</v>
      </c>
      <c r="F3009" t="s">
        <v>78</v>
      </c>
      <c r="G3009" t="s">
        <v>6849</v>
      </c>
      <c r="H3009" t="s">
        <v>143</v>
      </c>
      <c r="I3009" t="s">
        <v>261</v>
      </c>
      <c r="J3009" t="s">
        <v>145</v>
      </c>
      <c r="K3009" t="s">
        <v>146</v>
      </c>
      <c r="L3009" t="s">
        <v>6850</v>
      </c>
      <c r="M3009" t="s">
        <v>3327</v>
      </c>
      <c r="N3009" t="s">
        <v>6851</v>
      </c>
      <c r="O3009" t="s">
        <v>263</v>
      </c>
      <c r="R3009" t="s">
        <v>6854</v>
      </c>
      <c r="V3009" t="s">
        <v>6812</v>
      </c>
    </row>
    <row r="3010" spans="1:22" x14ac:dyDescent="0.25">
      <c r="A3010" t="s">
        <v>33</v>
      </c>
      <c r="D3010" t="s">
        <v>6807</v>
      </c>
      <c r="E3010" t="s">
        <v>2859</v>
      </c>
      <c r="F3010" t="s">
        <v>87</v>
      </c>
      <c r="G3010" t="s">
        <v>6855</v>
      </c>
      <c r="H3010" t="s">
        <v>38</v>
      </c>
      <c r="I3010" t="s">
        <v>106</v>
      </c>
      <c r="J3010" t="s">
        <v>40</v>
      </c>
      <c r="K3010" t="s">
        <v>41</v>
      </c>
      <c r="L3010" t="s">
        <v>6856</v>
      </c>
      <c r="M3010" t="s">
        <v>3327</v>
      </c>
      <c r="N3010" t="s">
        <v>6857</v>
      </c>
      <c r="O3010" t="s">
        <v>109</v>
      </c>
      <c r="R3010" t="s">
        <v>6858</v>
      </c>
      <c r="V3010" t="s">
        <v>6812</v>
      </c>
    </row>
    <row r="3011" spans="1:22" x14ac:dyDescent="0.25">
      <c r="A3011" t="s">
        <v>33</v>
      </c>
      <c r="D3011" t="s">
        <v>6807</v>
      </c>
      <c r="E3011" t="s">
        <v>2859</v>
      </c>
      <c r="F3011" t="s">
        <v>87</v>
      </c>
      <c r="G3011" t="s">
        <v>6859</v>
      </c>
      <c r="H3011" t="s">
        <v>153</v>
      </c>
      <c r="I3011" t="s">
        <v>180</v>
      </c>
      <c r="J3011" t="s">
        <v>154</v>
      </c>
      <c r="K3011" t="s">
        <v>155</v>
      </c>
      <c r="L3011" t="s">
        <v>6860</v>
      </c>
      <c r="N3011" t="s">
        <v>6861</v>
      </c>
      <c r="O3011" t="s">
        <v>187</v>
      </c>
      <c r="R3011" t="s">
        <v>6862</v>
      </c>
      <c r="V3011" t="s">
        <v>6812</v>
      </c>
    </row>
    <row r="3012" spans="1:22" x14ac:dyDescent="0.25">
      <c r="A3012" t="s">
        <v>33</v>
      </c>
      <c r="D3012" t="s">
        <v>6807</v>
      </c>
      <c r="E3012" t="s">
        <v>2859</v>
      </c>
      <c r="F3012" t="s">
        <v>87</v>
      </c>
      <c r="G3012" t="s">
        <v>6859</v>
      </c>
      <c r="H3012" t="s">
        <v>153</v>
      </c>
      <c r="I3012" t="s">
        <v>100</v>
      </c>
      <c r="J3012" t="s">
        <v>154</v>
      </c>
      <c r="K3012" t="s">
        <v>155</v>
      </c>
      <c r="L3012" t="s">
        <v>6860</v>
      </c>
      <c r="N3012" t="s">
        <v>6861</v>
      </c>
      <c r="O3012" t="s">
        <v>448</v>
      </c>
      <c r="R3012" t="s">
        <v>2828</v>
      </c>
      <c r="V3012" t="s">
        <v>6812</v>
      </c>
    </row>
    <row r="3013" spans="1:22" x14ac:dyDescent="0.25">
      <c r="A3013" t="s">
        <v>33</v>
      </c>
      <c r="D3013" t="s">
        <v>6807</v>
      </c>
      <c r="E3013" t="s">
        <v>2859</v>
      </c>
      <c r="F3013" t="s">
        <v>87</v>
      </c>
      <c r="G3013" t="s">
        <v>6859</v>
      </c>
      <c r="H3013" t="s">
        <v>153</v>
      </c>
      <c r="I3013" t="s">
        <v>90</v>
      </c>
      <c r="J3013" t="s">
        <v>154</v>
      </c>
      <c r="K3013" t="s">
        <v>155</v>
      </c>
      <c r="L3013" t="s">
        <v>6860</v>
      </c>
      <c r="N3013" t="s">
        <v>6861</v>
      </c>
      <c r="O3013" t="s">
        <v>386</v>
      </c>
      <c r="R3013" t="s">
        <v>6863</v>
      </c>
      <c r="V3013" t="s">
        <v>6812</v>
      </c>
    </row>
    <row r="3014" spans="1:22" x14ac:dyDescent="0.25">
      <c r="A3014" t="s">
        <v>33</v>
      </c>
      <c r="D3014" t="s">
        <v>6807</v>
      </c>
      <c r="E3014" t="s">
        <v>2859</v>
      </c>
      <c r="F3014" t="s">
        <v>87</v>
      </c>
      <c r="G3014" t="s">
        <v>6859</v>
      </c>
      <c r="H3014" t="s">
        <v>153</v>
      </c>
      <c r="I3014" t="s">
        <v>144</v>
      </c>
      <c r="J3014" t="s">
        <v>154</v>
      </c>
      <c r="K3014" t="s">
        <v>155</v>
      </c>
      <c r="L3014" t="s">
        <v>6860</v>
      </c>
      <c r="N3014" t="s">
        <v>6861</v>
      </c>
      <c r="O3014" t="s">
        <v>156</v>
      </c>
      <c r="R3014" t="s">
        <v>6864</v>
      </c>
      <c r="V3014" t="s">
        <v>6812</v>
      </c>
    </row>
    <row r="3015" spans="1:22" x14ac:dyDescent="0.25">
      <c r="A3015" t="s">
        <v>33</v>
      </c>
      <c r="D3015" t="s">
        <v>6807</v>
      </c>
      <c r="E3015" t="s">
        <v>2859</v>
      </c>
      <c r="F3015" t="s">
        <v>87</v>
      </c>
      <c r="G3015" t="s">
        <v>6859</v>
      </c>
      <c r="H3015" t="s">
        <v>38</v>
      </c>
      <c r="I3015" t="s">
        <v>106</v>
      </c>
      <c r="J3015" t="s">
        <v>40</v>
      </c>
      <c r="K3015" t="s">
        <v>41</v>
      </c>
      <c r="L3015" t="s">
        <v>6860</v>
      </c>
      <c r="M3015" t="s">
        <v>3327</v>
      </c>
      <c r="N3015" t="s">
        <v>6861</v>
      </c>
      <c r="O3015" t="s">
        <v>109</v>
      </c>
      <c r="R3015" t="s">
        <v>6865</v>
      </c>
      <c r="V3015" t="s">
        <v>6812</v>
      </c>
    </row>
    <row r="3016" spans="1:22" x14ac:dyDescent="0.25">
      <c r="A3016" t="s">
        <v>33</v>
      </c>
      <c r="D3016" t="s">
        <v>6807</v>
      </c>
      <c r="E3016" t="s">
        <v>2859</v>
      </c>
      <c r="F3016" t="s">
        <v>87</v>
      </c>
      <c r="G3016" t="s">
        <v>6859</v>
      </c>
      <c r="H3016" t="s">
        <v>143</v>
      </c>
      <c r="I3016" t="s">
        <v>90</v>
      </c>
      <c r="J3016" t="s">
        <v>145</v>
      </c>
      <c r="K3016" t="s">
        <v>146</v>
      </c>
      <c r="L3016" t="s">
        <v>6860</v>
      </c>
      <c r="M3016" t="s">
        <v>3327</v>
      </c>
      <c r="N3016" t="s">
        <v>6861</v>
      </c>
      <c r="O3016" t="s">
        <v>380</v>
      </c>
      <c r="R3016" t="s">
        <v>6866</v>
      </c>
      <c r="V3016" t="s">
        <v>6812</v>
      </c>
    </row>
    <row r="3017" spans="1:22" x14ac:dyDescent="0.25">
      <c r="A3017" t="s">
        <v>33</v>
      </c>
      <c r="D3017" t="s">
        <v>6807</v>
      </c>
      <c r="E3017" t="s">
        <v>2859</v>
      </c>
      <c r="F3017" t="s">
        <v>87</v>
      </c>
      <c r="G3017" t="s">
        <v>6859</v>
      </c>
      <c r="H3017" t="s">
        <v>143</v>
      </c>
      <c r="I3017" t="s">
        <v>144</v>
      </c>
      <c r="J3017" t="s">
        <v>145</v>
      </c>
      <c r="K3017" t="s">
        <v>146</v>
      </c>
      <c r="L3017" t="s">
        <v>6860</v>
      </c>
      <c r="M3017" t="s">
        <v>3327</v>
      </c>
      <c r="N3017" t="s">
        <v>6861</v>
      </c>
      <c r="O3017" t="s">
        <v>147</v>
      </c>
      <c r="R3017" t="s">
        <v>6867</v>
      </c>
      <c r="V3017" t="s">
        <v>6812</v>
      </c>
    </row>
    <row r="3018" spans="1:22" x14ac:dyDescent="0.25">
      <c r="A3018" t="s">
        <v>33</v>
      </c>
      <c r="D3018" t="s">
        <v>6807</v>
      </c>
      <c r="E3018" t="s">
        <v>2859</v>
      </c>
      <c r="F3018" t="s">
        <v>87</v>
      </c>
      <c r="G3018" t="s">
        <v>6859</v>
      </c>
      <c r="H3018" t="s">
        <v>143</v>
      </c>
      <c r="I3018" t="s">
        <v>180</v>
      </c>
      <c r="J3018" t="s">
        <v>145</v>
      </c>
      <c r="K3018" t="s">
        <v>146</v>
      </c>
      <c r="L3018" t="s">
        <v>6860</v>
      </c>
      <c r="M3018" t="s">
        <v>3327</v>
      </c>
      <c r="N3018" t="s">
        <v>6861</v>
      </c>
      <c r="O3018" t="s">
        <v>181</v>
      </c>
      <c r="R3018" t="s">
        <v>6868</v>
      </c>
      <c r="V3018" t="s">
        <v>6812</v>
      </c>
    </row>
    <row r="3019" spans="1:22" x14ac:dyDescent="0.25">
      <c r="A3019" t="s">
        <v>33</v>
      </c>
      <c r="D3019" t="s">
        <v>6807</v>
      </c>
      <c r="E3019" t="s">
        <v>2859</v>
      </c>
      <c r="F3019" t="s">
        <v>87</v>
      </c>
      <c r="G3019" t="s">
        <v>6859</v>
      </c>
      <c r="H3019" t="s">
        <v>143</v>
      </c>
      <c r="I3019" t="s">
        <v>100</v>
      </c>
      <c r="J3019" t="s">
        <v>145</v>
      </c>
      <c r="K3019" t="s">
        <v>146</v>
      </c>
      <c r="L3019" t="s">
        <v>6860</v>
      </c>
      <c r="M3019" t="s">
        <v>3327</v>
      </c>
      <c r="N3019" t="s">
        <v>6861</v>
      </c>
      <c r="O3019" t="s">
        <v>442</v>
      </c>
      <c r="R3019" t="s">
        <v>6869</v>
      </c>
      <c r="V3019" t="s">
        <v>6812</v>
      </c>
    </row>
    <row r="3020" spans="1:22" x14ac:dyDescent="0.25">
      <c r="A3020" t="s">
        <v>33</v>
      </c>
      <c r="D3020" t="s">
        <v>6807</v>
      </c>
      <c r="E3020" t="s">
        <v>2859</v>
      </c>
      <c r="F3020" t="s">
        <v>87</v>
      </c>
      <c r="G3020" t="s">
        <v>6870</v>
      </c>
      <c r="H3020" t="s">
        <v>153</v>
      </c>
      <c r="I3020" t="s">
        <v>144</v>
      </c>
      <c r="J3020" t="s">
        <v>154</v>
      </c>
      <c r="K3020" t="s">
        <v>155</v>
      </c>
      <c r="L3020" t="s">
        <v>6871</v>
      </c>
      <c r="N3020" t="s">
        <v>6872</v>
      </c>
      <c r="O3020" t="s">
        <v>213</v>
      </c>
      <c r="R3020" t="s">
        <v>6873</v>
      </c>
      <c r="V3020" t="s">
        <v>6812</v>
      </c>
    </row>
    <row r="3021" spans="1:22" x14ac:dyDescent="0.25">
      <c r="A3021" t="s">
        <v>33</v>
      </c>
      <c r="D3021" t="s">
        <v>6807</v>
      </c>
      <c r="E3021" t="s">
        <v>2859</v>
      </c>
      <c r="F3021" t="s">
        <v>87</v>
      </c>
      <c r="G3021" t="s">
        <v>6870</v>
      </c>
      <c r="H3021" t="s">
        <v>166</v>
      </c>
      <c r="I3021" t="s">
        <v>216</v>
      </c>
      <c r="J3021" t="s">
        <v>167</v>
      </c>
      <c r="K3021" t="s">
        <v>41</v>
      </c>
      <c r="L3021" t="s">
        <v>6871</v>
      </c>
      <c r="M3021" t="s">
        <v>6874</v>
      </c>
      <c r="N3021" t="s">
        <v>6872</v>
      </c>
      <c r="O3021" t="s">
        <v>217</v>
      </c>
      <c r="Q3021" t="s">
        <v>3192</v>
      </c>
      <c r="R3021" t="s">
        <v>6875</v>
      </c>
      <c r="V3021" t="s">
        <v>6812</v>
      </c>
    </row>
    <row r="3022" spans="1:22" x14ac:dyDescent="0.25">
      <c r="A3022" t="s">
        <v>33</v>
      </c>
      <c r="D3022" t="s">
        <v>6807</v>
      </c>
      <c r="E3022" t="s">
        <v>2859</v>
      </c>
      <c r="F3022" t="s">
        <v>87</v>
      </c>
      <c r="G3022" t="s">
        <v>6876</v>
      </c>
      <c r="H3022" t="s">
        <v>153</v>
      </c>
      <c r="I3022" t="s">
        <v>144</v>
      </c>
      <c r="J3022" t="s">
        <v>154</v>
      </c>
      <c r="K3022" t="s">
        <v>155</v>
      </c>
      <c r="L3022" t="s">
        <v>6877</v>
      </c>
      <c r="N3022" t="s">
        <v>6878</v>
      </c>
      <c r="O3022" t="s">
        <v>213</v>
      </c>
      <c r="R3022" t="s">
        <v>6034</v>
      </c>
      <c r="V3022" t="s">
        <v>6812</v>
      </c>
    </row>
    <row r="3023" spans="1:22" x14ac:dyDescent="0.25">
      <c r="A3023" t="s">
        <v>33</v>
      </c>
      <c r="D3023" t="s">
        <v>6807</v>
      </c>
      <c r="E3023" t="s">
        <v>2859</v>
      </c>
      <c r="F3023" t="s">
        <v>87</v>
      </c>
      <c r="G3023" t="s">
        <v>6876</v>
      </c>
      <c r="H3023" t="s">
        <v>166</v>
      </c>
      <c r="I3023" t="s">
        <v>216</v>
      </c>
      <c r="J3023" t="s">
        <v>167</v>
      </c>
      <c r="K3023" t="s">
        <v>41</v>
      </c>
      <c r="L3023" t="s">
        <v>6877</v>
      </c>
      <c r="N3023" t="s">
        <v>6878</v>
      </c>
      <c r="O3023" t="s">
        <v>217</v>
      </c>
      <c r="Q3023" t="s">
        <v>3192</v>
      </c>
      <c r="R3023" t="s">
        <v>6879</v>
      </c>
      <c r="V3023" t="s">
        <v>6812</v>
      </c>
    </row>
    <row r="3024" spans="1:22" x14ac:dyDescent="0.25">
      <c r="A3024" t="s">
        <v>33</v>
      </c>
      <c r="D3024" t="s">
        <v>6807</v>
      </c>
      <c r="E3024" t="s">
        <v>2859</v>
      </c>
      <c r="F3024" t="s">
        <v>87</v>
      </c>
      <c r="G3024" t="s">
        <v>6880</v>
      </c>
      <c r="H3024" t="s">
        <v>153</v>
      </c>
      <c r="I3024" t="s">
        <v>90</v>
      </c>
      <c r="J3024" t="s">
        <v>154</v>
      </c>
      <c r="K3024" t="s">
        <v>155</v>
      </c>
      <c r="L3024" t="s">
        <v>6881</v>
      </c>
      <c r="N3024" t="s">
        <v>6882</v>
      </c>
      <c r="O3024" t="s">
        <v>213</v>
      </c>
      <c r="R3024" t="s">
        <v>2991</v>
      </c>
      <c r="V3024" t="s">
        <v>6812</v>
      </c>
    </row>
    <row r="3025" spans="1:22" x14ac:dyDescent="0.25">
      <c r="A3025" t="s">
        <v>33</v>
      </c>
      <c r="D3025" t="s">
        <v>6807</v>
      </c>
      <c r="E3025" t="s">
        <v>2859</v>
      </c>
      <c r="F3025" t="s">
        <v>87</v>
      </c>
      <c r="G3025" t="s">
        <v>6880</v>
      </c>
      <c r="H3025" t="s">
        <v>166</v>
      </c>
      <c r="I3025" t="s">
        <v>216</v>
      </c>
      <c r="J3025" t="s">
        <v>167</v>
      </c>
      <c r="K3025" t="s">
        <v>41</v>
      </c>
      <c r="L3025" t="s">
        <v>6881</v>
      </c>
      <c r="M3025" t="s">
        <v>6874</v>
      </c>
      <c r="N3025" t="s">
        <v>6882</v>
      </c>
      <c r="O3025" t="s">
        <v>217</v>
      </c>
      <c r="Q3025" t="s">
        <v>3192</v>
      </c>
      <c r="R3025" t="s">
        <v>6883</v>
      </c>
      <c r="V3025" t="s">
        <v>6812</v>
      </c>
    </row>
    <row r="3026" spans="1:22" x14ac:dyDescent="0.25">
      <c r="A3026" t="s">
        <v>33</v>
      </c>
      <c r="D3026" t="s">
        <v>6807</v>
      </c>
      <c r="E3026" t="s">
        <v>2859</v>
      </c>
      <c r="F3026" t="s">
        <v>87</v>
      </c>
      <c r="G3026" t="s">
        <v>6884</v>
      </c>
      <c r="H3026" t="s">
        <v>153</v>
      </c>
      <c r="I3026" t="s">
        <v>180</v>
      </c>
      <c r="J3026" t="s">
        <v>154</v>
      </c>
      <c r="K3026" t="s">
        <v>155</v>
      </c>
      <c r="L3026" t="s">
        <v>6885</v>
      </c>
      <c r="N3026" t="s">
        <v>6886</v>
      </c>
      <c r="O3026" t="s">
        <v>213</v>
      </c>
      <c r="R3026" t="s">
        <v>6887</v>
      </c>
      <c r="V3026" t="s">
        <v>6812</v>
      </c>
    </row>
    <row r="3027" spans="1:22" x14ac:dyDescent="0.25">
      <c r="A3027" t="s">
        <v>33</v>
      </c>
      <c r="D3027" t="s">
        <v>6807</v>
      </c>
      <c r="E3027" t="s">
        <v>2859</v>
      </c>
      <c r="F3027" t="s">
        <v>87</v>
      </c>
      <c r="G3027" t="s">
        <v>6884</v>
      </c>
      <c r="H3027" t="s">
        <v>166</v>
      </c>
      <c r="I3027" t="s">
        <v>216</v>
      </c>
      <c r="J3027" t="s">
        <v>167</v>
      </c>
      <c r="K3027" t="s">
        <v>41</v>
      </c>
      <c r="L3027" t="s">
        <v>6885</v>
      </c>
      <c r="M3027" t="s">
        <v>6874</v>
      </c>
      <c r="N3027" t="s">
        <v>6886</v>
      </c>
      <c r="O3027" t="s">
        <v>217</v>
      </c>
      <c r="Q3027" t="s">
        <v>3228</v>
      </c>
      <c r="R3027" t="s">
        <v>6888</v>
      </c>
      <c r="V3027" t="s">
        <v>6812</v>
      </c>
    </row>
    <row r="3028" spans="1:22" x14ac:dyDescent="0.25">
      <c r="A3028" t="s">
        <v>33</v>
      </c>
      <c r="D3028" t="s">
        <v>6807</v>
      </c>
      <c r="E3028" t="s">
        <v>2859</v>
      </c>
      <c r="F3028" t="s">
        <v>87</v>
      </c>
      <c r="G3028" t="s">
        <v>6889</v>
      </c>
      <c r="H3028" t="s">
        <v>153</v>
      </c>
      <c r="I3028" t="s">
        <v>180</v>
      </c>
      <c r="J3028" t="s">
        <v>154</v>
      </c>
      <c r="K3028" t="s">
        <v>155</v>
      </c>
      <c r="L3028" t="s">
        <v>6890</v>
      </c>
      <c r="N3028" t="s">
        <v>6891</v>
      </c>
      <c r="O3028" t="s">
        <v>213</v>
      </c>
      <c r="R3028" t="s">
        <v>5739</v>
      </c>
      <c r="V3028" t="s">
        <v>6812</v>
      </c>
    </row>
    <row r="3029" spans="1:22" x14ac:dyDescent="0.25">
      <c r="A3029" t="s">
        <v>33</v>
      </c>
      <c r="D3029" t="s">
        <v>6807</v>
      </c>
      <c r="E3029" t="s">
        <v>2859</v>
      </c>
      <c r="F3029" t="s">
        <v>87</v>
      </c>
      <c r="G3029" t="s">
        <v>6889</v>
      </c>
      <c r="H3029" t="s">
        <v>166</v>
      </c>
      <c r="I3029" t="s">
        <v>216</v>
      </c>
      <c r="J3029" t="s">
        <v>167</v>
      </c>
      <c r="K3029" t="s">
        <v>41</v>
      </c>
      <c r="L3029" t="s">
        <v>6890</v>
      </c>
      <c r="N3029" t="s">
        <v>6891</v>
      </c>
      <c r="O3029" t="s">
        <v>217</v>
      </c>
      <c r="Q3029" t="s">
        <v>3228</v>
      </c>
      <c r="R3029" t="s">
        <v>6892</v>
      </c>
      <c r="V3029" t="s">
        <v>6812</v>
      </c>
    </row>
    <row r="3030" spans="1:22" x14ac:dyDescent="0.25">
      <c r="A3030" t="s">
        <v>33</v>
      </c>
      <c r="D3030" t="s">
        <v>6807</v>
      </c>
      <c r="E3030" t="s">
        <v>2859</v>
      </c>
      <c r="F3030" t="s">
        <v>87</v>
      </c>
      <c r="G3030" t="s">
        <v>6893</v>
      </c>
      <c r="H3030" t="s">
        <v>153</v>
      </c>
      <c r="I3030" t="s">
        <v>100</v>
      </c>
      <c r="J3030" t="s">
        <v>154</v>
      </c>
      <c r="K3030" t="s">
        <v>155</v>
      </c>
      <c r="L3030" t="s">
        <v>6894</v>
      </c>
      <c r="N3030" t="s">
        <v>6895</v>
      </c>
      <c r="O3030" t="s">
        <v>213</v>
      </c>
      <c r="R3030" t="s">
        <v>2832</v>
      </c>
      <c r="V3030" t="s">
        <v>6812</v>
      </c>
    </row>
    <row r="3031" spans="1:22" x14ac:dyDescent="0.25">
      <c r="A3031" t="s">
        <v>33</v>
      </c>
      <c r="D3031" t="s">
        <v>6807</v>
      </c>
      <c r="E3031" t="s">
        <v>2859</v>
      </c>
      <c r="F3031" t="s">
        <v>87</v>
      </c>
      <c r="G3031" t="s">
        <v>6893</v>
      </c>
      <c r="H3031" t="s">
        <v>166</v>
      </c>
      <c r="I3031" t="s">
        <v>216</v>
      </c>
      <c r="J3031" t="s">
        <v>167</v>
      </c>
      <c r="K3031" t="s">
        <v>41</v>
      </c>
      <c r="L3031" t="s">
        <v>6894</v>
      </c>
      <c r="M3031" t="s">
        <v>6874</v>
      </c>
      <c r="N3031" t="s">
        <v>6895</v>
      </c>
      <c r="O3031" t="s">
        <v>217</v>
      </c>
      <c r="Q3031" t="s">
        <v>3228</v>
      </c>
      <c r="R3031" t="s">
        <v>6896</v>
      </c>
      <c r="V3031" t="s">
        <v>6812</v>
      </c>
    </row>
    <row r="3032" spans="1:22" x14ac:dyDescent="0.25">
      <c r="A3032" t="s">
        <v>33</v>
      </c>
      <c r="D3032" t="s">
        <v>6807</v>
      </c>
      <c r="E3032" t="s">
        <v>2859</v>
      </c>
      <c r="F3032" t="s">
        <v>78</v>
      </c>
      <c r="G3032" t="s">
        <v>6897</v>
      </c>
      <c r="H3032" t="s">
        <v>38</v>
      </c>
      <c r="I3032" t="s">
        <v>257</v>
      </c>
      <c r="J3032" t="s">
        <v>40</v>
      </c>
      <c r="K3032" t="s">
        <v>41</v>
      </c>
      <c r="L3032" t="s">
        <v>6898</v>
      </c>
      <c r="M3032" t="s">
        <v>82</v>
      </c>
      <c r="N3032" t="s">
        <v>6899</v>
      </c>
      <c r="O3032" t="s">
        <v>258</v>
      </c>
      <c r="R3032" t="s">
        <v>6900</v>
      </c>
      <c r="V3032" t="s">
        <v>6812</v>
      </c>
    </row>
    <row r="3033" spans="1:22" x14ac:dyDescent="0.25">
      <c r="A3033" t="s">
        <v>33</v>
      </c>
      <c r="D3033" t="s">
        <v>6807</v>
      </c>
      <c r="E3033" t="s">
        <v>2859</v>
      </c>
      <c r="F3033" t="s">
        <v>78</v>
      </c>
      <c r="G3033" t="s">
        <v>6897</v>
      </c>
      <c r="H3033" t="s">
        <v>143</v>
      </c>
      <c r="I3033" t="s">
        <v>261</v>
      </c>
      <c r="J3033" t="s">
        <v>145</v>
      </c>
      <c r="K3033" t="s">
        <v>262</v>
      </c>
      <c r="L3033" t="s">
        <v>6898</v>
      </c>
      <c r="M3033" t="s">
        <v>252</v>
      </c>
      <c r="N3033" t="s">
        <v>6899</v>
      </c>
      <c r="O3033" t="s">
        <v>263</v>
      </c>
      <c r="R3033" t="s">
        <v>6901</v>
      </c>
      <c r="V3033" t="s">
        <v>6812</v>
      </c>
    </row>
    <row r="3034" spans="1:22" x14ac:dyDescent="0.25">
      <c r="A3034" t="s">
        <v>33</v>
      </c>
      <c r="D3034" t="s">
        <v>6807</v>
      </c>
      <c r="E3034" t="s">
        <v>2859</v>
      </c>
      <c r="F3034" t="s">
        <v>78</v>
      </c>
      <c r="G3034" t="s">
        <v>6897</v>
      </c>
      <c r="H3034" t="s">
        <v>143</v>
      </c>
      <c r="I3034" t="s">
        <v>261</v>
      </c>
      <c r="J3034" t="s">
        <v>145</v>
      </c>
      <c r="K3034" t="s">
        <v>146</v>
      </c>
      <c r="L3034" t="s">
        <v>6898</v>
      </c>
      <c r="M3034" t="s">
        <v>252</v>
      </c>
      <c r="N3034" t="s">
        <v>6899</v>
      </c>
      <c r="O3034" t="s">
        <v>263</v>
      </c>
      <c r="R3034" t="s">
        <v>6902</v>
      </c>
      <c r="V3034" t="s">
        <v>6812</v>
      </c>
    </row>
    <row r="3035" spans="1:22" x14ac:dyDescent="0.25">
      <c r="A3035" t="s">
        <v>33</v>
      </c>
      <c r="D3035" t="s">
        <v>6807</v>
      </c>
      <c r="E3035" t="s">
        <v>2869</v>
      </c>
      <c r="F3035" t="s">
        <v>87</v>
      </c>
      <c r="G3035" t="s">
        <v>6903</v>
      </c>
      <c r="H3035" t="s">
        <v>153</v>
      </c>
      <c r="I3035" t="s">
        <v>90</v>
      </c>
      <c r="J3035" t="s">
        <v>154</v>
      </c>
      <c r="K3035" t="s">
        <v>155</v>
      </c>
      <c r="L3035" t="s">
        <v>6904</v>
      </c>
      <c r="N3035" t="s">
        <v>4087</v>
      </c>
      <c r="O3035" t="s">
        <v>386</v>
      </c>
      <c r="R3035" t="s">
        <v>211</v>
      </c>
      <c r="V3035" t="s">
        <v>6812</v>
      </c>
    </row>
    <row r="3036" spans="1:22" x14ac:dyDescent="0.25">
      <c r="A3036" t="s">
        <v>33</v>
      </c>
      <c r="D3036" t="s">
        <v>6807</v>
      </c>
      <c r="E3036" t="s">
        <v>2869</v>
      </c>
      <c r="F3036" t="s">
        <v>87</v>
      </c>
      <c r="G3036" t="s">
        <v>6903</v>
      </c>
      <c r="H3036" t="s">
        <v>153</v>
      </c>
      <c r="I3036" t="s">
        <v>144</v>
      </c>
      <c r="J3036" t="s">
        <v>154</v>
      </c>
      <c r="K3036" t="s">
        <v>155</v>
      </c>
      <c r="L3036" t="s">
        <v>6904</v>
      </c>
      <c r="N3036" t="s">
        <v>4087</v>
      </c>
      <c r="O3036" t="s">
        <v>156</v>
      </c>
      <c r="R3036" t="s">
        <v>224</v>
      </c>
      <c r="V3036" t="s">
        <v>6812</v>
      </c>
    </row>
    <row r="3037" spans="1:22" x14ac:dyDescent="0.25">
      <c r="A3037" t="s">
        <v>33</v>
      </c>
      <c r="D3037" t="s">
        <v>6807</v>
      </c>
      <c r="E3037" t="s">
        <v>2869</v>
      </c>
      <c r="F3037" t="s">
        <v>87</v>
      </c>
      <c r="G3037" t="s">
        <v>6903</v>
      </c>
      <c r="H3037" t="s">
        <v>153</v>
      </c>
      <c r="I3037" t="s">
        <v>180</v>
      </c>
      <c r="J3037" t="s">
        <v>154</v>
      </c>
      <c r="K3037" t="s">
        <v>155</v>
      </c>
      <c r="L3037" t="s">
        <v>6904</v>
      </c>
      <c r="N3037" t="s">
        <v>4087</v>
      </c>
      <c r="O3037" t="s">
        <v>187</v>
      </c>
      <c r="R3037" t="s">
        <v>157</v>
      </c>
      <c r="V3037" t="s">
        <v>6812</v>
      </c>
    </row>
    <row r="3038" spans="1:22" x14ac:dyDescent="0.25">
      <c r="A3038" t="s">
        <v>33</v>
      </c>
      <c r="D3038" t="s">
        <v>6807</v>
      </c>
      <c r="E3038" t="s">
        <v>2869</v>
      </c>
      <c r="F3038" t="s">
        <v>87</v>
      </c>
      <c r="G3038" t="s">
        <v>6903</v>
      </c>
      <c r="H3038" t="s">
        <v>153</v>
      </c>
      <c r="I3038" t="s">
        <v>100</v>
      </c>
      <c r="J3038" t="s">
        <v>154</v>
      </c>
      <c r="K3038" t="s">
        <v>155</v>
      </c>
      <c r="L3038" t="s">
        <v>6904</v>
      </c>
      <c r="N3038" t="s">
        <v>4087</v>
      </c>
      <c r="O3038" t="s">
        <v>448</v>
      </c>
      <c r="R3038" t="s">
        <v>239</v>
      </c>
      <c r="V3038" t="s">
        <v>6812</v>
      </c>
    </row>
    <row r="3039" spans="1:22" x14ac:dyDescent="0.25">
      <c r="A3039" t="s">
        <v>33</v>
      </c>
      <c r="D3039" t="s">
        <v>6807</v>
      </c>
      <c r="E3039" t="s">
        <v>2869</v>
      </c>
      <c r="F3039" t="s">
        <v>87</v>
      </c>
      <c r="G3039" t="s">
        <v>6903</v>
      </c>
      <c r="H3039" t="s">
        <v>38</v>
      </c>
      <c r="I3039" t="s">
        <v>106</v>
      </c>
      <c r="J3039" t="s">
        <v>40</v>
      </c>
      <c r="K3039" t="s">
        <v>41</v>
      </c>
      <c r="L3039" t="s">
        <v>6904</v>
      </c>
      <c r="M3039" t="s">
        <v>252</v>
      </c>
      <c r="N3039" t="s">
        <v>4087</v>
      </c>
      <c r="O3039" t="s">
        <v>109</v>
      </c>
      <c r="R3039" t="s">
        <v>6905</v>
      </c>
      <c r="V3039" t="s">
        <v>6812</v>
      </c>
    </row>
    <row r="3040" spans="1:22" x14ac:dyDescent="0.25">
      <c r="A3040" t="s">
        <v>33</v>
      </c>
      <c r="D3040" t="s">
        <v>6807</v>
      </c>
      <c r="E3040" t="s">
        <v>2869</v>
      </c>
      <c r="F3040" t="s">
        <v>87</v>
      </c>
      <c r="G3040" t="s">
        <v>6903</v>
      </c>
      <c r="H3040" t="s">
        <v>143</v>
      </c>
      <c r="I3040" t="s">
        <v>90</v>
      </c>
      <c r="J3040" t="s">
        <v>145</v>
      </c>
      <c r="K3040" t="s">
        <v>146</v>
      </c>
      <c r="L3040" t="s">
        <v>6904</v>
      </c>
      <c r="M3040" t="s">
        <v>252</v>
      </c>
      <c r="N3040" t="s">
        <v>4087</v>
      </c>
      <c r="O3040" t="s">
        <v>380</v>
      </c>
      <c r="R3040" t="s">
        <v>6906</v>
      </c>
      <c r="V3040" t="s">
        <v>6812</v>
      </c>
    </row>
    <row r="3041" spans="1:22" x14ac:dyDescent="0.25">
      <c r="A3041" t="s">
        <v>33</v>
      </c>
      <c r="D3041" t="s">
        <v>6807</v>
      </c>
      <c r="E3041" t="s">
        <v>2869</v>
      </c>
      <c r="F3041" t="s">
        <v>87</v>
      </c>
      <c r="G3041" t="s">
        <v>6903</v>
      </c>
      <c r="H3041" t="s">
        <v>143</v>
      </c>
      <c r="I3041" t="s">
        <v>144</v>
      </c>
      <c r="J3041" t="s">
        <v>145</v>
      </c>
      <c r="K3041" t="s">
        <v>146</v>
      </c>
      <c r="L3041" t="s">
        <v>6904</v>
      </c>
      <c r="M3041" t="s">
        <v>252</v>
      </c>
      <c r="N3041" t="s">
        <v>4087</v>
      </c>
      <c r="O3041" t="s">
        <v>147</v>
      </c>
      <c r="R3041" t="s">
        <v>6907</v>
      </c>
      <c r="V3041" t="s">
        <v>6812</v>
      </c>
    </row>
    <row r="3042" spans="1:22" x14ac:dyDescent="0.25">
      <c r="A3042" t="s">
        <v>33</v>
      </c>
      <c r="D3042" t="s">
        <v>6807</v>
      </c>
      <c r="E3042" t="s">
        <v>2869</v>
      </c>
      <c r="F3042" t="s">
        <v>87</v>
      </c>
      <c r="G3042" t="s">
        <v>6903</v>
      </c>
      <c r="H3042" t="s">
        <v>143</v>
      </c>
      <c r="I3042" t="s">
        <v>180</v>
      </c>
      <c r="J3042" t="s">
        <v>145</v>
      </c>
      <c r="K3042" t="s">
        <v>146</v>
      </c>
      <c r="L3042" t="s">
        <v>6904</v>
      </c>
      <c r="M3042" t="s">
        <v>252</v>
      </c>
      <c r="N3042" t="s">
        <v>4087</v>
      </c>
      <c r="O3042" t="s">
        <v>181</v>
      </c>
      <c r="R3042" t="s">
        <v>6908</v>
      </c>
      <c r="V3042" t="s">
        <v>6812</v>
      </c>
    </row>
    <row r="3043" spans="1:22" x14ac:dyDescent="0.25">
      <c r="A3043" t="s">
        <v>33</v>
      </c>
      <c r="D3043" t="s">
        <v>6807</v>
      </c>
      <c r="E3043" t="s">
        <v>2869</v>
      </c>
      <c r="F3043" t="s">
        <v>87</v>
      </c>
      <c r="G3043" t="s">
        <v>6903</v>
      </c>
      <c r="H3043" t="s">
        <v>143</v>
      </c>
      <c r="I3043" t="s">
        <v>100</v>
      </c>
      <c r="J3043" t="s">
        <v>145</v>
      </c>
      <c r="K3043" t="s">
        <v>146</v>
      </c>
      <c r="L3043" t="s">
        <v>6904</v>
      </c>
      <c r="M3043" t="s">
        <v>252</v>
      </c>
      <c r="N3043" t="s">
        <v>4087</v>
      </c>
      <c r="O3043" t="s">
        <v>442</v>
      </c>
      <c r="R3043" t="s">
        <v>6909</v>
      </c>
      <c r="V3043" t="s">
        <v>6812</v>
      </c>
    </row>
    <row r="3044" spans="1:22" x14ac:dyDescent="0.25">
      <c r="A3044" t="s">
        <v>33</v>
      </c>
      <c r="D3044" t="s">
        <v>6807</v>
      </c>
      <c r="E3044" t="s">
        <v>2859</v>
      </c>
      <c r="F3044" t="s">
        <v>87</v>
      </c>
      <c r="G3044" t="s">
        <v>6910</v>
      </c>
      <c r="H3044" t="s">
        <v>153</v>
      </c>
      <c r="I3044" t="s">
        <v>90</v>
      </c>
      <c r="J3044" t="s">
        <v>154</v>
      </c>
      <c r="K3044" t="s">
        <v>155</v>
      </c>
      <c r="L3044" t="s">
        <v>6911</v>
      </c>
      <c r="N3044" t="s">
        <v>6912</v>
      </c>
      <c r="O3044" t="s">
        <v>386</v>
      </c>
      <c r="R3044" t="s">
        <v>6913</v>
      </c>
      <c r="V3044" t="s">
        <v>6812</v>
      </c>
    </row>
    <row r="3045" spans="1:22" x14ac:dyDescent="0.25">
      <c r="A3045" t="s">
        <v>33</v>
      </c>
      <c r="D3045" t="s">
        <v>6807</v>
      </c>
      <c r="E3045" t="s">
        <v>2859</v>
      </c>
      <c r="F3045" t="s">
        <v>87</v>
      </c>
      <c r="G3045" t="s">
        <v>6910</v>
      </c>
      <c r="H3045" t="s">
        <v>153</v>
      </c>
      <c r="I3045" t="s">
        <v>144</v>
      </c>
      <c r="J3045" t="s">
        <v>154</v>
      </c>
      <c r="K3045" t="s">
        <v>155</v>
      </c>
      <c r="L3045" t="s">
        <v>6911</v>
      </c>
      <c r="N3045" t="s">
        <v>6912</v>
      </c>
      <c r="O3045" t="s">
        <v>156</v>
      </c>
      <c r="R3045" t="s">
        <v>6914</v>
      </c>
      <c r="V3045" t="s">
        <v>6812</v>
      </c>
    </row>
    <row r="3046" spans="1:22" x14ac:dyDescent="0.25">
      <c r="A3046" t="s">
        <v>33</v>
      </c>
      <c r="D3046" t="s">
        <v>6807</v>
      </c>
      <c r="E3046" t="s">
        <v>2859</v>
      </c>
      <c r="F3046" t="s">
        <v>87</v>
      </c>
      <c r="G3046" t="s">
        <v>6910</v>
      </c>
      <c r="H3046" t="s">
        <v>38</v>
      </c>
      <c r="I3046" t="s">
        <v>106</v>
      </c>
      <c r="J3046" t="s">
        <v>40</v>
      </c>
      <c r="K3046" t="s">
        <v>41</v>
      </c>
      <c r="L3046" t="s">
        <v>6911</v>
      </c>
      <c r="M3046" t="s">
        <v>252</v>
      </c>
      <c r="N3046" t="s">
        <v>6912</v>
      </c>
      <c r="O3046" t="s">
        <v>109</v>
      </c>
      <c r="R3046" t="s">
        <v>6915</v>
      </c>
      <c r="V3046" t="s">
        <v>6812</v>
      </c>
    </row>
    <row r="3047" spans="1:22" x14ac:dyDescent="0.25">
      <c r="A3047" t="s">
        <v>33</v>
      </c>
      <c r="D3047" t="s">
        <v>6807</v>
      </c>
      <c r="E3047" t="s">
        <v>2859</v>
      </c>
      <c r="F3047" t="s">
        <v>87</v>
      </c>
      <c r="G3047" t="s">
        <v>6910</v>
      </c>
      <c r="H3047" t="s">
        <v>143</v>
      </c>
      <c r="I3047" t="s">
        <v>90</v>
      </c>
      <c r="J3047" t="s">
        <v>145</v>
      </c>
      <c r="K3047" t="s">
        <v>146</v>
      </c>
      <c r="L3047" t="s">
        <v>6911</v>
      </c>
      <c r="M3047" t="s">
        <v>252</v>
      </c>
      <c r="N3047" t="s">
        <v>6912</v>
      </c>
      <c r="O3047" t="s">
        <v>380</v>
      </c>
      <c r="R3047" t="s">
        <v>6916</v>
      </c>
      <c r="V3047" t="s">
        <v>6812</v>
      </c>
    </row>
    <row r="3048" spans="1:22" x14ac:dyDescent="0.25">
      <c r="A3048" t="s">
        <v>33</v>
      </c>
      <c r="D3048" t="s">
        <v>6807</v>
      </c>
      <c r="E3048" t="s">
        <v>2859</v>
      </c>
      <c r="F3048" t="s">
        <v>87</v>
      </c>
      <c r="G3048" t="s">
        <v>6910</v>
      </c>
      <c r="H3048" t="s">
        <v>143</v>
      </c>
      <c r="I3048" t="s">
        <v>144</v>
      </c>
      <c r="J3048" t="s">
        <v>145</v>
      </c>
      <c r="K3048" t="s">
        <v>146</v>
      </c>
      <c r="L3048" t="s">
        <v>6911</v>
      </c>
      <c r="M3048" t="s">
        <v>252</v>
      </c>
      <c r="N3048" t="s">
        <v>6912</v>
      </c>
      <c r="O3048" t="s">
        <v>147</v>
      </c>
      <c r="R3048" t="s">
        <v>6917</v>
      </c>
      <c r="V3048" t="s">
        <v>6812</v>
      </c>
    </row>
    <row r="3049" spans="1:22" x14ac:dyDescent="0.25">
      <c r="A3049" t="s">
        <v>33</v>
      </c>
      <c r="D3049" t="s">
        <v>6807</v>
      </c>
      <c r="E3049" t="s">
        <v>2859</v>
      </c>
      <c r="F3049" t="s">
        <v>87</v>
      </c>
      <c r="G3049" t="s">
        <v>6918</v>
      </c>
      <c r="H3049" t="s">
        <v>153</v>
      </c>
      <c r="I3049" t="s">
        <v>90</v>
      </c>
      <c r="J3049" t="s">
        <v>154</v>
      </c>
      <c r="K3049" t="s">
        <v>155</v>
      </c>
      <c r="L3049" t="s">
        <v>6919</v>
      </c>
      <c r="N3049" t="s">
        <v>6920</v>
      </c>
      <c r="O3049" t="s">
        <v>386</v>
      </c>
      <c r="R3049" t="s">
        <v>6921</v>
      </c>
      <c r="V3049" t="s">
        <v>6812</v>
      </c>
    </row>
    <row r="3050" spans="1:22" x14ac:dyDescent="0.25">
      <c r="A3050" t="s">
        <v>33</v>
      </c>
      <c r="D3050" t="s">
        <v>6807</v>
      </c>
      <c r="E3050" t="s">
        <v>2859</v>
      </c>
      <c r="F3050" t="s">
        <v>87</v>
      </c>
      <c r="G3050" t="s">
        <v>6918</v>
      </c>
      <c r="H3050" t="s">
        <v>153</v>
      </c>
      <c r="I3050" t="s">
        <v>144</v>
      </c>
      <c r="J3050" t="s">
        <v>154</v>
      </c>
      <c r="K3050" t="s">
        <v>155</v>
      </c>
      <c r="L3050" t="s">
        <v>6919</v>
      </c>
      <c r="N3050" t="s">
        <v>6920</v>
      </c>
      <c r="O3050" t="s">
        <v>156</v>
      </c>
      <c r="R3050" t="s">
        <v>6922</v>
      </c>
      <c r="V3050" t="s">
        <v>6812</v>
      </c>
    </row>
    <row r="3051" spans="1:22" x14ac:dyDescent="0.25">
      <c r="A3051" t="s">
        <v>33</v>
      </c>
      <c r="D3051" t="s">
        <v>6807</v>
      </c>
      <c r="E3051" t="s">
        <v>2859</v>
      </c>
      <c r="F3051" t="s">
        <v>87</v>
      </c>
      <c r="G3051" t="s">
        <v>6918</v>
      </c>
      <c r="H3051" t="s">
        <v>153</v>
      </c>
      <c r="I3051" t="s">
        <v>180</v>
      </c>
      <c r="J3051" t="s">
        <v>154</v>
      </c>
      <c r="K3051" t="s">
        <v>155</v>
      </c>
      <c r="L3051" t="s">
        <v>6919</v>
      </c>
      <c r="N3051" t="s">
        <v>6920</v>
      </c>
      <c r="O3051" t="s">
        <v>187</v>
      </c>
      <c r="R3051" t="s">
        <v>2986</v>
      </c>
      <c r="V3051" t="s">
        <v>6812</v>
      </c>
    </row>
    <row r="3052" spans="1:22" x14ac:dyDescent="0.25">
      <c r="A3052" t="s">
        <v>33</v>
      </c>
      <c r="D3052" t="s">
        <v>6807</v>
      </c>
      <c r="E3052" t="s">
        <v>2859</v>
      </c>
      <c r="F3052" t="s">
        <v>87</v>
      </c>
      <c r="G3052" t="s">
        <v>6918</v>
      </c>
      <c r="H3052" t="s">
        <v>153</v>
      </c>
      <c r="I3052" t="s">
        <v>100</v>
      </c>
      <c r="J3052" t="s">
        <v>154</v>
      </c>
      <c r="K3052" t="s">
        <v>155</v>
      </c>
      <c r="L3052" t="s">
        <v>6919</v>
      </c>
      <c r="N3052" t="s">
        <v>6920</v>
      </c>
      <c r="O3052" t="s">
        <v>448</v>
      </c>
      <c r="R3052" t="s">
        <v>6923</v>
      </c>
      <c r="V3052" t="s">
        <v>6812</v>
      </c>
    </row>
    <row r="3053" spans="1:22" x14ac:dyDescent="0.25">
      <c r="A3053" t="s">
        <v>33</v>
      </c>
      <c r="D3053" t="s">
        <v>6807</v>
      </c>
      <c r="E3053" t="s">
        <v>2859</v>
      </c>
      <c r="F3053" t="s">
        <v>87</v>
      </c>
      <c r="G3053" t="s">
        <v>6918</v>
      </c>
      <c r="H3053" t="s">
        <v>38</v>
      </c>
      <c r="I3053" t="s">
        <v>106</v>
      </c>
      <c r="J3053" t="s">
        <v>40</v>
      </c>
      <c r="K3053" t="s">
        <v>41</v>
      </c>
      <c r="L3053" t="s">
        <v>6919</v>
      </c>
      <c r="M3053" t="s">
        <v>252</v>
      </c>
      <c r="N3053" t="s">
        <v>6920</v>
      </c>
      <c r="O3053" t="s">
        <v>109</v>
      </c>
      <c r="R3053" t="s">
        <v>6924</v>
      </c>
      <c r="V3053" t="s">
        <v>6812</v>
      </c>
    </row>
    <row r="3054" spans="1:22" x14ac:dyDescent="0.25">
      <c r="A3054" t="s">
        <v>33</v>
      </c>
      <c r="D3054" t="s">
        <v>6807</v>
      </c>
      <c r="E3054" t="s">
        <v>2859</v>
      </c>
      <c r="F3054" t="s">
        <v>87</v>
      </c>
      <c r="G3054" t="s">
        <v>6918</v>
      </c>
      <c r="H3054" t="s">
        <v>143</v>
      </c>
      <c r="I3054" t="s">
        <v>90</v>
      </c>
      <c r="J3054" t="s">
        <v>145</v>
      </c>
      <c r="K3054" t="s">
        <v>146</v>
      </c>
      <c r="L3054" t="s">
        <v>6919</v>
      </c>
      <c r="M3054" t="s">
        <v>252</v>
      </c>
      <c r="N3054" t="s">
        <v>6920</v>
      </c>
      <c r="O3054" t="s">
        <v>380</v>
      </c>
      <c r="R3054" t="s">
        <v>6925</v>
      </c>
      <c r="V3054" t="s">
        <v>6812</v>
      </c>
    </row>
    <row r="3055" spans="1:22" x14ac:dyDescent="0.25">
      <c r="A3055" t="s">
        <v>33</v>
      </c>
      <c r="D3055" t="s">
        <v>6807</v>
      </c>
      <c r="E3055" t="s">
        <v>2859</v>
      </c>
      <c r="F3055" t="s">
        <v>87</v>
      </c>
      <c r="G3055" t="s">
        <v>6918</v>
      </c>
      <c r="H3055" t="s">
        <v>143</v>
      </c>
      <c r="I3055" t="s">
        <v>144</v>
      </c>
      <c r="J3055" t="s">
        <v>145</v>
      </c>
      <c r="K3055" t="s">
        <v>146</v>
      </c>
      <c r="L3055" t="s">
        <v>6919</v>
      </c>
      <c r="M3055" t="s">
        <v>252</v>
      </c>
      <c r="N3055" t="s">
        <v>6920</v>
      </c>
      <c r="O3055" t="s">
        <v>147</v>
      </c>
      <c r="R3055" t="s">
        <v>6926</v>
      </c>
      <c r="V3055" t="s">
        <v>6812</v>
      </c>
    </row>
    <row r="3056" spans="1:22" x14ac:dyDescent="0.25">
      <c r="A3056" t="s">
        <v>33</v>
      </c>
      <c r="D3056" t="s">
        <v>6807</v>
      </c>
      <c r="E3056" t="s">
        <v>2859</v>
      </c>
      <c r="F3056" t="s">
        <v>87</v>
      </c>
      <c r="G3056" t="s">
        <v>6918</v>
      </c>
      <c r="H3056" t="s">
        <v>143</v>
      </c>
      <c r="I3056" t="s">
        <v>180</v>
      </c>
      <c r="J3056" t="s">
        <v>145</v>
      </c>
      <c r="K3056" t="s">
        <v>146</v>
      </c>
      <c r="L3056" t="s">
        <v>6919</v>
      </c>
      <c r="M3056" t="s">
        <v>252</v>
      </c>
      <c r="N3056" t="s">
        <v>6920</v>
      </c>
      <c r="O3056" t="s">
        <v>181</v>
      </c>
      <c r="R3056" t="s">
        <v>6927</v>
      </c>
      <c r="V3056" t="s">
        <v>6812</v>
      </c>
    </row>
    <row r="3057" spans="1:30" x14ac:dyDescent="0.25">
      <c r="A3057" t="s">
        <v>33</v>
      </c>
      <c r="D3057" t="s">
        <v>6807</v>
      </c>
      <c r="E3057" t="s">
        <v>2859</v>
      </c>
      <c r="F3057" t="s">
        <v>87</v>
      </c>
      <c r="G3057" t="s">
        <v>6918</v>
      </c>
      <c r="H3057" t="s">
        <v>143</v>
      </c>
      <c r="I3057" t="s">
        <v>100</v>
      </c>
      <c r="J3057" t="s">
        <v>145</v>
      </c>
      <c r="K3057" t="s">
        <v>146</v>
      </c>
      <c r="L3057" t="s">
        <v>6919</v>
      </c>
      <c r="M3057" t="s">
        <v>252</v>
      </c>
      <c r="N3057" t="s">
        <v>6920</v>
      </c>
      <c r="O3057" t="s">
        <v>442</v>
      </c>
      <c r="R3057" t="s">
        <v>6928</v>
      </c>
      <c r="V3057" t="s">
        <v>6812</v>
      </c>
    </row>
    <row r="3058" spans="1:30" x14ac:dyDescent="0.25">
      <c r="A3058" t="s">
        <v>33</v>
      </c>
      <c r="D3058" t="s">
        <v>6807</v>
      </c>
      <c r="E3058" t="s">
        <v>2859</v>
      </c>
      <c r="F3058" t="s">
        <v>87</v>
      </c>
      <c r="G3058" t="s">
        <v>6929</v>
      </c>
      <c r="H3058" t="s">
        <v>153</v>
      </c>
      <c r="I3058" t="s">
        <v>90</v>
      </c>
      <c r="J3058" t="s">
        <v>154</v>
      </c>
      <c r="K3058" t="s">
        <v>155</v>
      </c>
      <c r="L3058" t="s">
        <v>6930</v>
      </c>
      <c r="N3058" t="s">
        <v>6931</v>
      </c>
      <c r="O3058" t="s">
        <v>386</v>
      </c>
      <c r="R3058" t="s">
        <v>3003</v>
      </c>
      <c r="V3058" t="s">
        <v>6812</v>
      </c>
    </row>
    <row r="3059" spans="1:30" x14ac:dyDescent="0.25">
      <c r="A3059" t="s">
        <v>33</v>
      </c>
      <c r="D3059" t="s">
        <v>6807</v>
      </c>
      <c r="E3059" t="s">
        <v>2859</v>
      </c>
      <c r="F3059" t="s">
        <v>87</v>
      </c>
      <c r="G3059" t="s">
        <v>6929</v>
      </c>
      <c r="H3059" t="s">
        <v>153</v>
      </c>
      <c r="I3059" t="s">
        <v>144</v>
      </c>
      <c r="J3059" t="s">
        <v>154</v>
      </c>
      <c r="K3059" t="s">
        <v>155</v>
      </c>
      <c r="L3059" t="s">
        <v>6930</v>
      </c>
      <c r="N3059" t="s">
        <v>6931</v>
      </c>
      <c r="O3059" t="s">
        <v>156</v>
      </c>
      <c r="R3059" t="s">
        <v>6932</v>
      </c>
      <c r="V3059" t="s">
        <v>6812</v>
      </c>
    </row>
    <row r="3060" spans="1:30" x14ac:dyDescent="0.25">
      <c r="A3060" t="s">
        <v>33</v>
      </c>
      <c r="D3060" t="s">
        <v>6807</v>
      </c>
      <c r="E3060" t="s">
        <v>2859</v>
      </c>
      <c r="F3060" t="s">
        <v>87</v>
      </c>
      <c r="G3060" t="s">
        <v>6929</v>
      </c>
      <c r="H3060" t="s">
        <v>153</v>
      </c>
      <c r="I3060" t="s">
        <v>180</v>
      </c>
      <c r="J3060" t="s">
        <v>154</v>
      </c>
      <c r="K3060" t="s">
        <v>155</v>
      </c>
      <c r="L3060" t="s">
        <v>6930</v>
      </c>
      <c r="N3060" t="s">
        <v>6931</v>
      </c>
      <c r="O3060" t="s">
        <v>187</v>
      </c>
      <c r="R3060" t="s">
        <v>6933</v>
      </c>
      <c r="V3060" t="s">
        <v>6812</v>
      </c>
    </row>
    <row r="3061" spans="1:30" x14ac:dyDescent="0.25">
      <c r="A3061" t="s">
        <v>33</v>
      </c>
      <c r="D3061" t="s">
        <v>6807</v>
      </c>
      <c r="E3061" t="s">
        <v>2859</v>
      </c>
      <c r="F3061" t="s">
        <v>87</v>
      </c>
      <c r="G3061" t="s">
        <v>6929</v>
      </c>
      <c r="H3061" t="s">
        <v>153</v>
      </c>
      <c r="I3061" t="s">
        <v>100</v>
      </c>
      <c r="J3061" t="s">
        <v>154</v>
      </c>
      <c r="K3061" t="s">
        <v>155</v>
      </c>
      <c r="L3061" t="s">
        <v>6930</v>
      </c>
      <c r="N3061" t="s">
        <v>6931</v>
      </c>
      <c r="O3061" t="s">
        <v>448</v>
      </c>
      <c r="R3061" t="s">
        <v>2836</v>
      </c>
      <c r="V3061" t="s">
        <v>6812</v>
      </c>
    </row>
    <row r="3062" spans="1:30" x14ac:dyDescent="0.25">
      <c r="A3062" t="s">
        <v>33</v>
      </c>
      <c r="D3062" t="s">
        <v>6807</v>
      </c>
      <c r="E3062" t="s">
        <v>2859</v>
      </c>
      <c r="F3062" t="s">
        <v>87</v>
      </c>
      <c r="G3062" t="s">
        <v>6929</v>
      </c>
      <c r="H3062" t="s">
        <v>38</v>
      </c>
      <c r="I3062" t="s">
        <v>106</v>
      </c>
      <c r="J3062" t="s">
        <v>40</v>
      </c>
      <c r="K3062" t="s">
        <v>41</v>
      </c>
      <c r="L3062" t="s">
        <v>6930</v>
      </c>
      <c r="M3062" t="s">
        <v>252</v>
      </c>
      <c r="N3062" t="s">
        <v>6931</v>
      </c>
      <c r="O3062" t="s">
        <v>109</v>
      </c>
      <c r="R3062" t="s">
        <v>6934</v>
      </c>
      <c r="V3062" t="s">
        <v>6812</v>
      </c>
    </row>
    <row r="3063" spans="1:30" x14ac:dyDescent="0.25">
      <c r="A3063" t="s">
        <v>33</v>
      </c>
      <c r="D3063" t="s">
        <v>6807</v>
      </c>
      <c r="E3063" t="s">
        <v>2859</v>
      </c>
      <c r="F3063" t="s">
        <v>87</v>
      </c>
      <c r="G3063" t="s">
        <v>6929</v>
      </c>
      <c r="H3063" t="s">
        <v>143</v>
      </c>
      <c r="I3063" t="s">
        <v>90</v>
      </c>
      <c r="J3063" t="s">
        <v>145</v>
      </c>
      <c r="K3063" t="s">
        <v>146</v>
      </c>
      <c r="L3063" t="s">
        <v>6930</v>
      </c>
      <c r="M3063" t="s">
        <v>252</v>
      </c>
      <c r="N3063" t="s">
        <v>6931</v>
      </c>
      <c r="O3063" t="s">
        <v>380</v>
      </c>
      <c r="R3063" t="s">
        <v>6935</v>
      </c>
      <c r="V3063" t="s">
        <v>6812</v>
      </c>
    </row>
    <row r="3064" spans="1:30" x14ac:dyDescent="0.25">
      <c r="A3064" t="s">
        <v>33</v>
      </c>
      <c r="D3064" t="s">
        <v>6807</v>
      </c>
      <c r="E3064" t="s">
        <v>2859</v>
      </c>
      <c r="F3064" t="s">
        <v>87</v>
      </c>
      <c r="G3064" t="s">
        <v>6929</v>
      </c>
      <c r="H3064" t="s">
        <v>143</v>
      </c>
      <c r="I3064" t="s">
        <v>144</v>
      </c>
      <c r="J3064" t="s">
        <v>145</v>
      </c>
      <c r="K3064" t="s">
        <v>146</v>
      </c>
      <c r="L3064" t="s">
        <v>6930</v>
      </c>
      <c r="M3064" t="s">
        <v>252</v>
      </c>
      <c r="N3064" t="s">
        <v>6931</v>
      </c>
      <c r="O3064" t="s">
        <v>147</v>
      </c>
      <c r="R3064" t="s">
        <v>6936</v>
      </c>
      <c r="V3064" t="s">
        <v>6812</v>
      </c>
    </row>
    <row r="3065" spans="1:30" x14ac:dyDescent="0.25">
      <c r="A3065" t="s">
        <v>33</v>
      </c>
      <c r="D3065" t="s">
        <v>6807</v>
      </c>
      <c r="E3065" t="s">
        <v>2859</v>
      </c>
      <c r="F3065" t="s">
        <v>87</v>
      </c>
      <c r="G3065" t="s">
        <v>6929</v>
      </c>
      <c r="H3065" t="s">
        <v>143</v>
      </c>
      <c r="I3065" t="s">
        <v>180</v>
      </c>
      <c r="J3065" t="s">
        <v>145</v>
      </c>
      <c r="K3065" t="s">
        <v>146</v>
      </c>
      <c r="L3065" t="s">
        <v>6930</v>
      </c>
      <c r="M3065" t="s">
        <v>252</v>
      </c>
      <c r="N3065" t="s">
        <v>6931</v>
      </c>
      <c r="O3065" t="s">
        <v>181</v>
      </c>
      <c r="R3065" t="s">
        <v>6937</v>
      </c>
      <c r="V3065" t="s">
        <v>6812</v>
      </c>
    </row>
    <row r="3066" spans="1:30" x14ac:dyDescent="0.25">
      <c r="A3066" t="s">
        <v>33</v>
      </c>
      <c r="D3066" t="s">
        <v>6807</v>
      </c>
      <c r="E3066" t="s">
        <v>2859</v>
      </c>
      <c r="F3066" t="s">
        <v>87</v>
      </c>
      <c r="G3066" t="s">
        <v>6929</v>
      </c>
      <c r="H3066" t="s">
        <v>143</v>
      </c>
      <c r="I3066" t="s">
        <v>100</v>
      </c>
      <c r="J3066" t="s">
        <v>145</v>
      </c>
      <c r="K3066" t="s">
        <v>146</v>
      </c>
      <c r="L3066" t="s">
        <v>6930</v>
      </c>
      <c r="M3066" t="s">
        <v>252</v>
      </c>
      <c r="N3066" t="s">
        <v>6931</v>
      </c>
      <c r="O3066" t="s">
        <v>442</v>
      </c>
      <c r="R3066" t="s">
        <v>6938</v>
      </c>
      <c r="V3066" t="s">
        <v>6812</v>
      </c>
    </row>
    <row r="3067" spans="1:30" x14ac:dyDescent="0.25">
      <c r="A3067" t="s">
        <v>33</v>
      </c>
      <c r="D3067" t="s">
        <v>6807</v>
      </c>
      <c r="E3067" t="s">
        <v>2869</v>
      </c>
      <c r="F3067" t="s">
        <v>2870</v>
      </c>
      <c r="G3067" t="s">
        <v>6939</v>
      </c>
      <c r="H3067" t="s">
        <v>166</v>
      </c>
      <c r="I3067" t="s">
        <v>468</v>
      </c>
      <c r="J3067" t="s">
        <v>167</v>
      </c>
      <c r="K3067" t="s">
        <v>41</v>
      </c>
      <c r="L3067" t="s">
        <v>6940</v>
      </c>
      <c r="N3067" t="s">
        <v>6941</v>
      </c>
      <c r="O3067" t="s">
        <v>471</v>
      </c>
      <c r="Q3067" t="s">
        <v>4195</v>
      </c>
      <c r="R3067" t="s">
        <v>6942</v>
      </c>
      <c r="V3067" t="s">
        <v>6812</v>
      </c>
    </row>
    <row r="3068" spans="1:30" x14ac:dyDescent="0.25">
      <c r="A3068" t="s">
        <v>33</v>
      </c>
      <c r="D3068" t="s">
        <v>6807</v>
      </c>
      <c r="E3068" t="s">
        <v>2869</v>
      </c>
      <c r="F3068" t="s">
        <v>2870</v>
      </c>
      <c r="G3068" t="s">
        <v>6939</v>
      </c>
      <c r="H3068" t="s">
        <v>280</v>
      </c>
      <c r="I3068" t="s">
        <v>504</v>
      </c>
      <c r="J3068" t="s">
        <v>282</v>
      </c>
      <c r="K3068" t="s">
        <v>283</v>
      </c>
      <c r="L3068" t="s">
        <v>6940</v>
      </c>
      <c r="N3068" t="s">
        <v>6941</v>
      </c>
      <c r="O3068" t="s">
        <v>505</v>
      </c>
      <c r="Q3068" t="s">
        <v>3457</v>
      </c>
      <c r="R3068" t="s">
        <v>3458</v>
      </c>
      <c r="V3068" t="s">
        <v>6812</v>
      </c>
    </row>
    <row r="3069" spans="1:30" x14ac:dyDescent="0.25">
      <c r="A3069" t="s">
        <v>33</v>
      </c>
      <c r="D3069" t="s">
        <v>6807</v>
      </c>
      <c r="E3069" t="s">
        <v>2859</v>
      </c>
      <c r="F3069" t="s">
        <v>78</v>
      </c>
      <c r="G3069" t="s">
        <v>6943</v>
      </c>
      <c r="H3069" t="s">
        <v>166</v>
      </c>
      <c r="I3069" t="s">
        <v>160</v>
      </c>
      <c r="J3069" t="s">
        <v>167</v>
      </c>
      <c r="K3069" t="s">
        <v>41</v>
      </c>
      <c r="L3069" t="s">
        <v>6944</v>
      </c>
      <c r="N3069" t="s">
        <v>6945</v>
      </c>
      <c r="O3069" t="s">
        <v>168</v>
      </c>
      <c r="R3069" t="s">
        <v>6946</v>
      </c>
      <c r="V3069" t="s">
        <v>6812</v>
      </c>
    </row>
    <row r="3070" spans="1:30" x14ac:dyDescent="0.25">
      <c r="A3070" t="s">
        <v>33</v>
      </c>
      <c r="D3070" t="s">
        <v>6807</v>
      </c>
      <c r="E3070" t="s">
        <v>2859</v>
      </c>
      <c r="F3070" t="s">
        <v>78</v>
      </c>
      <c r="G3070" t="s">
        <v>6943</v>
      </c>
      <c r="H3070" t="s">
        <v>166</v>
      </c>
      <c r="I3070" t="s">
        <v>243</v>
      </c>
      <c r="J3070" t="s">
        <v>167</v>
      </c>
      <c r="K3070" t="s">
        <v>41</v>
      </c>
      <c r="L3070" t="s">
        <v>6944</v>
      </c>
      <c r="N3070" t="s">
        <v>6945</v>
      </c>
      <c r="O3070" t="s">
        <v>244</v>
      </c>
      <c r="R3070" t="s">
        <v>6947</v>
      </c>
      <c r="V3070" t="s">
        <v>6812</v>
      </c>
    </row>
    <row r="3071" spans="1:30" x14ac:dyDescent="0.25">
      <c r="A3071" t="s">
        <v>238</v>
      </c>
      <c r="B3071" t="s">
        <v>6948</v>
      </c>
      <c r="D3071" t="s">
        <v>6807</v>
      </c>
      <c r="E3071" t="s">
        <v>6814</v>
      </c>
      <c r="F3071" t="s">
        <v>78</v>
      </c>
      <c r="G3071" t="s">
        <v>6949</v>
      </c>
      <c r="L3071" t="s">
        <v>6950</v>
      </c>
      <c r="N3071" t="s">
        <v>6951</v>
      </c>
      <c r="O3071" t="s">
        <v>109</v>
      </c>
      <c r="R3071" t="s">
        <v>6952</v>
      </c>
      <c r="V3071" t="s">
        <v>6812</v>
      </c>
    </row>
    <row r="3072" spans="1:30" x14ac:dyDescent="0.25">
      <c r="A3072" t="s">
        <v>33</v>
      </c>
      <c r="D3072" t="s">
        <v>6953</v>
      </c>
      <c r="E3072" t="s">
        <v>2859</v>
      </c>
      <c r="F3072" t="s">
        <v>87</v>
      </c>
      <c r="G3072" t="s">
        <v>6954</v>
      </c>
      <c r="H3072" t="s">
        <v>153</v>
      </c>
      <c r="I3072" t="s">
        <v>144</v>
      </c>
      <c r="J3072" t="s">
        <v>154</v>
      </c>
      <c r="K3072" t="s">
        <v>155</v>
      </c>
      <c r="L3072" t="s">
        <v>6955</v>
      </c>
      <c r="N3072" t="s">
        <v>6956</v>
      </c>
      <c r="O3072" t="s">
        <v>156</v>
      </c>
      <c r="R3072" t="s">
        <v>6957</v>
      </c>
      <c r="S3072" t="s">
        <v>6958</v>
      </c>
      <c r="V3072" t="s">
        <v>6959</v>
      </c>
      <c r="W3072" t="s">
        <v>6960</v>
      </c>
      <c r="AD3072" t="s">
        <v>6961</v>
      </c>
    </row>
    <row r="3073" spans="1:32" x14ac:dyDescent="0.25">
      <c r="A3073" t="s">
        <v>33</v>
      </c>
      <c r="D3073" t="s">
        <v>6953</v>
      </c>
      <c r="E3073" t="s">
        <v>2859</v>
      </c>
      <c r="F3073" t="s">
        <v>78</v>
      </c>
      <c r="G3073" t="s">
        <v>6962</v>
      </c>
      <c r="H3073" t="s">
        <v>153</v>
      </c>
      <c r="I3073" t="s">
        <v>160</v>
      </c>
      <c r="J3073" t="s">
        <v>154</v>
      </c>
      <c r="K3073" t="s">
        <v>155</v>
      </c>
      <c r="L3073" t="s">
        <v>6963</v>
      </c>
      <c r="N3073" t="s">
        <v>6964</v>
      </c>
      <c r="O3073" t="s">
        <v>163</v>
      </c>
      <c r="R3073" t="s">
        <v>6965</v>
      </c>
      <c r="S3073" t="s">
        <v>6958</v>
      </c>
      <c r="V3073" t="s">
        <v>6959</v>
      </c>
      <c r="W3073" t="s">
        <v>6966</v>
      </c>
      <c r="AD3073" t="s">
        <v>6967</v>
      </c>
    </row>
    <row r="3074" spans="1:32" x14ac:dyDescent="0.25">
      <c r="A3074" t="s">
        <v>33</v>
      </c>
      <c r="D3074" t="s">
        <v>6953</v>
      </c>
      <c r="E3074" t="s">
        <v>2859</v>
      </c>
      <c r="F3074" t="s">
        <v>87</v>
      </c>
      <c r="G3074" t="s">
        <v>6808</v>
      </c>
      <c r="H3074" t="s">
        <v>153</v>
      </c>
      <c r="I3074" t="s">
        <v>144</v>
      </c>
      <c r="J3074" t="s">
        <v>154</v>
      </c>
      <c r="K3074" t="s">
        <v>155</v>
      </c>
      <c r="L3074" t="s">
        <v>6809</v>
      </c>
      <c r="N3074" t="s">
        <v>6968</v>
      </c>
      <c r="O3074" t="s">
        <v>156</v>
      </c>
      <c r="R3074" t="s">
        <v>6969</v>
      </c>
      <c r="S3074" t="s">
        <v>6958</v>
      </c>
      <c r="V3074" t="s">
        <v>6959</v>
      </c>
      <c r="W3074" t="s">
        <v>6966</v>
      </c>
      <c r="AD3074" t="s">
        <v>6970</v>
      </c>
    </row>
    <row r="3075" spans="1:32" x14ac:dyDescent="0.25">
      <c r="A3075" t="s">
        <v>33</v>
      </c>
      <c r="D3075" t="s">
        <v>6953</v>
      </c>
      <c r="E3075" t="s">
        <v>2859</v>
      </c>
      <c r="F3075" t="s">
        <v>87</v>
      </c>
      <c r="G3075" t="s">
        <v>6808</v>
      </c>
      <c r="H3075" t="s">
        <v>143</v>
      </c>
      <c r="I3075" t="s">
        <v>144</v>
      </c>
      <c r="J3075" t="s">
        <v>145</v>
      </c>
      <c r="K3075" t="s">
        <v>262</v>
      </c>
      <c r="L3075" t="s">
        <v>6809</v>
      </c>
      <c r="M3075" t="s">
        <v>82</v>
      </c>
      <c r="N3075" t="s">
        <v>6968</v>
      </c>
      <c r="O3075" t="s">
        <v>147</v>
      </c>
      <c r="R3075" t="s">
        <v>6971</v>
      </c>
      <c r="S3075" t="s">
        <v>6958</v>
      </c>
      <c r="V3075" t="s">
        <v>6959</v>
      </c>
      <c r="W3075" t="s">
        <v>6966</v>
      </c>
      <c r="AD3075" t="s">
        <v>6972</v>
      </c>
    </row>
    <row r="3076" spans="1:32" x14ac:dyDescent="0.25">
      <c r="A3076" t="s">
        <v>33</v>
      </c>
      <c r="D3076" t="s">
        <v>6953</v>
      </c>
      <c r="E3076" t="s">
        <v>2859</v>
      </c>
      <c r="F3076" t="s">
        <v>87</v>
      </c>
      <c r="G3076" t="s">
        <v>6808</v>
      </c>
      <c r="H3076" t="s">
        <v>89</v>
      </c>
      <c r="I3076" t="s">
        <v>144</v>
      </c>
      <c r="J3076" t="s">
        <v>91</v>
      </c>
      <c r="K3076" t="s">
        <v>92</v>
      </c>
      <c r="L3076" t="s">
        <v>6809</v>
      </c>
      <c r="M3076" t="s">
        <v>94</v>
      </c>
      <c r="N3076" t="s">
        <v>6968</v>
      </c>
      <c r="O3076" t="s">
        <v>150</v>
      </c>
      <c r="P3076">
        <v>1E-3</v>
      </c>
      <c r="R3076" t="s">
        <v>6973</v>
      </c>
      <c r="S3076" t="s">
        <v>6958</v>
      </c>
      <c r="V3076" t="s">
        <v>6959</v>
      </c>
      <c r="W3076" t="s">
        <v>6966</v>
      </c>
      <c r="AD3076" t="s">
        <v>6974</v>
      </c>
    </row>
    <row r="3077" spans="1:32" x14ac:dyDescent="0.25">
      <c r="A3077" t="s">
        <v>33</v>
      </c>
      <c r="D3077" t="s">
        <v>6953</v>
      </c>
      <c r="E3077" t="s">
        <v>2859</v>
      </c>
      <c r="F3077" t="s">
        <v>87</v>
      </c>
      <c r="G3077" t="s">
        <v>6808</v>
      </c>
      <c r="H3077" t="s">
        <v>38</v>
      </c>
      <c r="I3077" t="s">
        <v>106</v>
      </c>
      <c r="J3077" t="s">
        <v>40</v>
      </c>
      <c r="K3077" t="s">
        <v>41</v>
      </c>
      <c r="L3077" t="s">
        <v>6809</v>
      </c>
      <c r="M3077" t="s">
        <v>82</v>
      </c>
      <c r="N3077" t="s">
        <v>6968</v>
      </c>
      <c r="O3077" t="s">
        <v>109</v>
      </c>
      <c r="R3077" t="s">
        <v>6975</v>
      </c>
      <c r="S3077" t="s">
        <v>6958</v>
      </c>
      <c r="V3077" t="s">
        <v>6959</v>
      </c>
      <c r="W3077" t="s">
        <v>6966</v>
      </c>
      <c r="AD3077" t="s">
        <v>6976</v>
      </c>
    </row>
    <row r="3078" spans="1:32" x14ac:dyDescent="0.25">
      <c r="A3078" t="s">
        <v>33</v>
      </c>
      <c r="D3078" t="s">
        <v>6953</v>
      </c>
      <c r="E3078" t="s">
        <v>2859</v>
      </c>
      <c r="F3078" t="s">
        <v>87</v>
      </c>
      <c r="G3078" t="s">
        <v>6977</v>
      </c>
      <c r="H3078" t="s">
        <v>153</v>
      </c>
      <c r="I3078" t="s">
        <v>144</v>
      </c>
      <c r="J3078" t="s">
        <v>154</v>
      </c>
      <c r="K3078" t="s">
        <v>155</v>
      </c>
      <c r="L3078" t="s">
        <v>6978</v>
      </c>
      <c r="N3078" t="s">
        <v>6979</v>
      </c>
      <c r="O3078" t="s">
        <v>156</v>
      </c>
      <c r="R3078" t="s">
        <v>6980</v>
      </c>
      <c r="S3078" t="s">
        <v>6958</v>
      </c>
      <c r="V3078" t="s">
        <v>6959</v>
      </c>
      <c r="W3078" t="s">
        <v>6981</v>
      </c>
      <c r="AD3078" t="s">
        <v>6982</v>
      </c>
    </row>
    <row r="3079" spans="1:32" x14ac:dyDescent="0.25">
      <c r="A3079" t="s">
        <v>33</v>
      </c>
      <c r="D3079" t="s">
        <v>6953</v>
      </c>
      <c r="E3079" t="s">
        <v>2859</v>
      </c>
      <c r="F3079" t="s">
        <v>87</v>
      </c>
      <c r="G3079" t="s">
        <v>6977</v>
      </c>
      <c r="H3079" t="s">
        <v>143</v>
      </c>
      <c r="I3079" t="s">
        <v>144</v>
      </c>
      <c r="J3079" t="s">
        <v>145</v>
      </c>
      <c r="K3079" t="s">
        <v>262</v>
      </c>
      <c r="L3079" t="s">
        <v>6978</v>
      </c>
      <c r="M3079" t="s">
        <v>82</v>
      </c>
      <c r="N3079" t="s">
        <v>6979</v>
      </c>
      <c r="O3079" t="s">
        <v>147</v>
      </c>
      <c r="R3079" t="s">
        <v>6983</v>
      </c>
      <c r="S3079" t="s">
        <v>6958</v>
      </c>
      <c r="V3079" t="s">
        <v>6959</v>
      </c>
      <c r="W3079" t="s">
        <v>6981</v>
      </c>
      <c r="AD3079" t="s">
        <v>6984</v>
      </c>
    </row>
    <row r="3080" spans="1:32" x14ac:dyDescent="0.25">
      <c r="A3080" t="s">
        <v>33</v>
      </c>
      <c r="D3080" t="s">
        <v>6953</v>
      </c>
      <c r="E3080" t="s">
        <v>2859</v>
      </c>
      <c r="F3080" t="s">
        <v>87</v>
      </c>
      <c r="G3080" t="s">
        <v>6977</v>
      </c>
      <c r="H3080" t="s">
        <v>89</v>
      </c>
      <c r="I3080" t="s">
        <v>144</v>
      </c>
      <c r="J3080" t="s">
        <v>91</v>
      </c>
      <c r="K3080" t="s">
        <v>92</v>
      </c>
      <c r="L3080" t="s">
        <v>6978</v>
      </c>
      <c r="M3080" t="s">
        <v>94</v>
      </c>
      <c r="N3080" t="s">
        <v>6979</v>
      </c>
      <c r="O3080" t="s">
        <v>150</v>
      </c>
      <c r="P3080">
        <v>1E-3</v>
      </c>
      <c r="R3080" t="s">
        <v>6985</v>
      </c>
      <c r="S3080" t="s">
        <v>6958</v>
      </c>
      <c r="V3080" t="s">
        <v>6959</v>
      </c>
      <c r="W3080" t="s">
        <v>6981</v>
      </c>
      <c r="AD3080" t="s">
        <v>6986</v>
      </c>
    </row>
    <row r="3081" spans="1:32" x14ac:dyDescent="0.25">
      <c r="A3081" t="s">
        <v>33</v>
      </c>
      <c r="D3081" t="s">
        <v>6953</v>
      </c>
      <c r="E3081" t="s">
        <v>2859</v>
      </c>
      <c r="F3081" t="s">
        <v>87</v>
      </c>
      <c r="G3081" t="s">
        <v>6977</v>
      </c>
      <c r="H3081" t="s">
        <v>38</v>
      </c>
      <c r="I3081" t="s">
        <v>106</v>
      </c>
      <c r="J3081" t="s">
        <v>40</v>
      </c>
      <c r="K3081" t="s">
        <v>41</v>
      </c>
      <c r="L3081" t="s">
        <v>6978</v>
      </c>
      <c r="M3081" t="s">
        <v>82</v>
      </c>
      <c r="N3081" t="s">
        <v>6979</v>
      </c>
      <c r="O3081" t="s">
        <v>109</v>
      </c>
      <c r="R3081" t="s">
        <v>6987</v>
      </c>
      <c r="S3081" t="s">
        <v>6958</v>
      </c>
      <c r="V3081" t="s">
        <v>6959</v>
      </c>
      <c r="W3081" t="s">
        <v>6981</v>
      </c>
      <c r="AD3081" t="s">
        <v>6988</v>
      </c>
    </row>
    <row r="3082" spans="1:32" x14ac:dyDescent="0.25">
      <c r="A3082" t="s">
        <v>33</v>
      </c>
      <c r="D3082" t="s">
        <v>6953</v>
      </c>
      <c r="E3082" t="s">
        <v>2859</v>
      </c>
      <c r="F3082" t="s">
        <v>78</v>
      </c>
      <c r="G3082" t="s">
        <v>6989</v>
      </c>
      <c r="H3082" t="s">
        <v>166</v>
      </c>
      <c r="I3082" t="s">
        <v>310</v>
      </c>
      <c r="J3082" t="s">
        <v>167</v>
      </c>
      <c r="K3082" t="s">
        <v>41</v>
      </c>
      <c r="L3082" t="s">
        <v>6990</v>
      </c>
      <c r="N3082" t="s">
        <v>6991</v>
      </c>
      <c r="O3082" t="s">
        <v>311</v>
      </c>
      <c r="Q3082" t="s">
        <v>6992</v>
      </c>
      <c r="R3082" t="s">
        <v>6993</v>
      </c>
      <c r="S3082" t="s">
        <v>6958</v>
      </c>
      <c r="V3082" t="s">
        <v>6959</v>
      </c>
      <c r="W3082" t="s">
        <v>6966</v>
      </c>
      <c r="AD3082" t="s">
        <v>6994</v>
      </c>
    </row>
    <row r="3083" spans="1:32" x14ac:dyDescent="0.25">
      <c r="A3083" t="s">
        <v>33</v>
      </c>
      <c r="D3083" t="s">
        <v>6953</v>
      </c>
      <c r="E3083" t="s">
        <v>2893</v>
      </c>
      <c r="F3083" t="s">
        <v>36</v>
      </c>
      <c r="G3083" t="s">
        <v>6995</v>
      </c>
      <c r="H3083" t="s">
        <v>38</v>
      </c>
      <c r="I3083" t="s">
        <v>68</v>
      </c>
      <c r="J3083" t="s">
        <v>69</v>
      </c>
      <c r="K3083" t="s">
        <v>41</v>
      </c>
      <c r="L3083" t="s">
        <v>6996</v>
      </c>
      <c r="M3083" t="s">
        <v>960</v>
      </c>
      <c r="N3083" t="s">
        <v>6997</v>
      </c>
      <c r="O3083" t="s">
        <v>71</v>
      </c>
      <c r="R3083" t="s">
        <v>6998</v>
      </c>
      <c r="S3083" t="s">
        <v>6958</v>
      </c>
      <c r="V3083" t="s">
        <v>6959</v>
      </c>
      <c r="W3083" t="s">
        <v>6999</v>
      </c>
      <c r="X3083" t="s">
        <v>963</v>
      </c>
      <c r="AD3083" t="s">
        <v>7000</v>
      </c>
    </row>
    <row r="3084" spans="1:32" x14ac:dyDescent="0.25">
      <c r="A3084" t="s">
        <v>33</v>
      </c>
      <c r="D3084" t="s">
        <v>6953</v>
      </c>
      <c r="E3084" t="s">
        <v>2859</v>
      </c>
      <c r="F3084" t="s">
        <v>36</v>
      </c>
      <c r="G3084" t="s">
        <v>7001</v>
      </c>
      <c r="H3084" t="s">
        <v>38</v>
      </c>
      <c r="I3084" t="s">
        <v>68</v>
      </c>
      <c r="J3084" t="s">
        <v>69</v>
      </c>
      <c r="K3084" t="s">
        <v>41</v>
      </c>
      <c r="L3084" t="s">
        <v>7002</v>
      </c>
      <c r="M3084" t="s">
        <v>960</v>
      </c>
      <c r="N3084" t="s">
        <v>7003</v>
      </c>
      <c r="O3084" t="s">
        <v>71</v>
      </c>
      <c r="R3084" t="s">
        <v>7004</v>
      </c>
      <c r="S3084" t="s">
        <v>6958</v>
      </c>
      <c r="V3084" t="s">
        <v>6959</v>
      </c>
      <c r="W3084" t="s">
        <v>6981</v>
      </c>
      <c r="X3084" t="s">
        <v>963</v>
      </c>
      <c r="AD3084" t="s">
        <v>7005</v>
      </c>
    </row>
    <row r="3085" spans="1:32" x14ac:dyDescent="0.25">
      <c r="A3085" t="s">
        <v>33</v>
      </c>
      <c r="D3085" t="s">
        <v>6953</v>
      </c>
      <c r="E3085" t="s">
        <v>2869</v>
      </c>
      <c r="F3085" t="s">
        <v>2870</v>
      </c>
      <c r="G3085" t="s">
        <v>2871</v>
      </c>
      <c r="H3085" t="s">
        <v>153</v>
      </c>
      <c r="I3085" t="s">
        <v>7006</v>
      </c>
      <c r="J3085" t="s">
        <v>154</v>
      </c>
      <c r="K3085" t="s">
        <v>155</v>
      </c>
      <c r="L3085" t="s">
        <v>2873</v>
      </c>
      <c r="N3085" t="s">
        <v>2874</v>
      </c>
      <c r="O3085" t="s">
        <v>7007</v>
      </c>
      <c r="R3085" t="s">
        <v>7008</v>
      </c>
      <c r="S3085" t="s">
        <v>6958</v>
      </c>
      <c r="V3085" t="s">
        <v>6959</v>
      </c>
      <c r="W3085" t="s">
        <v>7009</v>
      </c>
      <c r="AC3085" t="s">
        <v>7007</v>
      </c>
      <c r="AD3085" t="s">
        <v>7010</v>
      </c>
      <c r="AE3085" t="s">
        <v>2890</v>
      </c>
      <c r="AF3085">
        <v>7</v>
      </c>
    </row>
    <row r="3086" spans="1:32" x14ac:dyDescent="0.25">
      <c r="A3086" t="s">
        <v>33</v>
      </c>
      <c r="D3086" t="s">
        <v>6953</v>
      </c>
      <c r="E3086" t="s">
        <v>2859</v>
      </c>
      <c r="F3086" t="s">
        <v>87</v>
      </c>
      <c r="G3086" t="s">
        <v>7011</v>
      </c>
      <c r="H3086" t="s">
        <v>153</v>
      </c>
      <c r="I3086" t="s">
        <v>90</v>
      </c>
      <c r="J3086" t="s">
        <v>154</v>
      </c>
      <c r="K3086" t="s">
        <v>155</v>
      </c>
      <c r="L3086" t="s">
        <v>7012</v>
      </c>
      <c r="N3086" t="s">
        <v>7013</v>
      </c>
      <c r="O3086" t="s">
        <v>213</v>
      </c>
      <c r="R3086" t="s">
        <v>7014</v>
      </c>
      <c r="S3086" t="s">
        <v>6958</v>
      </c>
      <c r="V3086" t="s">
        <v>6959</v>
      </c>
      <c r="W3086" t="s">
        <v>6966</v>
      </c>
      <c r="AD3086" t="s">
        <v>7015</v>
      </c>
    </row>
    <row r="3087" spans="1:32" x14ac:dyDescent="0.25">
      <c r="A3087" t="s">
        <v>33</v>
      </c>
      <c r="D3087" t="s">
        <v>6953</v>
      </c>
      <c r="E3087" t="s">
        <v>2869</v>
      </c>
      <c r="F3087" t="s">
        <v>2870</v>
      </c>
      <c r="G3087" t="s">
        <v>2871</v>
      </c>
      <c r="H3087" t="s">
        <v>153</v>
      </c>
      <c r="I3087" t="s">
        <v>479</v>
      </c>
      <c r="J3087" t="s">
        <v>154</v>
      </c>
      <c r="K3087" t="s">
        <v>155</v>
      </c>
      <c r="L3087" t="s">
        <v>2873</v>
      </c>
      <c r="N3087" t="s">
        <v>2874</v>
      </c>
      <c r="O3087" t="s">
        <v>480</v>
      </c>
      <c r="R3087" t="s">
        <v>7016</v>
      </c>
      <c r="S3087" t="s">
        <v>6958</v>
      </c>
      <c r="V3087" t="s">
        <v>6959</v>
      </c>
      <c r="W3087" t="s">
        <v>7009</v>
      </c>
      <c r="AC3087" t="s">
        <v>813</v>
      </c>
      <c r="AD3087" t="s">
        <v>3430</v>
      </c>
      <c r="AE3087" t="s">
        <v>2890</v>
      </c>
      <c r="AF3087">
        <v>6</v>
      </c>
    </row>
    <row r="3088" spans="1:32" x14ac:dyDescent="0.25">
      <c r="A3088" t="s">
        <v>33</v>
      </c>
      <c r="D3088" t="s">
        <v>6953</v>
      </c>
      <c r="E3088" t="s">
        <v>2869</v>
      </c>
      <c r="F3088" t="s">
        <v>2870</v>
      </c>
      <c r="G3088" t="s">
        <v>2871</v>
      </c>
      <c r="H3088" t="s">
        <v>153</v>
      </c>
      <c r="I3088" t="s">
        <v>3451</v>
      </c>
      <c r="J3088" t="s">
        <v>154</v>
      </c>
      <c r="K3088" t="s">
        <v>155</v>
      </c>
      <c r="L3088" t="s">
        <v>2873</v>
      </c>
      <c r="N3088" t="s">
        <v>2874</v>
      </c>
      <c r="O3088" t="s">
        <v>3452</v>
      </c>
      <c r="R3088" t="s">
        <v>7017</v>
      </c>
      <c r="S3088" t="s">
        <v>6958</v>
      </c>
      <c r="V3088" t="s">
        <v>6959</v>
      </c>
      <c r="W3088" t="s">
        <v>7009</v>
      </c>
      <c r="AD3088" t="s">
        <v>3454</v>
      </c>
    </row>
    <row r="3089" spans="1:30" x14ac:dyDescent="0.25">
      <c r="A3089" t="s">
        <v>33</v>
      </c>
      <c r="D3089" t="s">
        <v>6953</v>
      </c>
      <c r="E3089" t="s">
        <v>2893</v>
      </c>
      <c r="F3089" t="s">
        <v>866</v>
      </c>
      <c r="G3089" t="s">
        <v>7018</v>
      </c>
      <c r="H3089" t="s">
        <v>166</v>
      </c>
      <c r="I3089" t="s">
        <v>1263</v>
      </c>
      <c r="J3089" t="s">
        <v>167</v>
      </c>
      <c r="K3089" t="s">
        <v>41</v>
      </c>
      <c r="L3089" t="s">
        <v>7019</v>
      </c>
      <c r="N3089" t="s">
        <v>7020</v>
      </c>
      <c r="O3089" t="s">
        <v>1264</v>
      </c>
      <c r="Q3089" t="s">
        <v>2541</v>
      </c>
      <c r="R3089" t="s">
        <v>1959</v>
      </c>
      <c r="S3089" t="s">
        <v>6958</v>
      </c>
      <c r="V3089" t="s">
        <v>6959</v>
      </c>
      <c r="W3089" t="s">
        <v>6999</v>
      </c>
      <c r="AD3089" t="s">
        <v>7021</v>
      </c>
    </row>
    <row r="3090" spans="1:30" x14ac:dyDescent="0.25">
      <c r="A3090" t="s">
        <v>33</v>
      </c>
      <c r="D3090" t="s">
        <v>6953</v>
      </c>
      <c r="E3090" t="s">
        <v>2893</v>
      </c>
      <c r="F3090" t="s">
        <v>866</v>
      </c>
      <c r="G3090" t="s">
        <v>7022</v>
      </c>
      <c r="H3090" t="s">
        <v>166</v>
      </c>
      <c r="I3090" t="s">
        <v>1263</v>
      </c>
      <c r="J3090" t="s">
        <v>167</v>
      </c>
      <c r="K3090" t="s">
        <v>41</v>
      </c>
      <c r="L3090" t="s">
        <v>7023</v>
      </c>
      <c r="N3090" t="s">
        <v>7020</v>
      </c>
      <c r="O3090" t="s">
        <v>1264</v>
      </c>
      <c r="Q3090" t="s">
        <v>2541</v>
      </c>
      <c r="R3090" t="s">
        <v>1959</v>
      </c>
      <c r="S3090" t="s">
        <v>6958</v>
      </c>
      <c r="V3090" t="s">
        <v>6959</v>
      </c>
      <c r="W3090" t="s">
        <v>6999</v>
      </c>
      <c r="AD3090" t="s">
        <v>7021</v>
      </c>
    </row>
    <row r="3091" spans="1:30" x14ac:dyDescent="0.25">
      <c r="A3091" t="s">
        <v>33</v>
      </c>
      <c r="D3091" t="s">
        <v>6953</v>
      </c>
      <c r="E3091" t="s">
        <v>2859</v>
      </c>
      <c r="F3091" t="s">
        <v>866</v>
      </c>
      <c r="G3091" t="s">
        <v>7024</v>
      </c>
      <c r="H3091" t="s">
        <v>166</v>
      </c>
      <c r="I3091" t="s">
        <v>1263</v>
      </c>
      <c r="J3091" t="s">
        <v>167</v>
      </c>
      <c r="K3091" t="s">
        <v>41</v>
      </c>
      <c r="L3091" t="s">
        <v>7025</v>
      </c>
      <c r="N3091" t="s">
        <v>3406</v>
      </c>
      <c r="O3091" t="s">
        <v>1264</v>
      </c>
      <c r="Q3091" t="s">
        <v>2541</v>
      </c>
      <c r="R3091" t="s">
        <v>1959</v>
      </c>
      <c r="S3091" t="s">
        <v>6958</v>
      </c>
      <c r="V3091" t="s">
        <v>6959</v>
      </c>
      <c r="W3091" t="s">
        <v>6981</v>
      </c>
      <c r="AD3091" t="s">
        <v>7026</v>
      </c>
    </row>
    <row r="3092" spans="1:30" x14ac:dyDescent="0.25">
      <c r="A3092" t="s">
        <v>33</v>
      </c>
      <c r="D3092" t="s">
        <v>6953</v>
      </c>
      <c r="E3092" t="s">
        <v>2859</v>
      </c>
      <c r="F3092" t="s">
        <v>866</v>
      </c>
      <c r="G3092" t="s">
        <v>7027</v>
      </c>
      <c r="H3092" t="s">
        <v>166</v>
      </c>
      <c r="I3092" t="s">
        <v>1263</v>
      </c>
      <c r="J3092" t="s">
        <v>167</v>
      </c>
      <c r="K3092" t="s">
        <v>41</v>
      </c>
      <c r="L3092" t="s">
        <v>7028</v>
      </c>
      <c r="N3092" t="s">
        <v>3406</v>
      </c>
      <c r="O3092" t="s">
        <v>1264</v>
      </c>
      <c r="Q3092" t="s">
        <v>2541</v>
      </c>
      <c r="R3092" t="s">
        <v>1959</v>
      </c>
      <c r="S3092" t="s">
        <v>6958</v>
      </c>
      <c r="V3092" t="s">
        <v>6959</v>
      </c>
      <c r="W3092" t="s">
        <v>6981</v>
      </c>
      <c r="AD3092" t="s">
        <v>7026</v>
      </c>
    </row>
    <row r="3093" spans="1:30" x14ac:dyDescent="0.25">
      <c r="A3093" t="s">
        <v>33</v>
      </c>
      <c r="D3093" t="s">
        <v>6953</v>
      </c>
      <c r="E3093" t="s">
        <v>2893</v>
      </c>
      <c r="F3093" t="s">
        <v>36</v>
      </c>
      <c r="G3093" t="s">
        <v>6995</v>
      </c>
      <c r="H3093" t="s">
        <v>153</v>
      </c>
      <c r="I3093" t="s">
        <v>144</v>
      </c>
      <c r="J3093" t="s">
        <v>154</v>
      </c>
      <c r="K3093" t="s">
        <v>155</v>
      </c>
      <c r="L3093" t="s">
        <v>6996</v>
      </c>
      <c r="N3093" t="s">
        <v>6997</v>
      </c>
      <c r="O3093" t="s">
        <v>156</v>
      </c>
      <c r="R3093" t="s">
        <v>7029</v>
      </c>
      <c r="S3093" t="s">
        <v>6958</v>
      </c>
      <c r="V3093" t="s">
        <v>6959</v>
      </c>
      <c r="W3093" t="s">
        <v>6999</v>
      </c>
      <c r="AD3093" t="s">
        <v>7030</v>
      </c>
    </row>
    <row r="3094" spans="1:30" x14ac:dyDescent="0.25">
      <c r="A3094" t="s">
        <v>33</v>
      </c>
      <c r="D3094" t="s">
        <v>6953</v>
      </c>
      <c r="E3094" t="s">
        <v>2893</v>
      </c>
      <c r="F3094" t="s">
        <v>36</v>
      </c>
      <c r="G3094" t="s">
        <v>6995</v>
      </c>
      <c r="H3094" t="s">
        <v>143</v>
      </c>
      <c r="I3094" t="s">
        <v>144</v>
      </c>
      <c r="J3094" t="s">
        <v>145</v>
      </c>
      <c r="K3094" t="s">
        <v>262</v>
      </c>
      <c r="L3094" t="s">
        <v>6996</v>
      </c>
      <c r="M3094" t="s">
        <v>3483</v>
      </c>
      <c r="N3094" t="s">
        <v>6997</v>
      </c>
      <c r="O3094" t="s">
        <v>147</v>
      </c>
      <c r="R3094" t="s">
        <v>7031</v>
      </c>
      <c r="S3094" t="s">
        <v>6958</v>
      </c>
      <c r="V3094" t="s">
        <v>6959</v>
      </c>
      <c r="W3094" t="s">
        <v>6999</v>
      </c>
      <c r="X3094" t="s">
        <v>963</v>
      </c>
      <c r="AD3094" t="s">
        <v>7032</v>
      </c>
    </row>
    <row r="3095" spans="1:30" x14ac:dyDescent="0.25">
      <c r="A3095" t="s">
        <v>33</v>
      </c>
      <c r="D3095" t="s">
        <v>6953</v>
      </c>
      <c r="E3095" t="s">
        <v>2893</v>
      </c>
      <c r="F3095" t="s">
        <v>36</v>
      </c>
      <c r="G3095" t="s">
        <v>6995</v>
      </c>
      <c r="H3095" t="s">
        <v>89</v>
      </c>
      <c r="I3095" t="s">
        <v>144</v>
      </c>
      <c r="J3095" t="s">
        <v>91</v>
      </c>
      <c r="K3095" t="s">
        <v>92</v>
      </c>
      <c r="L3095" t="s">
        <v>6996</v>
      </c>
      <c r="M3095" t="s">
        <v>94</v>
      </c>
      <c r="N3095" t="s">
        <v>6997</v>
      </c>
      <c r="O3095" t="s">
        <v>150</v>
      </c>
      <c r="P3095">
        <v>1E-3</v>
      </c>
      <c r="R3095" t="s">
        <v>7033</v>
      </c>
      <c r="S3095" t="s">
        <v>6958</v>
      </c>
      <c r="V3095" t="s">
        <v>6959</v>
      </c>
      <c r="W3095" t="s">
        <v>6999</v>
      </c>
      <c r="AD3095" t="s">
        <v>7034</v>
      </c>
    </row>
    <row r="3096" spans="1:30" x14ac:dyDescent="0.25">
      <c r="A3096" t="s">
        <v>33</v>
      </c>
      <c r="D3096" t="s">
        <v>6953</v>
      </c>
      <c r="E3096" t="s">
        <v>2893</v>
      </c>
      <c r="F3096" t="s">
        <v>36</v>
      </c>
      <c r="G3096" t="s">
        <v>6995</v>
      </c>
      <c r="H3096" t="s">
        <v>153</v>
      </c>
      <c r="I3096" t="s">
        <v>180</v>
      </c>
      <c r="J3096" t="s">
        <v>154</v>
      </c>
      <c r="K3096" t="s">
        <v>155</v>
      </c>
      <c r="L3096" t="s">
        <v>6996</v>
      </c>
      <c r="N3096" t="s">
        <v>6997</v>
      </c>
      <c r="O3096" t="s">
        <v>187</v>
      </c>
      <c r="R3096" t="s">
        <v>7035</v>
      </c>
      <c r="S3096" t="s">
        <v>6958</v>
      </c>
      <c r="V3096" t="s">
        <v>6959</v>
      </c>
      <c r="W3096" t="s">
        <v>6999</v>
      </c>
      <c r="AD3096" t="s">
        <v>7036</v>
      </c>
    </row>
    <row r="3097" spans="1:30" x14ac:dyDescent="0.25">
      <c r="A3097" t="s">
        <v>33</v>
      </c>
      <c r="D3097" t="s">
        <v>6953</v>
      </c>
      <c r="E3097" t="s">
        <v>2893</v>
      </c>
      <c r="F3097" t="s">
        <v>36</v>
      </c>
      <c r="G3097" t="s">
        <v>6995</v>
      </c>
      <c r="H3097" t="s">
        <v>143</v>
      </c>
      <c r="I3097" t="s">
        <v>180</v>
      </c>
      <c r="J3097" t="s">
        <v>145</v>
      </c>
      <c r="K3097" t="s">
        <v>262</v>
      </c>
      <c r="L3097" t="s">
        <v>6996</v>
      </c>
      <c r="M3097" t="s">
        <v>3483</v>
      </c>
      <c r="N3097" t="s">
        <v>6997</v>
      </c>
      <c r="O3097" t="s">
        <v>181</v>
      </c>
      <c r="R3097" t="s">
        <v>7037</v>
      </c>
      <c r="S3097" t="s">
        <v>6958</v>
      </c>
      <c r="V3097" t="s">
        <v>6959</v>
      </c>
      <c r="W3097" t="s">
        <v>6999</v>
      </c>
      <c r="X3097" t="s">
        <v>963</v>
      </c>
      <c r="AD3097" t="s">
        <v>7038</v>
      </c>
    </row>
    <row r="3098" spans="1:30" x14ac:dyDescent="0.25">
      <c r="A3098" t="s">
        <v>33</v>
      </c>
      <c r="D3098" t="s">
        <v>6953</v>
      </c>
      <c r="E3098" t="s">
        <v>2893</v>
      </c>
      <c r="F3098" t="s">
        <v>36</v>
      </c>
      <c r="G3098" t="s">
        <v>6995</v>
      </c>
      <c r="H3098" t="s">
        <v>89</v>
      </c>
      <c r="I3098" t="s">
        <v>180</v>
      </c>
      <c r="J3098" t="s">
        <v>91</v>
      </c>
      <c r="K3098" t="s">
        <v>92</v>
      </c>
      <c r="L3098" t="s">
        <v>6996</v>
      </c>
      <c r="M3098" t="s">
        <v>94</v>
      </c>
      <c r="N3098" t="s">
        <v>6997</v>
      </c>
      <c r="O3098" t="s">
        <v>184</v>
      </c>
      <c r="P3098">
        <v>1E-3</v>
      </c>
      <c r="R3098" t="s">
        <v>7039</v>
      </c>
      <c r="S3098" t="s">
        <v>6958</v>
      </c>
      <c r="V3098" t="s">
        <v>6959</v>
      </c>
      <c r="W3098" t="s">
        <v>6999</v>
      </c>
      <c r="AD3098" t="s">
        <v>7040</v>
      </c>
    </row>
    <row r="3099" spans="1:30" x14ac:dyDescent="0.25">
      <c r="A3099" t="s">
        <v>33</v>
      </c>
      <c r="D3099" t="s">
        <v>6953</v>
      </c>
      <c r="E3099" t="s">
        <v>2893</v>
      </c>
      <c r="F3099" t="s">
        <v>36</v>
      </c>
      <c r="G3099" t="s">
        <v>6995</v>
      </c>
      <c r="H3099" t="s">
        <v>38</v>
      </c>
      <c r="I3099" t="s">
        <v>63</v>
      </c>
      <c r="J3099" t="s">
        <v>40</v>
      </c>
      <c r="K3099" t="s">
        <v>41</v>
      </c>
      <c r="L3099" t="s">
        <v>6996</v>
      </c>
      <c r="M3099" t="s">
        <v>3483</v>
      </c>
      <c r="N3099" t="s">
        <v>6997</v>
      </c>
      <c r="O3099" t="s">
        <v>65</v>
      </c>
      <c r="R3099" t="s">
        <v>7041</v>
      </c>
      <c r="S3099" t="s">
        <v>6958</v>
      </c>
      <c r="V3099" t="s">
        <v>6959</v>
      </c>
      <c r="W3099" t="s">
        <v>6999</v>
      </c>
      <c r="X3099" t="s">
        <v>963</v>
      </c>
      <c r="AD3099" t="s">
        <v>7042</v>
      </c>
    </row>
    <row r="3100" spans="1:30" x14ac:dyDescent="0.25">
      <c r="D3100" t="s">
        <v>6953</v>
      </c>
      <c r="E3100" t="s">
        <v>2893</v>
      </c>
      <c r="F3100" t="s">
        <v>36</v>
      </c>
      <c r="G3100" t="s">
        <v>7043</v>
      </c>
      <c r="H3100" t="s">
        <v>38</v>
      </c>
      <c r="I3100" t="s">
        <v>63</v>
      </c>
      <c r="J3100" t="s">
        <v>40</v>
      </c>
      <c r="K3100" t="s">
        <v>41</v>
      </c>
      <c r="L3100" t="s">
        <v>7044</v>
      </c>
      <c r="M3100" t="s">
        <v>3483</v>
      </c>
      <c r="N3100" t="s">
        <v>7045</v>
      </c>
      <c r="O3100" t="s">
        <v>65</v>
      </c>
      <c r="R3100" t="s">
        <v>7046</v>
      </c>
      <c r="S3100" t="s">
        <v>6958</v>
      </c>
      <c r="V3100" t="s">
        <v>6959</v>
      </c>
      <c r="W3100" t="s">
        <v>6999</v>
      </c>
      <c r="AD3100" t="s">
        <v>7047</v>
      </c>
    </row>
    <row r="3101" spans="1:30" x14ac:dyDescent="0.25">
      <c r="A3101" t="s">
        <v>33</v>
      </c>
      <c r="D3101" t="s">
        <v>6953</v>
      </c>
      <c r="E3101" t="s">
        <v>2893</v>
      </c>
      <c r="F3101" t="s">
        <v>36</v>
      </c>
      <c r="G3101" t="s">
        <v>6995</v>
      </c>
      <c r="H3101" t="s">
        <v>38</v>
      </c>
      <c r="I3101" t="s">
        <v>74</v>
      </c>
      <c r="J3101" t="s">
        <v>69</v>
      </c>
      <c r="K3101" t="s">
        <v>41</v>
      </c>
      <c r="L3101" t="s">
        <v>6996</v>
      </c>
      <c r="M3101" t="s">
        <v>960</v>
      </c>
      <c r="N3101" t="s">
        <v>6997</v>
      </c>
      <c r="O3101" t="s">
        <v>75</v>
      </c>
      <c r="R3101" t="s">
        <v>7048</v>
      </c>
      <c r="S3101" t="s">
        <v>6958</v>
      </c>
      <c r="V3101" t="s">
        <v>6959</v>
      </c>
      <c r="W3101" t="s">
        <v>6999</v>
      </c>
      <c r="X3101" t="s">
        <v>963</v>
      </c>
      <c r="AD3101" t="s">
        <v>7049</v>
      </c>
    </row>
    <row r="3102" spans="1:30" x14ac:dyDescent="0.25">
      <c r="A3102" t="s">
        <v>33</v>
      </c>
      <c r="D3102" t="s">
        <v>6953</v>
      </c>
      <c r="E3102" t="s">
        <v>2859</v>
      </c>
      <c r="F3102" t="s">
        <v>36</v>
      </c>
      <c r="G3102" t="s">
        <v>7001</v>
      </c>
      <c r="H3102" t="s">
        <v>38</v>
      </c>
      <c r="I3102" t="s">
        <v>74</v>
      </c>
      <c r="J3102" t="s">
        <v>69</v>
      </c>
      <c r="K3102" t="s">
        <v>41</v>
      </c>
      <c r="L3102" t="s">
        <v>7002</v>
      </c>
      <c r="M3102" t="s">
        <v>960</v>
      </c>
      <c r="N3102" t="s">
        <v>7003</v>
      </c>
      <c r="O3102" t="s">
        <v>75</v>
      </c>
      <c r="R3102" t="s">
        <v>7050</v>
      </c>
      <c r="S3102" t="s">
        <v>6958</v>
      </c>
      <c r="V3102" t="s">
        <v>6959</v>
      </c>
      <c r="W3102" t="s">
        <v>6981</v>
      </c>
      <c r="X3102" t="s">
        <v>963</v>
      </c>
      <c r="AD3102" t="s">
        <v>7051</v>
      </c>
    </row>
    <row r="3103" spans="1:30" x14ac:dyDescent="0.25">
      <c r="A3103" t="s">
        <v>33</v>
      </c>
      <c r="D3103" t="s">
        <v>6953</v>
      </c>
      <c r="E3103" t="s">
        <v>2893</v>
      </c>
      <c r="F3103" t="s">
        <v>87</v>
      </c>
      <c r="G3103" t="s">
        <v>7052</v>
      </c>
      <c r="H3103" t="s">
        <v>153</v>
      </c>
      <c r="I3103" t="s">
        <v>100</v>
      </c>
      <c r="J3103" t="s">
        <v>154</v>
      </c>
      <c r="K3103" t="s">
        <v>155</v>
      </c>
      <c r="L3103" t="s">
        <v>7053</v>
      </c>
      <c r="N3103" t="s">
        <v>7054</v>
      </c>
      <c r="O3103" t="s">
        <v>213</v>
      </c>
      <c r="R3103" t="s">
        <v>7055</v>
      </c>
      <c r="S3103" t="s">
        <v>6958</v>
      </c>
      <c r="V3103" t="s">
        <v>6959</v>
      </c>
      <c r="W3103" t="s">
        <v>6999</v>
      </c>
      <c r="AD3103" t="s">
        <v>7056</v>
      </c>
    </row>
    <row r="3104" spans="1:30" x14ac:dyDescent="0.25">
      <c r="A3104" t="s">
        <v>33</v>
      </c>
      <c r="D3104" t="s">
        <v>6953</v>
      </c>
      <c r="E3104" t="s">
        <v>2893</v>
      </c>
      <c r="F3104" t="s">
        <v>87</v>
      </c>
      <c r="G3104" t="s">
        <v>7052</v>
      </c>
      <c r="H3104" t="s">
        <v>89</v>
      </c>
      <c r="I3104" t="s">
        <v>100</v>
      </c>
      <c r="J3104" t="s">
        <v>91</v>
      </c>
      <c r="K3104" t="s">
        <v>92</v>
      </c>
      <c r="L3104" t="s">
        <v>7053</v>
      </c>
      <c r="M3104" t="s">
        <v>94</v>
      </c>
      <c r="N3104" t="s">
        <v>7054</v>
      </c>
      <c r="O3104" t="s">
        <v>96</v>
      </c>
      <c r="P3104">
        <v>1E-3</v>
      </c>
      <c r="R3104" t="s">
        <v>7057</v>
      </c>
      <c r="S3104" t="s">
        <v>6958</v>
      </c>
      <c r="V3104" t="s">
        <v>6959</v>
      </c>
      <c r="W3104" t="s">
        <v>6999</v>
      </c>
      <c r="AD3104" t="s">
        <v>7058</v>
      </c>
    </row>
    <row r="3105" spans="1:32" x14ac:dyDescent="0.25">
      <c r="A3105" t="s">
        <v>33</v>
      </c>
      <c r="D3105" t="s">
        <v>6953</v>
      </c>
      <c r="E3105" t="s">
        <v>2859</v>
      </c>
      <c r="F3105" t="s">
        <v>87</v>
      </c>
      <c r="G3105" t="s">
        <v>7059</v>
      </c>
      <c r="H3105" t="s">
        <v>153</v>
      </c>
      <c r="I3105" t="s">
        <v>90</v>
      </c>
      <c r="J3105" t="s">
        <v>154</v>
      </c>
      <c r="K3105" t="s">
        <v>155</v>
      </c>
      <c r="L3105" t="s">
        <v>7060</v>
      </c>
      <c r="N3105" t="s">
        <v>7061</v>
      </c>
      <c r="O3105" t="s">
        <v>213</v>
      </c>
      <c r="R3105" t="s">
        <v>7062</v>
      </c>
      <c r="S3105" t="s">
        <v>6958</v>
      </c>
      <c r="V3105" t="s">
        <v>6959</v>
      </c>
      <c r="W3105" t="s">
        <v>6966</v>
      </c>
      <c r="AD3105" t="s">
        <v>7063</v>
      </c>
    </row>
    <row r="3106" spans="1:32" x14ac:dyDescent="0.25">
      <c r="A3106" t="s">
        <v>33</v>
      </c>
      <c r="D3106" t="s">
        <v>6953</v>
      </c>
      <c r="E3106" t="s">
        <v>2859</v>
      </c>
      <c r="F3106" t="s">
        <v>87</v>
      </c>
      <c r="G3106" t="s">
        <v>7059</v>
      </c>
      <c r="H3106" t="s">
        <v>89</v>
      </c>
      <c r="I3106" t="s">
        <v>90</v>
      </c>
      <c r="J3106" t="s">
        <v>91</v>
      </c>
      <c r="K3106" t="s">
        <v>92</v>
      </c>
      <c r="L3106" t="s">
        <v>7060</v>
      </c>
      <c r="M3106" t="s">
        <v>94</v>
      </c>
      <c r="N3106" t="s">
        <v>7061</v>
      </c>
      <c r="O3106" t="s">
        <v>96</v>
      </c>
      <c r="P3106">
        <v>1E-3</v>
      </c>
      <c r="R3106" t="s">
        <v>7064</v>
      </c>
      <c r="S3106" t="s">
        <v>6958</v>
      </c>
      <c r="V3106" t="s">
        <v>6959</v>
      </c>
      <c r="W3106" t="s">
        <v>6966</v>
      </c>
      <c r="AD3106" t="s">
        <v>7065</v>
      </c>
    </row>
    <row r="3107" spans="1:32" x14ac:dyDescent="0.25">
      <c r="A3107" t="s">
        <v>33</v>
      </c>
      <c r="D3107" t="s">
        <v>6953</v>
      </c>
      <c r="E3107" t="s">
        <v>2859</v>
      </c>
      <c r="F3107" t="s">
        <v>87</v>
      </c>
      <c r="G3107" t="s">
        <v>6889</v>
      </c>
      <c r="H3107" t="s">
        <v>153</v>
      </c>
      <c r="I3107" t="s">
        <v>180</v>
      </c>
      <c r="J3107" t="s">
        <v>154</v>
      </c>
      <c r="K3107" t="s">
        <v>155</v>
      </c>
      <c r="L3107" t="s">
        <v>6890</v>
      </c>
      <c r="N3107" t="s">
        <v>7066</v>
      </c>
      <c r="O3107" t="s">
        <v>213</v>
      </c>
      <c r="R3107" t="s">
        <v>7067</v>
      </c>
      <c r="S3107" t="s">
        <v>6958</v>
      </c>
      <c r="V3107" t="s">
        <v>6959</v>
      </c>
      <c r="W3107" t="s">
        <v>6966</v>
      </c>
      <c r="AD3107" t="s">
        <v>7068</v>
      </c>
    </row>
    <row r="3108" spans="1:32" x14ac:dyDescent="0.25">
      <c r="A3108" t="s">
        <v>33</v>
      </c>
      <c r="D3108" t="s">
        <v>6953</v>
      </c>
      <c r="E3108" t="s">
        <v>2859</v>
      </c>
      <c r="F3108" t="s">
        <v>87</v>
      </c>
      <c r="G3108" t="s">
        <v>6889</v>
      </c>
      <c r="H3108" t="s">
        <v>89</v>
      </c>
      <c r="I3108" t="s">
        <v>180</v>
      </c>
      <c r="J3108" t="s">
        <v>91</v>
      </c>
      <c r="K3108" t="s">
        <v>92</v>
      </c>
      <c r="L3108" t="s">
        <v>6890</v>
      </c>
      <c r="M3108" t="s">
        <v>94</v>
      </c>
      <c r="N3108" t="s">
        <v>7066</v>
      </c>
      <c r="O3108" t="s">
        <v>96</v>
      </c>
      <c r="P3108">
        <v>1E-3</v>
      </c>
      <c r="R3108" t="s">
        <v>7069</v>
      </c>
      <c r="S3108" t="s">
        <v>6958</v>
      </c>
      <c r="V3108" t="s">
        <v>6959</v>
      </c>
      <c r="W3108" t="s">
        <v>6966</v>
      </c>
      <c r="AD3108" t="s">
        <v>7070</v>
      </c>
    </row>
    <row r="3109" spans="1:32" x14ac:dyDescent="0.25">
      <c r="A3109" t="s">
        <v>33</v>
      </c>
      <c r="D3109" t="s">
        <v>6953</v>
      </c>
      <c r="E3109" t="s">
        <v>2859</v>
      </c>
      <c r="F3109" t="s">
        <v>87</v>
      </c>
      <c r="G3109" t="s">
        <v>7071</v>
      </c>
      <c r="H3109" t="s">
        <v>153</v>
      </c>
      <c r="I3109" t="s">
        <v>144</v>
      </c>
      <c r="J3109" t="s">
        <v>154</v>
      </c>
      <c r="K3109" t="s">
        <v>155</v>
      </c>
      <c r="L3109" t="s">
        <v>7072</v>
      </c>
      <c r="N3109" t="s">
        <v>7073</v>
      </c>
      <c r="O3109" t="s">
        <v>213</v>
      </c>
      <c r="R3109" t="s">
        <v>7074</v>
      </c>
      <c r="S3109" t="s">
        <v>6958</v>
      </c>
      <c r="V3109" t="s">
        <v>6959</v>
      </c>
      <c r="W3109" t="s">
        <v>6981</v>
      </c>
      <c r="AD3109" t="s">
        <v>7075</v>
      </c>
    </row>
    <row r="3110" spans="1:32" x14ac:dyDescent="0.25">
      <c r="A3110" t="s">
        <v>33</v>
      </c>
      <c r="D3110" t="s">
        <v>6953</v>
      </c>
      <c r="E3110" t="s">
        <v>2859</v>
      </c>
      <c r="F3110" t="s">
        <v>87</v>
      </c>
      <c r="G3110" t="s">
        <v>7071</v>
      </c>
      <c r="H3110" t="s">
        <v>89</v>
      </c>
      <c r="I3110" t="s">
        <v>144</v>
      </c>
      <c r="J3110" t="s">
        <v>91</v>
      </c>
      <c r="K3110" t="s">
        <v>92</v>
      </c>
      <c r="L3110" t="s">
        <v>7072</v>
      </c>
      <c r="M3110" t="s">
        <v>94</v>
      </c>
      <c r="N3110" t="s">
        <v>7073</v>
      </c>
      <c r="O3110" t="s">
        <v>96</v>
      </c>
      <c r="P3110">
        <v>1E-3</v>
      </c>
      <c r="R3110" t="s">
        <v>7076</v>
      </c>
      <c r="S3110" t="s">
        <v>6958</v>
      </c>
      <c r="V3110" t="s">
        <v>6959</v>
      </c>
      <c r="W3110" t="s">
        <v>6981</v>
      </c>
      <c r="AD3110" t="s">
        <v>7077</v>
      </c>
    </row>
    <row r="3111" spans="1:32" x14ac:dyDescent="0.25">
      <c r="A3111" t="s">
        <v>33</v>
      </c>
      <c r="D3111" t="s">
        <v>6953</v>
      </c>
      <c r="E3111" t="s">
        <v>2859</v>
      </c>
      <c r="F3111" t="s">
        <v>87</v>
      </c>
      <c r="G3111" t="s">
        <v>7078</v>
      </c>
      <c r="H3111" t="s">
        <v>153</v>
      </c>
      <c r="I3111" t="s">
        <v>180</v>
      </c>
      <c r="J3111" t="s">
        <v>154</v>
      </c>
      <c r="K3111" t="s">
        <v>155</v>
      </c>
      <c r="L3111" t="s">
        <v>7079</v>
      </c>
      <c r="N3111" t="s">
        <v>7080</v>
      </c>
      <c r="O3111" t="s">
        <v>213</v>
      </c>
      <c r="R3111" t="s">
        <v>7081</v>
      </c>
      <c r="S3111" t="s">
        <v>6958</v>
      </c>
      <c r="V3111" t="s">
        <v>6959</v>
      </c>
      <c r="W3111" t="s">
        <v>6981</v>
      </c>
      <c r="AD3111" t="s">
        <v>7082</v>
      </c>
    </row>
    <row r="3112" spans="1:32" x14ac:dyDescent="0.25">
      <c r="A3112" t="s">
        <v>33</v>
      </c>
      <c r="D3112" t="s">
        <v>6953</v>
      </c>
      <c r="E3112" t="s">
        <v>2859</v>
      </c>
      <c r="F3112" t="s">
        <v>87</v>
      </c>
      <c r="G3112" t="s">
        <v>7078</v>
      </c>
      <c r="H3112" t="s">
        <v>89</v>
      </c>
      <c r="I3112" t="s">
        <v>180</v>
      </c>
      <c r="J3112" t="s">
        <v>91</v>
      </c>
      <c r="K3112" t="s">
        <v>92</v>
      </c>
      <c r="L3112" t="s">
        <v>7079</v>
      </c>
      <c r="M3112" t="s">
        <v>94</v>
      </c>
      <c r="N3112" t="s">
        <v>7080</v>
      </c>
      <c r="O3112" t="s">
        <v>96</v>
      </c>
      <c r="P3112">
        <v>1E-3</v>
      </c>
      <c r="R3112" t="s">
        <v>7083</v>
      </c>
      <c r="S3112" t="s">
        <v>6958</v>
      </c>
      <c r="V3112" t="s">
        <v>6959</v>
      </c>
      <c r="W3112" t="s">
        <v>6981</v>
      </c>
      <c r="AD3112" t="s">
        <v>7084</v>
      </c>
    </row>
    <row r="3113" spans="1:32" x14ac:dyDescent="0.25">
      <c r="A3113" t="s">
        <v>33</v>
      </c>
      <c r="D3113" t="s">
        <v>6953</v>
      </c>
      <c r="E3113" t="s">
        <v>2859</v>
      </c>
      <c r="F3113" t="s">
        <v>87</v>
      </c>
      <c r="G3113" t="s">
        <v>6880</v>
      </c>
      <c r="H3113" t="s">
        <v>153</v>
      </c>
      <c r="I3113" t="s">
        <v>90</v>
      </c>
      <c r="J3113" t="s">
        <v>154</v>
      </c>
      <c r="K3113" t="s">
        <v>155</v>
      </c>
      <c r="L3113" t="s">
        <v>6881</v>
      </c>
      <c r="N3113" t="s">
        <v>7085</v>
      </c>
      <c r="O3113" t="s">
        <v>213</v>
      </c>
      <c r="R3113" t="s">
        <v>7086</v>
      </c>
      <c r="S3113" t="s">
        <v>6958</v>
      </c>
      <c r="V3113" t="s">
        <v>6959</v>
      </c>
      <c r="W3113" t="s">
        <v>6966</v>
      </c>
      <c r="AC3113" t="s">
        <v>6881</v>
      </c>
      <c r="AD3113" t="s">
        <v>7087</v>
      </c>
      <c r="AE3113" t="s">
        <v>2890</v>
      </c>
      <c r="AF3113">
        <v>4</v>
      </c>
    </row>
    <row r="3114" spans="1:32" x14ac:dyDescent="0.25">
      <c r="A3114" t="s">
        <v>33</v>
      </c>
      <c r="D3114" t="s">
        <v>6953</v>
      </c>
      <c r="E3114" t="s">
        <v>2859</v>
      </c>
      <c r="F3114" t="s">
        <v>87</v>
      </c>
      <c r="G3114" t="s">
        <v>6880</v>
      </c>
      <c r="H3114" t="s">
        <v>89</v>
      </c>
      <c r="I3114" t="s">
        <v>90</v>
      </c>
      <c r="J3114" t="s">
        <v>91</v>
      </c>
      <c r="K3114" t="s">
        <v>92</v>
      </c>
      <c r="L3114" t="s">
        <v>6881</v>
      </c>
      <c r="M3114" t="s">
        <v>94</v>
      </c>
      <c r="N3114" t="s">
        <v>7085</v>
      </c>
      <c r="O3114" t="s">
        <v>96</v>
      </c>
      <c r="P3114">
        <v>1E-3</v>
      </c>
      <c r="R3114" t="s">
        <v>7088</v>
      </c>
      <c r="S3114" t="s">
        <v>6958</v>
      </c>
      <c r="V3114" t="s">
        <v>6959</v>
      </c>
      <c r="W3114" t="s">
        <v>6966</v>
      </c>
      <c r="AD3114" t="s">
        <v>7089</v>
      </c>
    </row>
    <row r="3115" spans="1:32" x14ac:dyDescent="0.25">
      <c r="A3115" t="s">
        <v>33</v>
      </c>
      <c r="D3115" t="s">
        <v>6953</v>
      </c>
      <c r="E3115" t="s">
        <v>2859</v>
      </c>
      <c r="F3115" t="s">
        <v>87</v>
      </c>
      <c r="G3115" t="s">
        <v>6893</v>
      </c>
      <c r="H3115" t="s">
        <v>153</v>
      </c>
      <c r="I3115" t="s">
        <v>100</v>
      </c>
      <c r="J3115" t="s">
        <v>154</v>
      </c>
      <c r="K3115" t="s">
        <v>155</v>
      </c>
      <c r="L3115" t="s">
        <v>6894</v>
      </c>
      <c r="N3115" t="s">
        <v>7090</v>
      </c>
      <c r="O3115" t="s">
        <v>213</v>
      </c>
      <c r="R3115" t="s">
        <v>7091</v>
      </c>
      <c r="S3115" t="s">
        <v>6958</v>
      </c>
      <c r="V3115" t="s">
        <v>6959</v>
      </c>
      <c r="W3115" t="s">
        <v>6966</v>
      </c>
      <c r="AD3115" t="s">
        <v>7092</v>
      </c>
    </row>
    <row r="3116" spans="1:32" x14ac:dyDescent="0.25">
      <c r="A3116" t="s">
        <v>33</v>
      </c>
      <c r="D3116" t="s">
        <v>6953</v>
      </c>
      <c r="E3116" t="s">
        <v>2859</v>
      </c>
      <c r="F3116" t="s">
        <v>87</v>
      </c>
      <c r="G3116" t="s">
        <v>6893</v>
      </c>
      <c r="H3116" t="s">
        <v>89</v>
      </c>
      <c r="I3116" t="s">
        <v>100</v>
      </c>
      <c r="J3116" t="s">
        <v>91</v>
      </c>
      <c r="K3116" t="s">
        <v>92</v>
      </c>
      <c r="L3116" t="s">
        <v>6894</v>
      </c>
      <c r="M3116" t="s">
        <v>94</v>
      </c>
      <c r="N3116" t="s">
        <v>7090</v>
      </c>
      <c r="O3116" t="s">
        <v>96</v>
      </c>
      <c r="P3116">
        <v>1E-3</v>
      </c>
      <c r="R3116" t="s">
        <v>7093</v>
      </c>
      <c r="S3116" t="s">
        <v>6958</v>
      </c>
      <c r="V3116" t="s">
        <v>6959</v>
      </c>
      <c r="W3116" t="s">
        <v>6966</v>
      </c>
      <c r="AD3116" t="s">
        <v>7094</v>
      </c>
    </row>
    <row r="3117" spans="1:32" x14ac:dyDescent="0.25">
      <c r="A3117" t="s">
        <v>33</v>
      </c>
      <c r="D3117" t="s">
        <v>6953</v>
      </c>
      <c r="E3117" t="s">
        <v>2859</v>
      </c>
      <c r="F3117" t="s">
        <v>87</v>
      </c>
      <c r="G3117" t="s">
        <v>7095</v>
      </c>
      <c r="H3117" t="s">
        <v>153</v>
      </c>
      <c r="I3117" t="s">
        <v>90</v>
      </c>
      <c r="J3117" t="s">
        <v>154</v>
      </c>
      <c r="K3117" t="s">
        <v>155</v>
      </c>
      <c r="L3117" t="s">
        <v>7096</v>
      </c>
      <c r="N3117" t="s">
        <v>7097</v>
      </c>
      <c r="O3117" t="s">
        <v>213</v>
      </c>
      <c r="R3117" t="s">
        <v>7098</v>
      </c>
      <c r="S3117" t="s">
        <v>6958</v>
      </c>
      <c r="V3117" t="s">
        <v>6959</v>
      </c>
      <c r="W3117" t="s">
        <v>6981</v>
      </c>
      <c r="AC3117" t="s">
        <v>7096</v>
      </c>
      <c r="AD3117" t="s">
        <v>7099</v>
      </c>
      <c r="AE3117" t="s">
        <v>2890</v>
      </c>
      <c r="AF3117">
        <v>5</v>
      </c>
    </row>
    <row r="3118" spans="1:32" x14ac:dyDescent="0.25">
      <c r="A3118" t="s">
        <v>33</v>
      </c>
      <c r="D3118" t="s">
        <v>6953</v>
      </c>
      <c r="E3118" t="s">
        <v>2859</v>
      </c>
      <c r="F3118" t="s">
        <v>87</v>
      </c>
      <c r="G3118" t="s">
        <v>7095</v>
      </c>
      <c r="H3118" t="s">
        <v>89</v>
      </c>
      <c r="I3118" t="s">
        <v>90</v>
      </c>
      <c r="J3118" t="s">
        <v>91</v>
      </c>
      <c r="K3118" t="s">
        <v>92</v>
      </c>
      <c r="L3118" t="s">
        <v>7096</v>
      </c>
      <c r="M3118" t="s">
        <v>94</v>
      </c>
      <c r="N3118" t="s">
        <v>7097</v>
      </c>
      <c r="O3118" t="s">
        <v>96</v>
      </c>
      <c r="P3118">
        <v>1E-3</v>
      </c>
      <c r="R3118" t="s">
        <v>7100</v>
      </c>
      <c r="S3118" t="s">
        <v>6958</v>
      </c>
      <c r="V3118" t="s">
        <v>6959</v>
      </c>
      <c r="W3118" t="s">
        <v>6981</v>
      </c>
      <c r="AD3118" t="s">
        <v>7101</v>
      </c>
    </row>
    <row r="3119" spans="1:32" x14ac:dyDescent="0.25">
      <c r="A3119" t="s">
        <v>33</v>
      </c>
      <c r="D3119" t="s">
        <v>6953</v>
      </c>
      <c r="E3119" t="s">
        <v>2859</v>
      </c>
      <c r="F3119" t="s">
        <v>87</v>
      </c>
      <c r="G3119" t="s">
        <v>7102</v>
      </c>
      <c r="H3119" t="s">
        <v>153</v>
      </c>
      <c r="I3119" t="s">
        <v>100</v>
      </c>
      <c r="J3119" t="s">
        <v>154</v>
      </c>
      <c r="K3119" t="s">
        <v>155</v>
      </c>
      <c r="L3119" t="s">
        <v>7103</v>
      </c>
      <c r="N3119" t="s">
        <v>7104</v>
      </c>
      <c r="O3119" t="s">
        <v>213</v>
      </c>
      <c r="R3119" t="s">
        <v>7105</v>
      </c>
      <c r="S3119" t="s">
        <v>6958</v>
      </c>
      <c r="V3119" t="s">
        <v>6959</v>
      </c>
      <c r="W3119" t="s">
        <v>6981</v>
      </c>
      <c r="AD3119" t="s">
        <v>7106</v>
      </c>
    </row>
    <row r="3120" spans="1:32" x14ac:dyDescent="0.25">
      <c r="A3120" t="s">
        <v>33</v>
      </c>
      <c r="D3120" t="s">
        <v>6953</v>
      </c>
      <c r="E3120" t="s">
        <v>2859</v>
      </c>
      <c r="F3120" t="s">
        <v>87</v>
      </c>
      <c r="G3120" t="s">
        <v>7102</v>
      </c>
      <c r="H3120" t="s">
        <v>89</v>
      </c>
      <c r="I3120" t="s">
        <v>100</v>
      </c>
      <c r="J3120" t="s">
        <v>91</v>
      </c>
      <c r="K3120" t="s">
        <v>92</v>
      </c>
      <c r="L3120" t="s">
        <v>7103</v>
      </c>
      <c r="M3120" t="s">
        <v>94</v>
      </c>
      <c r="N3120" t="s">
        <v>7104</v>
      </c>
      <c r="O3120" t="s">
        <v>96</v>
      </c>
      <c r="P3120">
        <v>1E-3</v>
      </c>
      <c r="R3120" t="s">
        <v>7107</v>
      </c>
      <c r="S3120" t="s">
        <v>6958</v>
      </c>
      <c r="V3120" t="s">
        <v>6959</v>
      </c>
      <c r="W3120" t="s">
        <v>6981</v>
      </c>
      <c r="AD3120" t="s">
        <v>7108</v>
      </c>
    </row>
    <row r="3121" spans="1:32" x14ac:dyDescent="0.25">
      <c r="A3121" t="s">
        <v>33</v>
      </c>
      <c r="D3121" t="s">
        <v>6953</v>
      </c>
      <c r="E3121" t="s">
        <v>2893</v>
      </c>
      <c r="F3121" t="s">
        <v>87</v>
      </c>
      <c r="G3121" t="s">
        <v>7109</v>
      </c>
      <c r="H3121" t="s">
        <v>153</v>
      </c>
      <c r="I3121" t="s">
        <v>144</v>
      </c>
      <c r="J3121" t="s">
        <v>154</v>
      </c>
      <c r="K3121" t="s">
        <v>155</v>
      </c>
      <c r="L3121" t="s">
        <v>7110</v>
      </c>
      <c r="N3121" t="s">
        <v>7111</v>
      </c>
      <c r="O3121" t="s">
        <v>156</v>
      </c>
      <c r="R3121" t="s">
        <v>7112</v>
      </c>
      <c r="S3121" t="s">
        <v>6958</v>
      </c>
      <c r="V3121" t="s">
        <v>6959</v>
      </c>
      <c r="W3121" t="s">
        <v>6999</v>
      </c>
      <c r="AD3121" t="s">
        <v>7113</v>
      </c>
    </row>
    <row r="3122" spans="1:32" x14ac:dyDescent="0.25">
      <c r="A3122" t="s">
        <v>33</v>
      </c>
      <c r="D3122" t="s">
        <v>6953</v>
      </c>
      <c r="E3122" t="s">
        <v>2893</v>
      </c>
      <c r="F3122" t="s">
        <v>87</v>
      </c>
      <c r="G3122" t="s">
        <v>7109</v>
      </c>
      <c r="H3122" t="s">
        <v>143</v>
      </c>
      <c r="I3122" t="s">
        <v>144</v>
      </c>
      <c r="J3122" t="s">
        <v>145</v>
      </c>
      <c r="K3122" t="s">
        <v>262</v>
      </c>
      <c r="L3122" t="s">
        <v>7110</v>
      </c>
      <c r="M3122" t="s">
        <v>3327</v>
      </c>
      <c r="N3122" t="s">
        <v>7111</v>
      </c>
      <c r="O3122" t="s">
        <v>147</v>
      </c>
      <c r="R3122" t="s">
        <v>7114</v>
      </c>
      <c r="S3122" t="s">
        <v>6958</v>
      </c>
      <c r="V3122" t="s">
        <v>6959</v>
      </c>
      <c r="W3122" t="s">
        <v>6999</v>
      </c>
      <c r="AD3122" t="s">
        <v>7115</v>
      </c>
    </row>
    <row r="3123" spans="1:32" x14ac:dyDescent="0.25">
      <c r="A3123" t="s">
        <v>33</v>
      </c>
      <c r="D3123" t="s">
        <v>6953</v>
      </c>
      <c r="E3123" t="s">
        <v>2893</v>
      </c>
      <c r="F3123" t="s">
        <v>87</v>
      </c>
      <c r="G3123" t="s">
        <v>7109</v>
      </c>
      <c r="H3123" t="s">
        <v>89</v>
      </c>
      <c r="I3123" t="s">
        <v>144</v>
      </c>
      <c r="J3123" t="s">
        <v>91</v>
      </c>
      <c r="K3123" t="s">
        <v>92</v>
      </c>
      <c r="L3123" t="s">
        <v>7110</v>
      </c>
      <c r="M3123" t="s">
        <v>94</v>
      </c>
      <c r="N3123" t="s">
        <v>7111</v>
      </c>
      <c r="O3123" t="s">
        <v>150</v>
      </c>
      <c r="P3123">
        <v>1E-3</v>
      </c>
      <c r="R3123" t="s">
        <v>7116</v>
      </c>
      <c r="S3123" t="s">
        <v>6958</v>
      </c>
      <c r="V3123" t="s">
        <v>6959</v>
      </c>
      <c r="W3123" t="s">
        <v>6999</v>
      </c>
      <c r="AD3123" t="s">
        <v>7117</v>
      </c>
    </row>
    <row r="3124" spans="1:32" x14ac:dyDescent="0.25">
      <c r="A3124" t="s">
        <v>33</v>
      </c>
      <c r="D3124" t="s">
        <v>6953</v>
      </c>
      <c r="E3124" t="s">
        <v>2893</v>
      </c>
      <c r="F3124" t="s">
        <v>87</v>
      </c>
      <c r="G3124" t="s">
        <v>7109</v>
      </c>
      <c r="H3124" t="s">
        <v>153</v>
      </c>
      <c r="I3124" t="s">
        <v>180</v>
      </c>
      <c r="J3124" t="s">
        <v>154</v>
      </c>
      <c r="K3124" t="s">
        <v>155</v>
      </c>
      <c r="L3124" t="s">
        <v>7110</v>
      </c>
      <c r="N3124" t="s">
        <v>7111</v>
      </c>
      <c r="O3124" t="s">
        <v>187</v>
      </c>
      <c r="R3124" t="s">
        <v>7118</v>
      </c>
      <c r="S3124" t="s">
        <v>6958</v>
      </c>
      <c r="V3124" t="s">
        <v>6959</v>
      </c>
      <c r="W3124" t="s">
        <v>6999</v>
      </c>
      <c r="AD3124" t="s">
        <v>7119</v>
      </c>
    </row>
    <row r="3125" spans="1:32" x14ac:dyDescent="0.25">
      <c r="A3125" t="s">
        <v>33</v>
      </c>
      <c r="D3125" t="s">
        <v>6953</v>
      </c>
      <c r="E3125" t="s">
        <v>2893</v>
      </c>
      <c r="F3125" t="s">
        <v>87</v>
      </c>
      <c r="G3125" t="s">
        <v>7109</v>
      </c>
      <c r="H3125" t="s">
        <v>143</v>
      </c>
      <c r="I3125" t="s">
        <v>180</v>
      </c>
      <c r="J3125" t="s">
        <v>145</v>
      </c>
      <c r="K3125" t="s">
        <v>262</v>
      </c>
      <c r="L3125" t="s">
        <v>7110</v>
      </c>
      <c r="M3125" t="s">
        <v>3327</v>
      </c>
      <c r="N3125" t="s">
        <v>7111</v>
      </c>
      <c r="O3125" t="s">
        <v>181</v>
      </c>
      <c r="R3125" t="s">
        <v>7120</v>
      </c>
      <c r="S3125" t="s">
        <v>6958</v>
      </c>
      <c r="V3125" t="s">
        <v>6959</v>
      </c>
      <c r="W3125" t="s">
        <v>6999</v>
      </c>
      <c r="AD3125" t="s">
        <v>7121</v>
      </c>
    </row>
    <row r="3126" spans="1:32" x14ac:dyDescent="0.25">
      <c r="A3126" t="s">
        <v>33</v>
      </c>
      <c r="D3126" t="s">
        <v>6953</v>
      </c>
      <c r="E3126" t="s">
        <v>2893</v>
      </c>
      <c r="F3126" t="s">
        <v>87</v>
      </c>
      <c r="G3126" t="s">
        <v>7109</v>
      </c>
      <c r="H3126" t="s">
        <v>89</v>
      </c>
      <c r="I3126" t="s">
        <v>180</v>
      </c>
      <c r="J3126" t="s">
        <v>91</v>
      </c>
      <c r="K3126" t="s">
        <v>92</v>
      </c>
      <c r="L3126" t="s">
        <v>7110</v>
      </c>
      <c r="M3126" t="s">
        <v>94</v>
      </c>
      <c r="N3126" t="s">
        <v>7111</v>
      </c>
      <c r="O3126" t="s">
        <v>184</v>
      </c>
      <c r="P3126">
        <v>1E-3</v>
      </c>
      <c r="R3126" t="s">
        <v>7122</v>
      </c>
      <c r="S3126" t="s">
        <v>6958</v>
      </c>
      <c r="V3126" t="s">
        <v>6959</v>
      </c>
      <c r="W3126" t="s">
        <v>6999</v>
      </c>
      <c r="AD3126" t="s">
        <v>7123</v>
      </c>
    </row>
    <row r="3127" spans="1:32" x14ac:dyDescent="0.25">
      <c r="A3127" t="s">
        <v>33</v>
      </c>
      <c r="D3127" t="s">
        <v>6953</v>
      </c>
      <c r="E3127" t="s">
        <v>2893</v>
      </c>
      <c r="F3127" t="s">
        <v>87</v>
      </c>
      <c r="G3127" t="s">
        <v>7109</v>
      </c>
      <c r="H3127" t="s">
        <v>38</v>
      </c>
      <c r="I3127" t="s">
        <v>106</v>
      </c>
      <c r="J3127" t="s">
        <v>40</v>
      </c>
      <c r="K3127" t="s">
        <v>41</v>
      </c>
      <c r="L3127" t="s">
        <v>7110</v>
      </c>
      <c r="M3127" t="s">
        <v>3327</v>
      </c>
      <c r="N3127" t="s">
        <v>7111</v>
      </c>
      <c r="O3127" t="s">
        <v>109</v>
      </c>
      <c r="R3127" t="s">
        <v>7124</v>
      </c>
      <c r="S3127" t="s">
        <v>6958</v>
      </c>
      <c r="V3127" t="s">
        <v>6959</v>
      </c>
      <c r="W3127" t="s">
        <v>6999</v>
      </c>
      <c r="AD3127" t="s">
        <v>7125</v>
      </c>
    </row>
    <row r="3128" spans="1:32" x14ac:dyDescent="0.25">
      <c r="A3128" t="s">
        <v>33</v>
      </c>
      <c r="D3128" t="s">
        <v>6953</v>
      </c>
      <c r="E3128" t="s">
        <v>2893</v>
      </c>
      <c r="F3128" t="s">
        <v>87</v>
      </c>
      <c r="G3128" t="s">
        <v>2193</v>
      </c>
      <c r="H3128" t="s">
        <v>153</v>
      </c>
      <c r="I3128" t="s">
        <v>144</v>
      </c>
      <c r="J3128" t="s">
        <v>154</v>
      </c>
      <c r="K3128" t="s">
        <v>155</v>
      </c>
      <c r="L3128" t="s">
        <v>2194</v>
      </c>
      <c r="N3128" t="s">
        <v>7126</v>
      </c>
      <c r="O3128" t="s">
        <v>156</v>
      </c>
      <c r="R3128" t="s">
        <v>7127</v>
      </c>
      <c r="S3128" t="s">
        <v>6958</v>
      </c>
      <c r="V3128" t="s">
        <v>6959</v>
      </c>
      <c r="W3128" t="s">
        <v>6999</v>
      </c>
      <c r="AD3128" t="s">
        <v>7128</v>
      </c>
    </row>
    <row r="3129" spans="1:32" x14ac:dyDescent="0.25">
      <c r="A3129" t="s">
        <v>33</v>
      </c>
      <c r="D3129" t="s">
        <v>6953</v>
      </c>
      <c r="E3129" t="s">
        <v>2893</v>
      </c>
      <c r="F3129" t="s">
        <v>87</v>
      </c>
      <c r="G3129" t="s">
        <v>2193</v>
      </c>
      <c r="H3129" t="s">
        <v>143</v>
      </c>
      <c r="I3129" t="s">
        <v>144</v>
      </c>
      <c r="J3129" t="s">
        <v>145</v>
      </c>
      <c r="K3129" t="s">
        <v>262</v>
      </c>
      <c r="L3129" t="s">
        <v>2194</v>
      </c>
      <c r="M3129" t="s">
        <v>3327</v>
      </c>
      <c r="N3129" t="s">
        <v>7126</v>
      </c>
      <c r="O3129" t="s">
        <v>147</v>
      </c>
      <c r="R3129" t="s">
        <v>7129</v>
      </c>
      <c r="S3129" t="s">
        <v>6958</v>
      </c>
      <c r="V3129" t="s">
        <v>6959</v>
      </c>
      <c r="W3129" t="s">
        <v>6999</v>
      </c>
      <c r="X3129" t="s">
        <v>1193</v>
      </c>
      <c r="AD3129" t="s">
        <v>7130</v>
      </c>
    </row>
    <row r="3130" spans="1:32" x14ac:dyDescent="0.25">
      <c r="A3130" t="s">
        <v>33</v>
      </c>
      <c r="D3130" t="s">
        <v>6953</v>
      </c>
      <c r="E3130" t="s">
        <v>2893</v>
      </c>
      <c r="F3130" t="s">
        <v>87</v>
      </c>
      <c r="G3130" t="s">
        <v>2193</v>
      </c>
      <c r="H3130" t="s">
        <v>89</v>
      </c>
      <c r="I3130" t="s">
        <v>144</v>
      </c>
      <c r="J3130" t="s">
        <v>91</v>
      </c>
      <c r="K3130" t="s">
        <v>92</v>
      </c>
      <c r="L3130" t="s">
        <v>2194</v>
      </c>
      <c r="M3130" t="s">
        <v>94</v>
      </c>
      <c r="N3130" t="s">
        <v>7126</v>
      </c>
      <c r="O3130" t="s">
        <v>150</v>
      </c>
      <c r="P3130">
        <v>1E-3</v>
      </c>
      <c r="R3130" t="s">
        <v>7131</v>
      </c>
      <c r="S3130" t="s">
        <v>6958</v>
      </c>
      <c r="V3130" t="s">
        <v>6959</v>
      </c>
      <c r="W3130" t="s">
        <v>6999</v>
      </c>
      <c r="AD3130" t="s">
        <v>7132</v>
      </c>
    </row>
    <row r="3131" spans="1:32" x14ac:dyDescent="0.25">
      <c r="A3131" t="s">
        <v>33</v>
      </c>
      <c r="D3131" t="s">
        <v>6953</v>
      </c>
      <c r="E3131" t="s">
        <v>2893</v>
      </c>
      <c r="F3131" t="s">
        <v>87</v>
      </c>
      <c r="G3131" t="s">
        <v>2193</v>
      </c>
      <c r="H3131" t="s">
        <v>153</v>
      </c>
      <c r="I3131" t="s">
        <v>90</v>
      </c>
      <c r="J3131" t="s">
        <v>154</v>
      </c>
      <c r="K3131" t="s">
        <v>155</v>
      </c>
      <c r="L3131" t="s">
        <v>2194</v>
      </c>
      <c r="N3131" t="s">
        <v>7126</v>
      </c>
      <c r="O3131" t="s">
        <v>386</v>
      </c>
      <c r="R3131" t="s">
        <v>7133</v>
      </c>
      <c r="S3131" t="s">
        <v>6958</v>
      </c>
      <c r="V3131" t="s">
        <v>6959</v>
      </c>
      <c r="W3131" t="s">
        <v>6999</v>
      </c>
      <c r="AC3131" t="s">
        <v>7134</v>
      </c>
      <c r="AD3131" t="s">
        <v>7135</v>
      </c>
      <c r="AE3131" t="s">
        <v>2890</v>
      </c>
      <c r="AF3131">
        <v>1</v>
      </c>
    </row>
    <row r="3132" spans="1:32" x14ac:dyDescent="0.25">
      <c r="A3132" t="s">
        <v>33</v>
      </c>
      <c r="D3132" t="s">
        <v>6953</v>
      </c>
      <c r="E3132" t="s">
        <v>2893</v>
      </c>
      <c r="F3132" t="s">
        <v>87</v>
      </c>
      <c r="G3132" t="s">
        <v>2193</v>
      </c>
      <c r="H3132" t="s">
        <v>143</v>
      </c>
      <c r="I3132" t="s">
        <v>90</v>
      </c>
      <c r="J3132" t="s">
        <v>145</v>
      </c>
      <c r="K3132" t="s">
        <v>262</v>
      </c>
      <c r="L3132" t="s">
        <v>2194</v>
      </c>
      <c r="M3132" t="s">
        <v>3327</v>
      </c>
      <c r="N3132" t="s">
        <v>7126</v>
      </c>
      <c r="O3132" t="s">
        <v>380</v>
      </c>
      <c r="R3132" t="s">
        <v>7136</v>
      </c>
      <c r="S3132" t="s">
        <v>6958</v>
      </c>
      <c r="V3132" t="s">
        <v>6959</v>
      </c>
      <c r="W3132" t="s">
        <v>6999</v>
      </c>
      <c r="X3132" t="s">
        <v>1193</v>
      </c>
      <c r="AD3132" t="s">
        <v>7137</v>
      </c>
    </row>
    <row r="3133" spans="1:32" x14ac:dyDescent="0.25">
      <c r="A3133" t="s">
        <v>33</v>
      </c>
      <c r="D3133" t="s">
        <v>6953</v>
      </c>
      <c r="E3133" t="s">
        <v>2893</v>
      </c>
      <c r="F3133" t="s">
        <v>87</v>
      </c>
      <c r="G3133" t="s">
        <v>2193</v>
      </c>
      <c r="H3133" t="s">
        <v>89</v>
      </c>
      <c r="I3133" t="s">
        <v>90</v>
      </c>
      <c r="J3133" t="s">
        <v>91</v>
      </c>
      <c r="K3133" t="s">
        <v>92</v>
      </c>
      <c r="L3133" t="s">
        <v>2194</v>
      </c>
      <c r="M3133" t="s">
        <v>94</v>
      </c>
      <c r="N3133" t="s">
        <v>7126</v>
      </c>
      <c r="O3133" t="s">
        <v>383</v>
      </c>
      <c r="P3133">
        <v>1E-3</v>
      </c>
      <c r="R3133" t="s">
        <v>7138</v>
      </c>
      <c r="S3133" t="s">
        <v>6958</v>
      </c>
      <c r="V3133" t="s">
        <v>6959</v>
      </c>
      <c r="W3133" t="s">
        <v>6999</v>
      </c>
      <c r="AD3133" t="s">
        <v>7139</v>
      </c>
    </row>
    <row r="3134" spans="1:32" x14ac:dyDescent="0.25">
      <c r="A3134" t="s">
        <v>33</v>
      </c>
      <c r="D3134" t="s">
        <v>6953</v>
      </c>
      <c r="E3134" t="s">
        <v>2893</v>
      </c>
      <c r="F3134" t="s">
        <v>87</v>
      </c>
      <c r="G3134" t="s">
        <v>2193</v>
      </c>
      <c r="H3134" t="s">
        <v>153</v>
      </c>
      <c r="I3134" t="s">
        <v>180</v>
      </c>
      <c r="J3134" t="s">
        <v>154</v>
      </c>
      <c r="K3134" t="s">
        <v>155</v>
      </c>
      <c r="L3134" t="s">
        <v>2194</v>
      </c>
      <c r="N3134" t="s">
        <v>7126</v>
      </c>
      <c r="O3134" t="s">
        <v>187</v>
      </c>
      <c r="R3134" t="s">
        <v>7140</v>
      </c>
      <c r="S3134" t="s">
        <v>6958</v>
      </c>
      <c r="V3134" t="s">
        <v>6959</v>
      </c>
      <c r="W3134" t="s">
        <v>6999</v>
      </c>
      <c r="AD3134" t="s">
        <v>7141</v>
      </c>
    </row>
    <row r="3135" spans="1:32" x14ac:dyDescent="0.25">
      <c r="A3135" t="s">
        <v>33</v>
      </c>
      <c r="D3135" t="s">
        <v>6953</v>
      </c>
      <c r="E3135" t="s">
        <v>2893</v>
      </c>
      <c r="F3135" t="s">
        <v>87</v>
      </c>
      <c r="G3135" t="s">
        <v>2193</v>
      </c>
      <c r="H3135" t="s">
        <v>143</v>
      </c>
      <c r="I3135" t="s">
        <v>180</v>
      </c>
      <c r="J3135" t="s">
        <v>145</v>
      </c>
      <c r="K3135" t="s">
        <v>262</v>
      </c>
      <c r="L3135" t="s">
        <v>2194</v>
      </c>
      <c r="M3135" t="s">
        <v>3327</v>
      </c>
      <c r="N3135" t="s">
        <v>7126</v>
      </c>
      <c r="O3135" t="s">
        <v>181</v>
      </c>
      <c r="R3135" t="s">
        <v>7142</v>
      </c>
      <c r="S3135" t="s">
        <v>6958</v>
      </c>
      <c r="V3135" t="s">
        <v>6959</v>
      </c>
      <c r="W3135" t="s">
        <v>6999</v>
      </c>
      <c r="X3135" t="s">
        <v>1193</v>
      </c>
      <c r="AD3135" t="s">
        <v>7143</v>
      </c>
    </row>
    <row r="3136" spans="1:32" x14ac:dyDescent="0.25">
      <c r="A3136" t="s">
        <v>33</v>
      </c>
      <c r="D3136" t="s">
        <v>6953</v>
      </c>
      <c r="E3136" t="s">
        <v>2893</v>
      </c>
      <c r="F3136" t="s">
        <v>87</v>
      </c>
      <c r="G3136" t="s">
        <v>2193</v>
      </c>
      <c r="H3136" t="s">
        <v>89</v>
      </c>
      <c r="I3136" t="s">
        <v>180</v>
      </c>
      <c r="J3136" t="s">
        <v>91</v>
      </c>
      <c r="K3136" t="s">
        <v>92</v>
      </c>
      <c r="L3136" t="s">
        <v>2194</v>
      </c>
      <c r="M3136" t="s">
        <v>94</v>
      </c>
      <c r="N3136" t="s">
        <v>7126</v>
      </c>
      <c r="O3136" t="s">
        <v>184</v>
      </c>
      <c r="P3136">
        <v>1E-3</v>
      </c>
      <c r="R3136" t="s">
        <v>7144</v>
      </c>
      <c r="S3136" t="s">
        <v>6958</v>
      </c>
      <c r="V3136" t="s">
        <v>6959</v>
      </c>
      <c r="W3136" t="s">
        <v>6999</v>
      </c>
      <c r="AD3136" t="s">
        <v>7145</v>
      </c>
    </row>
    <row r="3137" spans="1:32" x14ac:dyDescent="0.25">
      <c r="A3137" t="s">
        <v>33</v>
      </c>
      <c r="D3137" t="s">
        <v>6953</v>
      </c>
      <c r="E3137" t="s">
        <v>2893</v>
      </c>
      <c r="F3137" t="s">
        <v>87</v>
      </c>
      <c r="G3137" t="s">
        <v>2193</v>
      </c>
      <c r="H3137" t="s">
        <v>153</v>
      </c>
      <c r="I3137" t="s">
        <v>100</v>
      </c>
      <c r="J3137" t="s">
        <v>154</v>
      </c>
      <c r="K3137" t="s">
        <v>155</v>
      </c>
      <c r="L3137" t="s">
        <v>2194</v>
      </c>
      <c r="N3137" t="s">
        <v>7126</v>
      </c>
      <c r="O3137" t="s">
        <v>448</v>
      </c>
      <c r="R3137" t="s">
        <v>7146</v>
      </c>
      <c r="S3137" t="s">
        <v>6958</v>
      </c>
      <c r="V3137" t="s">
        <v>6959</v>
      </c>
      <c r="W3137" t="s">
        <v>6999</v>
      </c>
      <c r="AC3137" t="s">
        <v>7147</v>
      </c>
      <c r="AD3137" t="s">
        <v>7148</v>
      </c>
      <c r="AE3137" t="s">
        <v>7149</v>
      </c>
      <c r="AF3137">
        <v>1</v>
      </c>
    </row>
    <row r="3138" spans="1:32" x14ac:dyDescent="0.25">
      <c r="A3138" t="s">
        <v>33</v>
      </c>
      <c r="D3138" t="s">
        <v>6953</v>
      </c>
      <c r="E3138" t="s">
        <v>2893</v>
      </c>
      <c r="F3138" t="s">
        <v>87</v>
      </c>
      <c r="G3138" t="s">
        <v>2193</v>
      </c>
      <c r="H3138" t="s">
        <v>143</v>
      </c>
      <c r="I3138" t="s">
        <v>100</v>
      </c>
      <c r="J3138" t="s">
        <v>145</v>
      </c>
      <c r="K3138" t="s">
        <v>262</v>
      </c>
      <c r="L3138" t="s">
        <v>2194</v>
      </c>
      <c r="M3138" t="s">
        <v>3327</v>
      </c>
      <c r="N3138" t="s">
        <v>7126</v>
      </c>
      <c r="O3138" t="s">
        <v>442</v>
      </c>
      <c r="R3138" t="s">
        <v>7150</v>
      </c>
      <c r="S3138" t="s">
        <v>6958</v>
      </c>
      <c r="V3138" t="s">
        <v>6959</v>
      </c>
      <c r="W3138" t="s">
        <v>6999</v>
      </c>
      <c r="X3138" t="s">
        <v>1193</v>
      </c>
      <c r="AD3138" t="s">
        <v>7151</v>
      </c>
    </row>
    <row r="3139" spans="1:32" x14ac:dyDescent="0.25">
      <c r="A3139" t="s">
        <v>33</v>
      </c>
      <c r="D3139" t="s">
        <v>6953</v>
      </c>
      <c r="E3139" t="s">
        <v>2893</v>
      </c>
      <c r="F3139" t="s">
        <v>87</v>
      </c>
      <c r="G3139" t="s">
        <v>2193</v>
      </c>
      <c r="H3139" t="s">
        <v>89</v>
      </c>
      <c r="I3139" t="s">
        <v>100</v>
      </c>
      <c r="J3139" t="s">
        <v>91</v>
      </c>
      <c r="K3139" t="s">
        <v>92</v>
      </c>
      <c r="L3139" t="s">
        <v>2194</v>
      </c>
      <c r="M3139" t="s">
        <v>94</v>
      </c>
      <c r="N3139" t="s">
        <v>7126</v>
      </c>
      <c r="O3139" t="s">
        <v>445</v>
      </c>
      <c r="P3139">
        <v>1E-3</v>
      </c>
      <c r="R3139" t="s">
        <v>7152</v>
      </c>
      <c r="S3139" t="s">
        <v>6958</v>
      </c>
      <c r="V3139" t="s">
        <v>6959</v>
      </c>
      <c r="W3139" t="s">
        <v>6999</v>
      </c>
      <c r="AD3139" t="s">
        <v>7153</v>
      </c>
    </row>
    <row r="3140" spans="1:32" x14ac:dyDescent="0.25">
      <c r="A3140" t="s">
        <v>33</v>
      </c>
      <c r="D3140" t="s">
        <v>6953</v>
      </c>
      <c r="E3140" t="s">
        <v>2893</v>
      </c>
      <c r="F3140" t="s">
        <v>87</v>
      </c>
      <c r="G3140" t="s">
        <v>2193</v>
      </c>
      <c r="H3140" t="s">
        <v>38</v>
      </c>
      <c r="I3140" t="s">
        <v>106</v>
      </c>
      <c r="J3140" t="s">
        <v>40</v>
      </c>
      <c r="K3140" t="s">
        <v>41</v>
      </c>
      <c r="L3140" t="s">
        <v>2194</v>
      </c>
      <c r="M3140" t="s">
        <v>3327</v>
      </c>
      <c r="N3140" t="s">
        <v>7126</v>
      </c>
      <c r="O3140" t="s">
        <v>109</v>
      </c>
      <c r="R3140" t="s">
        <v>7154</v>
      </c>
      <c r="S3140" t="s">
        <v>6958</v>
      </c>
      <c r="V3140" t="s">
        <v>6959</v>
      </c>
      <c r="W3140" t="s">
        <v>6999</v>
      </c>
      <c r="X3140" t="s">
        <v>1193</v>
      </c>
      <c r="Z3140">
        <v>30</v>
      </c>
      <c r="AD3140" t="s">
        <v>7155</v>
      </c>
    </row>
    <row r="3141" spans="1:32" x14ac:dyDescent="0.25">
      <c r="A3141" t="s">
        <v>33</v>
      </c>
      <c r="D3141" t="s">
        <v>6953</v>
      </c>
      <c r="E3141" t="s">
        <v>2859</v>
      </c>
      <c r="F3141" t="s">
        <v>87</v>
      </c>
      <c r="G3141" t="s">
        <v>7156</v>
      </c>
      <c r="H3141" t="s">
        <v>153</v>
      </c>
      <c r="I3141" t="s">
        <v>144</v>
      </c>
      <c r="J3141" t="s">
        <v>154</v>
      </c>
      <c r="K3141" t="s">
        <v>155</v>
      </c>
      <c r="L3141" t="s">
        <v>7157</v>
      </c>
      <c r="N3141" t="s">
        <v>7158</v>
      </c>
      <c r="O3141" t="s">
        <v>156</v>
      </c>
      <c r="R3141" t="s">
        <v>7159</v>
      </c>
      <c r="S3141" t="s">
        <v>6958</v>
      </c>
      <c r="V3141" t="s">
        <v>6959</v>
      </c>
      <c r="W3141" t="s">
        <v>6966</v>
      </c>
      <c r="AD3141" t="s">
        <v>7160</v>
      </c>
    </row>
    <row r="3142" spans="1:32" x14ac:dyDescent="0.25">
      <c r="A3142" t="s">
        <v>33</v>
      </c>
      <c r="D3142" t="s">
        <v>6953</v>
      </c>
      <c r="E3142" t="s">
        <v>2859</v>
      </c>
      <c r="F3142" t="s">
        <v>87</v>
      </c>
      <c r="G3142" t="s">
        <v>7156</v>
      </c>
      <c r="H3142" t="s">
        <v>143</v>
      </c>
      <c r="I3142" t="s">
        <v>144</v>
      </c>
      <c r="J3142" t="s">
        <v>145</v>
      </c>
      <c r="K3142" t="s">
        <v>262</v>
      </c>
      <c r="L3142" t="s">
        <v>7157</v>
      </c>
      <c r="M3142" t="s">
        <v>176</v>
      </c>
      <c r="N3142" t="s">
        <v>7158</v>
      </c>
      <c r="O3142" t="s">
        <v>147</v>
      </c>
      <c r="R3142" t="s">
        <v>7161</v>
      </c>
      <c r="S3142" t="s">
        <v>6958</v>
      </c>
      <c r="V3142" t="s">
        <v>6959</v>
      </c>
      <c r="W3142" t="s">
        <v>6966</v>
      </c>
      <c r="AD3142" t="s">
        <v>7162</v>
      </c>
    </row>
    <row r="3143" spans="1:32" x14ac:dyDescent="0.25">
      <c r="A3143" t="s">
        <v>33</v>
      </c>
      <c r="D3143" t="s">
        <v>6953</v>
      </c>
      <c r="E3143" t="s">
        <v>2859</v>
      </c>
      <c r="F3143" t="s">
        <v>87</v>
      </c>
      <c r="G3143" t="s">
        <v>7156</v>
      </c>
      <c r="H3143" t="s">
        <v>89</v>
      </c>
      <c r="I3143" t="s">
        <v>144</v>
      </c>
      <c r="J3143" t="s">
        <v>91</v>
      </c>
      <c r="K3143" t="s">
        <v>92</v>
      </c>
      <c r="L3143" t="s">
        <v>7157</v>
      </c>
      <c r="M3143" t="s">
        <v>94</v>
      </c>
      <c r="N3143" t="s">
        <v>7158</v>
      </c>
      <c r="O3143" t="s">
        <v>150</v>
      </c>
      <c r="P3143">
        <v>1E-3</v>
      </c>
      <c r="R3143" t="s">
        <v>7163</v>
      </c>
      <c r="S3143" t="s">
        <v>6958</v>
      </c>
      <c r="V3143" t="s">
        <v>6959</v>
      </c>
      <c r="W3143" t="s">
        <v>6966</v>
      </c>
      <c r="AD3143" t="s">
        <v>7164</v>
      </c>
    </row>
    <row r="3144" spans="1:32" x14ac:dyDescent="0.25">
      <c r="A3144" t="s">
        <v>33</v>
      </c>
      <c r="D3144" t="s">
        <v>6953</v>
      </c>
      <c r="E3144" t="s">
        <v>2859</v>
      </c>
      <c r="F3144" t="s">
        <v>87</v>
      </c>
      <c r="G3144" t="s">
        <v>7156</v>
      </c>
      <c r="H3144" t="s">
        <v>153</v>
      </c>
      <c r="I3144" t="s">
        <v>180</v>
      </c>
      <c r="J3144" t="s">
        <v>154</v>
      </c>
      <c r="K3144" t="s">
        <v>155</v>
      </c>
      <c r="L3144" t="s">
        <v>7157</v>
      </c>
      <c r="N3144" t="s">
        <v>7158</v>
      </c>
      <c r="O3144" t="s">
        <v>187</v>
      </c>
      <c r="R3144" t="s">
        <v>7165</v>
      </c>
      <c r="S3144" t="s">
        <v>6958</v>
      </c>
      <c r="V3144" t="s">
        <v>6959</v>
      </c>
      <c r="W3144" t="s">
        <v>6966</v>
      </c>
      <c r="AD3144" t="s">
        <v>7166</v>
      </c>
    </row>
    <row r="3145" spans="1:32" x14ac:dyDescent="0.25">
      <c r="A3145" t="s">
        <v>33</v>
      </c>
      <c r="D3145" t="s">
        <v>6953</v>
      </c>
      <c r="E3145" t="s">
        <v>2859</v>
      </c>
      <c r="F3145" t="s">
        <v>87</v>
      </c>
      <c r="G3145" t="s">
        <v>7156</v>
      </c>
      <c r="H3145" t="s">
        <v>143</v>
      </c>
      <c r="I3145" t="s">
        <v>180</v>
      </c>
      <c r="J3145" t="s">
        <v>145</v>
      </c>
      <c r="K3145" t="s">
        <v>262</v>
      </c>
      <c r="L3145" t="s">
        <v>7157</v>
      </c>
      <c r="M3145" t="s">
        <v>176</v>
      </c>
      <c r="N3145" t="s">
        <v>7158</v>
      </c>
      <c r="O3145" t="s">
        <v>181</v>
      </c>
      <c r="R3145" t="s">
        <v>7167</v>
      </c>
      <c r="S3145" t="s">
        <v>6958</v>
      </c>
      <c r="V3145" t="s">
        <v>6959</v>
      </c>
      <c r="W3145" t="s">
        <v>6966</v>
      </c>
      <c r="AD3145" t="s">
        <v>7168</v>
      </c>
    </row>
    <row r="3146" spans="1:32" x14ac:dyDescent="0.25">
      <c r="A3146" t="s">
        <v>33</v>
      </c>
      <c r="D3146" t="s">
        <v>6953</v>
      </c>
      <c r="E3146" t="s">
        <v>2859</v>
      </c>
      <c r="F3146" t="s">
        <v>87</v>
      </c>
      <c r="G3146" t="s">
        <v>7156</v>
      </c>
      <c r="H3146" t="s">
        <v>89</v>
      </c>
      <c r="I3146" t="s">
        <v>180</v>
      </c>
      <c r="J3146" t="s">
        <v>91</v>
      </c>
      <c r="K3146" t="s">
        <v>92</v>
      </c>
      <c r="L3146" t="s">
        <v>7157</v>
      </c>
      <c r="M3146" t="s">
        <v>94</v>
      </c>
      <c r="N3146" t="s">
        <v>7158</v>
      </c>
      <c r="O3146" t="s">
        <v>184</v>
      </c>
      <c r="P3146">
        <v>1E-3</v>
      </c>
      <c r="R3146" t="s">
        <v>7169</v>
      </c>
      <c r="S3146" t="s">
        <v>6958</v>
      </c>
      <c r="V3146" t="s">
        <v>6959</v>
      </c>
      <c r="W3146" t="s">
        <v>6966</v>
      </c>
      <c r="AD3146" t="s">
        <v>7170</v>
      </c>
    </row>
    <row r="3147" spans="1:32" x14ac:dyDescent="0.25">
      <c r="A3147" t="s">
        <v>33</v>
      </c>
      <c r="D3147" t="s">
        <v>6953</v>
      </c>
      <c r="E3147" t="s">
        <v>2859</v>
      </c>
      <c r="F3147" t="s">
        <v>87</v>
      </c>
      <c r="G3147" t="s">
        <v>6859</v>
      </c>
      <c r="H3147" t="s">
        <v>153</v>
      </c>
      <c r="I3147" t="s">
        <v>144</v>
      </c>
      <c r="J3147" t="s">
        <v>154</v>
      </c>
      <c r="K3147" t="s">
        <v>155</v>
      </c>
      <c r="L3147" t="s">
        <v>6860</v>
      </c>
      <c r="N3147" t="s">
        <v>7171</v>
      </c>
      <c r="O3147" t="s">
        <v>156</v>
      </c>
      <c r="R3147" t="s">
        <v>7172</v>
      </c>
      <c r="S3147" t="s">
        <v>6958</v>
      </c>
      <c r="V3147" t="s">
        <v>6959</v>
      </c>
      <c r="W3147" t="s">
        <v>6966</v>
      </c>
      <c r="AD3147" t="s">
        <v>7173</v>
      </c>
    </row>
    <row r="3148" spans="1:32" x14ac:dyDescent="0.25">
      <c r="A3148" t="s">
        <v>33</v>
      </c>
      <c r="D3148" t="s">
        <v>6953</v>
      </c>
      <c r="E3148" t="s">
        <v>2859</v>
      </c>
      <c r="F3148" t="s">
        <v>87</v>
      </c>
      <c r="G3148" t="s">
        <v>6859</v>
      </c>
      <c r="H3148" t="s">
        <v>143</v>
      </c>
      <c r="I3148" t="s">
        <v>144</v>
      </c>
      <c r="J3148" t="s">
        <v>145</v>
      </c>
      <c r="K3148" t="s">
        <v>262</v>
      </c>
      <c r="L3148" t="s">
        <v>6860</v>
      </c>
      <c r="M3148" t="s">
        <v>176</v>
      </c>
      <c r="N3148" t="s">
        <v>7171</v>
      </c>
      <c r="O3148" t="s">
        <v>147</v>
      </c>
      <c r="R3148" t="s">
        <v>7174</v>
      </c>
      <c r="S3148" t="s">
        <v>6958</v>
      </c>
      <c r="V3148" t="s">
        <v>6959</v>
      </c>
      <c r="W3148" t="s">
        <v>6966</v>
      </c>
      <c r="AD3148" t="s">
        <v>7175</v>
      </c>
    </row>
    <row r="3149" spans="1:32" x14ac:dyDescent="0.25">
      <c r="A3149" t="s">
        <v>33</v>
      </c>
      <c r="D3149" t="s">
        <v>6953</v>
      </c>
      <c r="E3149" t="s">
        <v>2859</v>
      </c>
      <c r="F3149" t="s">
        <v>87</v>
      </c>
      <c r="G3149" t="s">
        <v>6859</v>
      </c>
      <c r="H3149" t="s">
        <v>89</v>
      </c>
      <c r="I3149" t="s">
        <v>144</v>
      </c>
      <c r="J3149" t="s">
        <v>91</v>
      </c>
      <c r="K3149" t="s">
        <v>92</v>
      </c>
      <c r="L3149" t="s">
        <v>6860</v>
      </c>
      <c r="M3149" t="s">
        <v>94</v>
      </c>
      <c r="N3149" t="s">
        <v>7171</v>
      </c>
      <c r="O3149" t="s">
        <v>150</v>
      </c>
      <c r="P3149">
        <v>1E-3</v>
      </c>
      <c r="R3149" t="s">
        <v>7176</v>
      </c>
      <c r="S3149" t="s">
        <v>6958</v>
      </c>
      <c r="V3149" t="s">
        <v>6959</v>
      </c>
      <c r="W3149" t="s">
        <v>6966</v>
      </c>
      <c r="AD3149" t="s">
        <v>7177</v>
      </c>
    </row>
    <row r="3150" spans="1:32" x14ac:dyDescent="0.25">
      <c r="A3150" t="s">
        <v>33</v>
      </c>
      <c r="D3150" t="s">
        <v>6953</v>
      </c>
      <c r="E3150" t="s">
        <v>2859</v>
      </c>
      <c r="F3150" t="s">
        <v>87</v>
      </c>
      <c r="G3150" t="s">
        <v>6859</v>
      </c>
      <c r="H3150" t="s">
        <v>153</v>
      </c>
      <c r="I3150" t="s">
        <v>90</v>
      </c>
      <c r="J3150" t="s">
        <v>154</v>
      </c>
      <c r="K3150" t="s">
        <v>155</v>
      </c>
      <c r="L3150" t="s">
        <v>6860</v>
      </c>
      <c r="N3150" t="s">
        <v>7171</v>
      </c>
      <c r="O3150" t="s">
        <v>386</v>
      </c>
      <c r="R3150" t="s">
        <v>7178</v>
      </c>
      <c r="S3150" t="s">
        <v>6958</v>
      </c>
      <c r="V3150" t="s">
        <v>6959</v>
      </c>
      <c r="W3150" t="s">
        <v>6966</v>
      </c>
      <c r="AC3150" t="s">
        <v>7179</v>
      </c>
      <c r="AD3150" t="s">
        <v>7180</v>
      </c>
      <c r="AE3150" t="s">
        <v>2890</v>
      </c>
      <c r="AF3150">
        <v>2</v>
      </c>
    </row>
    <row r="3151" spans="1:32" x14ac:dyDescent="0.25">
      <c r="A3151" t="s">
        <v>33</v>
      </c>
      <c r="D3151" t="s">
        <v>6953</v>
      </c>
      <c r="E3151" t="s">
        <v>2859</v>
      </c>
      <c r="F3151" t="s">
        <v>87</v>
      </c>
      <c r="G3151" t="s">
        <v>6859</v>
      </c>
      <c r="H3151" t="s">
        <v>143</v>
      </c>
      <c r="I3151" t="s">
        <v>90</v>
      </c>
      <c r="J3151" t="s">
        <v>145</v>
      </c>
      <c r="K3151" t="s">
        <v>262</v>
      </c>
      <c r="L3151" t="s">
        <v>6860</v>
      </c>
      <c r="M3151" t="s">
        <v>176</v>
      </c>
      <c r="N3151" t="s">
        <v>7171</v>
      </c>
      <c r="O3151" t="s">
        <v>380</v>
      </c>
      <c r="R3151" t="s">
        <v>7181</v>
      </c>
      <c r="S3151" t="s">
        <v>6958</v>
      </c>
      <c r="V3151" t="s">
        <v>6959</v>
      </c>
      <c r="W3151" t="s">
        <v>6966</v>
      </c>
      <c r="AD3151" t="s">
        <v>7182</v>
      </c>
    </row>
    <row r="3152" spans="1:32" x14ac:dyDescent="0.25">
      <c r="A3152" t="s">
        <v>33</v>
      </c>
      <c r="D3152" t="s">
        <v>6953</v>
      </c>
      <c r="E3152" t="s">
        <v>2859</v>
      </c>
      <c r="F3152" t="s">
        <v>87</v>
      </c>
      <c r="G3152" t="s">
        <v>6859</v>
      </c>
      <c r="H3152" t="s">
        <v>89</v>
      </c>
      <c r="I3152" t="s">
        <v>90</v>
      </c>
      <c r="J3152" t="s">
        <v>91</v>
      </c>
      <c r="K3152" t="s">
        <v>92</v>
      </c>
      <c r="L3152" t="s">
        <v>6860</v>
      </c>
      <c r="M3152" t="s">
        <v>94</v>
      </c>
      <c r="N3152" t="s">
        <v>7171</v>
      </c>
      <c r="O3152" t="s">
        <v>383</v>
      </c>
      <c r="P3152">
        <v>1E-3</v>
      </c>
      <c r="R3152" t="s">
        <v>7183</v>
      </c>
      <c r="S3152" t="s">
        <v>6958</v>
      </c>
      <c r="V3152" t="s">
        <v>6959</v>
      </c>
      <c r="W3152" t="s">
        <v>6966</v>
      </c>
      <c r="AD3152" t="s">
        <v>7184</v>
      </c>
    </row>
    <row r="3153" spans="1:32" x14ac:dyDescent="0.25">
      <c r="A3153" t="s">
        <v>33</v>
      </c>
      <c r="D3153" t="s">
        <v>6953</v>
      </c>
      <c r="E3153" t="s">
        <v>2859</v>
      </c>
      <c r="F3153" t="s">
        <v>87</v>
      </c>
      <c r="G3153" t="s">
        <v>6859</v>
      </c>
      <c r="H3153" t="s">
        <v>153</v>
      </c>
      <c r="I3153" t="s">
        <v>180</v>
      </c>
      <c r="J3153" t="s">
        <v>154</v>
      </c>
      <c r="K3153" t="s">
        <v>155</v>
      </c>
      <c r="L3153" t="s">
        <v>6860</v>
      </c>
      <c r="N3153" t="s">
        <v>7171</v>
      </c>
      <c r="O3153" t="s">
        <v>187</v>
      </c>
      <c r="R3153" t="s">
        <v>7185</v>
      </c>
      <c r="S3153" t="s">
        <v>6958</v>
      </c>
      <c r="V3153" t="s">
        <v>6959</v>
      </c>
      <c r="W3153" t="s">
        <v>6966</v>
      </c>
      <c r="AD3153" t="s">
        <v>7186</v>
      </c>
    </row>
    <row r="3154" spans="1:32" x14ac:dyDescent="0.25">
      <c r="A3154" t="s">
        <v>33</v>
      </c>
      <c r="D3154" t="s">
        <v>6953</v>
      </c>
      <c r="E3154" t="s">
        <v>2859</v>
      </c>
      <c r="F3154" t="s">
        <v>87</v>
      </c>
      <c r="G3154" t="s">
        <v>6859</v>
      </c>
      <c r="H3154" t="s">
        <v>143</v>
      </c>
      <c r="I3154" t="s">
        <v>180</v>
      </c>
      <c r="J3154" t="s">
        <v>145</v>
      </c>
      <c r="K3154" t="s">
        <v>262</v>
      </c>
      <c r="L3154" t="s">
        <v>6860</v>
      </c>
      <c r="M3154" t="s">
        <v>176</v>
      </c>
      <c r="N3154" t="s">
        <v>7171</v>
      </c>
      <c r="O3154" t="s">
        <v>181</v>
      </c>
      <c r="R3154" t="s">
        <v>7187</v>
      </c>
      <c r="S3154" t="s">
        <v>6958</v>
      </c>
      <c r="V3154" t="s">
        <v>6959</v>
      </c>
      <c r="W3154" t="s">
        <v>6966</v>
      </c>
      <c r="AD3154" t="s">
        <v>7188</v>
      </c>
    </row>
    <row r="3155" spans="1:32" x14ac:dyDescent="0.25">
      <c r="A3155" t="s">
        <v>33</v>
      </c>
      <c r="D3155" t="s">
        <v>6953</v>
      </c>
      <c r="E3155" t="s">
        <v>2859</v>
      </c>
      <c r="F3155" t="s">
        <v>87</v>
      </c>
      <c r="G3155" t="s">
        <v>6859</v>
      </c>
      <c r="H3155" t="s">
        <v>89</v>
      </c>
      <c r="I3155" t="s">
        <v>180</v>
      </c>
      <c r="J3155" t="s">
        <v>91</v>
      </c>
      <c r="K3155" t="s">
        <v>92</v>
      </c>
      <c r="L3155" t="s">
        <v>6860</v>
      </c>
      <c r="M3155" t="s">
        <v>94</v>
      </c>
      <c r="N3155" t="s">
        <v>7171</v>
      </c>
      <c r="O3155" t="s">
        <v>184</v>
      </c>
      <c r="P3155">
        <v>1E-3</v>
      </c>
      <c r="R3155" t="s">
        <v>7189</v>
      </c>
      <c r="S3155" t="s">
        <v>6958</v>
      </c>
      <c r="V3155" t="s">
        <v>6959</v>
      </c>
      <c r="W3155" t="s">
        <v>6966</v>
      </c>
      <c r="AD3155" t="s">
        <v>7190</v>
      </c>
    </row>
    <row r="3156" spans="1:32" x14ac:dyDescent="0.25">
      <c r="A3156" t="s">
        <v>33</v>
      </c>
      <c r="D3156" t="s">
        <v>6953</v>
      </c>
      <c r="E3156" t="s">
        <v>2859</v>
      </c>
      <c r="F3156" t="s">
        <v>87</v>
      </c>
      <c r="G3156" t="s">
        <v>6859</v>
      </c>
      <c r="H3156" t="s">
        <v>38</v>
      </c>
      <c r="I3156" t="s">
        <v>106</v>
      </c>
      <c r="J3156" t="s">
        <v>40</v>
      </c>
      <c r="K3156" t="s">
        <v>41</v>
      </c>
      <c r="L3156" t="s">
        <v>6860</v>
      </c>
      <c r="M3156" t="s">
        <v>176</v>
      </c>
      <c r="N3156" t="s">
        <v>7171</v>
      </c>
      <c r="O3156" t="s">
        <v>109</v>
      </c>
      <c r="R3156" t="s">
        <v>7191</v>
      </c>
      <c r="S3156" t="s">
        <v>6958</v>
      </c>
      <c r="V3156" t="s">
        <v>6959</v>
      </c>
      <c r="W3156" t="s">
        <v>6966</v>
      </c>
      <c r="AD3156" t="s">
        <v>7192</v>
      </c>
    </row>
    <row r="3157" spans="1:32" x14ac:dyDescent="0.25">
      <c r="A3157" t="s">
        <v>33</v>
      </c>
      <c r="D3157" t="s">
        <v>6953</v>
      </c>
      <c r="E3157" t="s">
        <v>2859</v>
      </c>
      <c r="F3157" t="s">
        <v>87</v>
      </c>
      <c r="G3157" t="s">
        <v>7193</v>
      </c>
      <c r="H3157" t="s">
        <v>153</v>
      </c>
      <c r="I3157" t="s">
        <v>144</v>
      </c>
      <c r="J3157" t="s">
        <v>154</v>
      </c>
      <c r="K3157" t="s">
        <v>155</v>
      </c>
      <c r="L3157" t="s">
        <v>7194</v>
      </c>
      <c r="N3157" t="s">
        <v>7195</v>
      </c>
      <c r="O3157" t="s">
        <v>156</v>
      </c>
      <c r="R3157" t="s">
        <v>7196</v>
      </c>
      <c r="S3157" t="s">
        <v>6958</v>
      </c>
      <c r="V3157" t="s">
        <v>6959</v>
      </c>
      <c r="W3157" t="s">
        <v>6981</v>
      </c>
      <c r="AD3157" t="s">
        <v>7197</v>
      </c>
    </row>
    <row r="3158" spans="1:32" x14ac:dyDescent="0.25">
      <c r="A3158" t="s">
        <v>33</v>
      </c>
      <c r="D3158" t="s">
        <v>6953</v>
      </c>
      <c r="E3158" t="s">
        <v>2859</v>
      </c>
      <c r="F3158" t="s">
        <v>87</v>
      </c>
      <c r="G3158" t="s">
        <v>7193</v>
      </c>
      <c r="H3158" t="s">
        <v>143</v>
      </c>
      <c r="I3158" t="s">
        <v>144</v>
      </c>
      <c r="J3158" t="s">
        <v>145</v>
      </c>
      <c r="K3158" t="s">
        <v>262</v>
      </c>
      <c r="L3158" t="s">
        <v>7194</v>
      </c>
      <c r="M3158" t="s">
        <v>176</v>
      </c>
      <c r="N3158" t="s">
        <v>7195</v>
      </c>
      <c r="O3158" t="s">
        <v>147</v>
      </c>
      <c r="R3158" t="s">
        <v>7198</v>
      </c>
      <c r="S3158" t="s">
        <v>6958</v>
      </c>
      <c r="V3158" t="s">
        <v>6959</v>
      </c>
      <c r="W3158" t="s">
        <v>6981</v>
      </c>
      <c r="AD3158" t="s">
        <v>7199</v>
      </c>
    </row>
    <row r="3159" spans="1:32" x14ac:dyDescent="0.25">
      <c r="A3159" t="s">
        <v>33</v>
      </c>
      <c r="D3159" t="s">
        <v>6953</v>
      </c>
      <c r="E3159" t="s">
        <v>2859</v>
      </c>
      <c r="F3159" t="s">
        <v>87</v>
      </c>
      <c r="G3159" t="s">
        <v>7193</v>
      </c>
      <c r="H3159" t="s">
        <v>89</v>
      </c>
      <c r="I3159" t="s">
        <v>144</v>
      </c>
      <c r="J3159" t="s">
        <v>91</v>
      </c>
      <c r="K3159" t="s">
        <v>92</v>
      </c>
      <c r="L3159" t="s">
        <v>7194</v>
      </c>
      <c r="M3159" t="s">
        <v>94</v>
      </c>
      <c r="N3159" t="s">
        <v>7195</v>
      </c>
      <c r="O3159" t="s">
        <v>150</v>
      </c>
      <c r="P3159">
        <v>1E-3</v>
      </c>
      <c r="R3159" t="s">
        <v>7200</v>
      </c>
      <c r="S3159" t="s">
        <v>6958</v>
      </c>
      <c r="V3159" t="s">
        <v>6959</v>
      </c>
      <c r="W3159" t="s">
        <v>6981</v>
      </c>
      <c r="AD3159" t="s">
        <v>7201</v>
      </c>
    </row>
    <row r="3160" spans="1:32" x14ac:dyDescent="0.25">
      <c r="A3160" t="s">
        <v>33</v>
      </c>
      <c r="D3160" t="s">
        <v>6953</v>
      </c>
      <c r="E3160" t="s">
        <v>2859</v>
      </c>
      <c r="F3160" t="s">
        <v>87</v>
      </c>
      <c r="G3160" t="s">
        <v>7193</v>
      </c>
      <c r="H3160" t="s">
        <v>153</v>
      </c>
      <c r="I3160" t="s">
        <v>90</v>
      </c>
      <c r="J3160" t="s">
        <v>154</v>
      </c>
      <c r="K3160" t="s">
        <v>155</v>
      </c>
      <c r="L3160" t="s">
        <v>7194</v>
      </c>
      <c r="N3160" t="s">
        <v>7195</v>
      </c>
      <c r="O3160" t="s">
        <v>386</v>
      </c>
      <c r="R3160" t="s">
        <v>7202</v>
      </c>
      <c r="S3160" t="s">
        <v>6958</v>
      </c>
      <c r="V3160" t="s">
        <v>6959</v>
      </c>
      <c r="W3160" t="s">
        <v>6981</v>
      </c>
      <c r="AC3160" t="s">
        <v>7203</v>
      </c>
      <c r="AD3160" t="s">
        <v>7204</v>
      </c>
      <c r="AE3160" t="s">
        <v>2890</v>
      </c>
      <c r="AF3160">
        <v>3</v>
      </c>
    </row>
    <row r="3161" spans="1:32" x14ac:dyDescent="0.25">
      <c r="A3161" t="s">
        <v>33</v>
      </c>
      <c r="D3161" t="s">
        <v>6953</v>
      </c>
      <c r="E3161" t="s">
        <v>2859</v>
      </c>
      <c r="F3161" t="s">
        <v>87</v>
      </c>
      <c r="G3161" t="s">
        <v>7193</v>
      </c>
      <c r="H3161" t="s">
        <v>143</v>
      </c>
      <c r="I3161" t="s">
        <v>90</v>
      </c>
      <c r="J3161" t="s">
        <v>145</v>
      </c>
      <c r="K3161" t="s">
        <v>262</v>
      </c>
      <c r="L3161" t="s">
        <v>7194</v>
      </c>
      <c r="M3161" t="s">
        <v>176</v>
      </c>
      <c r="N3161" t="s">
        <v>7195</v>
      </c>
      <c r="O3161" t="s">
        <v>380</v>
      </c>
      <c r="R3161" t="s">
        <v>7205</v>
      </c>
      <c r="S3161" t="s">
        <v>6958</v>
      </c>
      <c r="V3161" t="s">
        <v>6959</v>
      </c>
      <c r="W3161" t="s">
        <v>6981</v>
      </c>
      <c r="AD3161" t="s">
        <v>7206</v>
      </c>
    </row>
    <row r="3162" spans="1:32" x14ac:dyDescent="0.25">
      <c r="A3162" t="s">
        <v>33</v>
      </c>
      <c r="D3162" t="s">
        <v>6953</v>
      </c>
      <c r="E3162" t="s">
        <v>2859</v>
      </c>
      <c r="F3162" t="s">
        <v>87</v>
      </c>
      <c r="G3162" t="s">
        <v>7193</v>
      </c>
      <c r="H3162" t="s">
        <v>89</v>
      </c>
      <c r="I3162" t="s">
        <v>90</v>
      </c>
      <c r="J3162" t="s">
        <v>91</v>
      </c>
      <c r="K3162" t="s">
        <v>92</v>
      </c>
      <c r="L3162" t="s">
        <v>7194</v>
      </c>
      <c r="M3162" t="s">
        <v>94</v>
      </c>
      <c r="N3162" t="s">
        <v>7195</v>
      </c>
      <c r="O3162" t="s">
        <v>383</v>
      </c>
      <c r="P3162">
        <v>1E-3</v>
      </c>
      <c r="R3162" t="s">
        <v>7207</v>
      </c>
      <c r="S3162" t="s">
        <v>6958</v>
      </c>
      <c r="V3162" t="s">
        <v>6959</v>
      </c>
      <c r="W3162" t="s">
        <v>6981</v>
      </c>
      <c r="AD3162" t="s">
        <v>7208</v>
      </c>
    </row>
    <row r="3163" spans="1:32" x14ac:dyDescent="0.25">
      <c r="A3163" t="s">
        <v>33</v>
      </c>
      <c r="D3163" t="s">
        <v>6953</v>
      </c>
      <c r="E3163" t="s">
        <v>2859</v>
      </c>
      <c r="F3163" t="s">
        <v>87</v>
      </c>
      <c r="G3163" t="s">
        <v>7193</v>
      </c>
      <c r="H3163" t="s">
        <v>153</v>
      </c>
      <c r="I3163" t="s">
        <v>180</v>
      </c>
      <c r="J3163" t="s">
        <v>154</v>
      </c>
      <c r="K3163" t="s">
        <v>155</v>
      </c>
      <c r="L3163" t="s">
        <v>7194</v>
      </c>
      <c r="N3163" t="s">
        <v>7195</v>
      </c>
      <c r="O3163" t="s">
        <v>187</v>
      </c>
      <c r="R3163" t="s">
        <v>7209</v>
      </c>
      <c r="S3163" t="s">
        <v>6958</v>
      </c>
      <c r="V3163" t="s">
        <v>6959</v>
      </c>
      <c r="W3163" t="s">
        <v>6981</v>
      </c>
      <c r="AD3163" t="s">
        <v>7210</v>
      </c>
    </row>
    <row r="3164" spans="1:32" x14ac:dyDescent="0.25">
      <c r="A3164" t="s">
        <v>33</v>
      </c>
      <c r="D3164" t="s">
        <v>6953</v>
      </c>
      <c r="E3164" t="s">
        <v>2859</v>
      </c>
      <c r="F3164" t="s">
        <v>87</v>
      </c>
      <c r="G3164" t="s">
        <v>7193</v>
      </c>
      <c r="H3164" t="s">
        <v>143</v>
      </c>
      <c r="I3164" t="s">
        <v>180</v>
      </c>
      <c r="J3164" t="s">
        <v>145</v>
      </c>
      <c r="K3164" t="s">
        <v>262</v>
      </c>
      <c r="L3164" t="s">
        <v>7194</v>
      </c>
      <c r="M3164" t="s">
        <v>176</v>
      </c>
      <c r="N3164" t="s">
        <v>7195</v>
      </c>
      <c r="O3164" t="s">
        <v>181</v>
      </c>
      <c r="R3164" t="s">
        <v>7211</v>
      </c>
      <c r="S3164" t="s">
        <v>6958</v>
      </c>
      <c r="V3164" t="s">
        <v>6959</v>
      </c>
      <c r="W3164" t="s">
        <v>6981</v>
      </c>
      <c r="AD3164" t="s">
        <v>7212</v>
      </c>
    </row>
    <row r="3165" spans="1:32" x14ac:dyDescent="0.25">
      <c r="A3165" t="s">
        <v>33</v>
      </c>
      <c r="D3165" t="s">
        <v>6953</v>
      </c>
      <c r="E3165" t="s">
        <v>2859</v>
      </c>
      <c r="F3165" t="s">
        <v>87</v>
      </c>
      <c r="G3165" t="s">
        <v>7193</v>
      </c>
      <c r="H3165" t="s">
        <v>89</v>
      </c>
      <c r="I3165" t="s">
        <v>180</v>
      </c>
      <c r="J3165" t="s">
        <v>91</v>
      </c>
      <c r="K3165" t="s">
        <v>92</v>
      </c>
      <c r="L3165" t="s">
        <v>7194</v>
      </c>
      <c r="M3165" t="s">
        <v>94</v>
      </c>
      <c r="N3165" t="s">
        <v>7195</v>
      </c>
      <c r="O3165" t="s">
        <v>184</v>
      </c>
      <c r="P3165">
        <v>1E-3</v>
      </c>
      <c r="R3165" t="s">
        <v>7213</v>
      </c>
      <c r="S3165" t="s">
        <v>6958</v>
      </c>
      <c r="V3165" t="s">
        <v>6959</v>
      </c>
      <c r="W3165" t="s">
        <v>6981</v>
      </c>
      <c r="AD3165" t="s">
        <v>7214</v>
      </c>
    </row>
    <row r="3166" spans="1:32" x14ac:dyDescent="0.25">
      <c r="A3166" t="s">
        <v>33</v>
      </c>
      <c r="D3166" t="s">
        <v>6953</v>
      </c>
      <c r="E3166" t="s">
        <v>2859</v>
      </c>
      <c r="F3166" t="s">
        <v>87</v>
      </c>
      <c r="G3166" t="s">
        <v>7193</v>
      </c>
      <c r="H3166" t="s">
        <v>38</v>
      </c>
      <c r="I3166" t="s">
        <v>106</v>
      </c>
      <c r="J3166" t="s">
        <v>40</v>
      </c>
      <c r="K3166" t="s">
        <v>41</v>
      </c>
      <c r="L3166" t="s">
        <v>7194</v>
      </c>
      <c r="M3166" t="s">
        <v>176</v>
      </c>
      <c r="N3166" t="s">
        <v>7195</v>
      </c>
      <c r="O3166" t="s">
        <v>109</v>
      </c>
      <c r="R3166" t="s">
        <v>7215</v>
      </c>
      <c r="S3166" t="s">
        <v>6958</v>
      </c>
      <c r="V3166" t="s">
        <v>6959</v>
      </c>
      <c r="W3166" t="s">
        <v>6981</v>
      </c>
      <c r="AD3166" t="s">
        <v>7216</v>
      </c>
    </row>
    <row r="3167" spans="1:32" x14ac:dyDescent="0.25">
      <c r="A3167" t="s">
        <v>33</v>
      </c>
      <c r="D3167" t="s">
        <v>6953</v>
      </c>
      <c r="E3167" t="s">
        <v>2859</v>
      </c>
      <c r="F3167" t="s">
        <v>87</v>
      </c>
      <c r="G3167" t="s">
        <v>7217</v>
      </c>
      <c r="H3167" t="s">
        <v>153</v>
      </c>
      <c r="I3167" t="s">
        <v>144</v>
      </c>
      <c r="J3167" t="s">
        <v>154</v>
      </c>
      <c r="K3167" t="s">
        <v>155</v>
      </c>
      <c r="L3167" t="s">
        <v>7218</v>
      </c>
      <c r="N3167" t="s">
        <v>7219</v>
      </c>
      <c r="O3167" t="s">
        <v>156</v>
      </c>
      <c r="R3167" t="s">
        <v>7220</v>
      </c>
      <c r="S3167" t="s">
        <v>6958</v>
      </c>
      <c r="V3167" t="s">
        <v>6959</v>
      </c>
      <c r="W3167" t="s">
        <v>6981</v>
      </c>
      <c r="AD3167" t="s">
        <v>7221</v>
      </c>
    </row>
    <row r="3168" spans="1:32" x14ac:dyDescent="0.25">
      <c r="A3168" t="s">
        <v>33</v>
      </c>
      <c r="D3168" t="s">
        <v>6953</v>
      </c>
      <c r="E3168" t="s">
        <v>2859</v>
      </c>
      <c r="F3168" t="s">
        <v>87</v>
      </c>
      <c r="G3168" t="s">
        <v>7217</v>
      </c>
      <c r="H3168" t="s">
        <v>143</v>
      </c>
      <c r="I3168" t="s">
        <v>144</v>
      </c>
      <c r="J3168" t="s">
        <v>145</v>
      </c>
      <c r="K3168" t="s">
        <v>262</v>
      </c>
      <c r="L3168" t="s">
        <v>7218</v>
      </c>
      <c r="M3168" t="s">
        <v>176</v>
      </c>
      <c r="N3168" t="s">
        <v>7219</v>
      </c>
      <c r="O3168" t="s">
        <v>147</v>
      </c>
      <c r="R3168" t="s">
        <v>7222</v>
      </c>
      <c r="S3168" t="s">
        <v>6958</v>
      </c>
      <c r="V3168" t="s">
        <v>6959</v>
      </c>
      <c r="W3168" t="s">
        <v>6981</v>
      </c>
      <c r="AD3168" t="s">
        <v>7223</v>
      </c>
    </row>
    <row r="3169" spans="1:30" x14ac:dyDescent="0.25">
      <c r="A3169" t="s">
        <v>33</v>
      </c>
      <c r="D3169" t="s">
        <v>6953</v>
      </c>
      <c r="E3169" t="s">
        <v>2859</v>
      </c>
      <c r="F3169" t="s">
        <v>87</v>
      </c>
      <c r="G3169" t="s">
        <v>7217</v>
      </c>
      <c r="H3169" t="s">
        <v>89</v>
      </c>
      <c r="I3169" t="s">
        <v>144</v>
      </c>
      <c r="J3169" t="s">
        <v>91</v>
      </c>
      <c r="K3169" t="s">
        <v>92</v>
      </c>
      <c r="L3169" t="s">
        <v>7218</v>
      </c>
      <c r="M3169" t="s">
        <v>94</v>
      </c>
      <c r="N3169" t="s">
        <v>7219</v>
      </c>
      <c r="O3169" t="s">
        <v>150</v>
      </c>
      <c r="P3169">
        <v>1E-3</v>
      </c>
      <c r="R3169" t="s">
        <v>7224</v>
      </c>
      <c r="S3169" t="s">
        <v>6958</v>
      </c>
      <c r="V3169" t="s">
        <v>6959</v>
      </c>
      <c r="W3169" t="s">
        <v>6981</v>
      </c>
      <c r="AD3169" t="s">
        <v>7225</v>
      </c>
    </row>
    <row r="3170" spans="1:30" x14ac:dyDescent="0.25">
      <c r="A3170" t="s">
        <v>33</v>
      </c>
      <c r="D3170" t="s">
        <v>6953</v>
      </c>
      <c r="E3170" t="s">
        <v>2859</v>
      </c>
      <c r="F3170" t="s">
        <v>87</v>
      </c>
      <c r="G3170" t="s">
        <v>7217</v>
      </c>
      <c r="H3170" t="s">
        <v>153</v>
      </c>
      <c r="I3170" t="s">
        <v>180</v>
      </c>
      <c r="J3170" t="s">
        <v>154</v>
      </c>
      <c r="K3170" t="s">
        <v>155</v>
      </c>
      <c r="L3170" t="s">
        <v>7218</v>
      </c>
      <c r="N3170" t="s">
        <v>7219</v>
      </c>
      <c r="O3170" t="s">
        <v>187</v>
      </c>
      <c r="R3170" t="s">
        <v>7226</v>
      </c>
      <c r="S3170" t="s">
        <v>6958</v>
      </c>
      <c r="V3170" t="s">
        <v>6959</v>
      </c>
      <c r="W3170" t="s">
        <v>6981</v>
      </c>
      <c r="AD3170" t="s">
        <v>7227</v>
      </c>
    </row>
    <row r="3171" spans="1:30" x14ac:dyDescent="0.25">
      <c r="A3171" t="s">
        <v>33</v>
      </c>
      <c r="D3171" t="s">
        <v>6953</v>
      </c>
      <c r="E3171" t="s">
        <v>2859</v>
      </c>
      <c r="F3171" t="s">
        <v>87</v>
      </c>
      <c r="G3171" t="s">
        <v>7217</v>
      </c>
      <c r="H3171" t="s">
        <v>143</v>
      </c>
      <c r="I3171" t="s">
        <v>180</v>
      </c>
      <c r="J3171" t="s">
        <v>145</v>
      </c>
      <c r="K3171" t="s">
        <v>262</v>
      </c>
      <c r="L3171" t="s">
        <v>7218</v>
      </c>
      <c r="M3171" t="s">
        <v>176</v>
      </c>
      <c r="N3171" t="s">
        <v>7219</v>
      </c>
      <c r="O3171" t="s">
        <v>181</v>
      </c>
      <c r="R3171" t="s">
        <v>7228</v>
      </c>
      <c r="S3171" t="s">
        <v>6958</v>
      </c>
      <c r="V3171" t="s">
        <v>6959</v>
      </c>
      <c r="W3171" t="s">
        <v>6981</v>
      </c>
      <c r="AD3171" t="s">
        <v>7229</v>
      </c>
    </row>
    <row r="3172" spans="1:30" x14ac:dyDescent="0.25">
      <c r="A3172" t="s">
        <v>33</v>
      </c>
      <c r="D3172" t="s">
        <v>6953</v>
      </c>
      <c r="E3172" t="s">
        <v>2859</v>
      </c>
      <c r="F3172" t="s">
        <v>87</v>
      </c>
      <c r="G3172" t="s">
        <v>7217</v>
      </c>
      <c r="H3172" t="s">
        <v>89</v>
      </c>
      <c r="I3172" t="s">
        <v>180</v>
      </c>
      <c r="J3172" t="s">
        <v>91</v>
      </c>
      <c r="K3172" t="s">
        <v>92</v>
      </c>
      <c r="L3172" t="s">
        <v>7218</v>
      </c>
      <c r="M3172" t="s">
        <v>94</v>
      </c>
      <c r="N3172" t="s">
        <v>7219</v>
      </c>
      <c r="O3172" t="s">
        <v>184</v>
      </c>
      <c r="P3172">
        <v>1E-3</v>
      </c>
      <c r="R3172" t="s">
        <v>7230</v>
      </c>
      <c r="S3172" t="s">
        <v>6958</v>
      </c>
      <c r="V3172" t="s">
        <v>6959</v>
      </c>
      <c r="W3172" t="s">
        <v>6981</v>
      </c>
      <c r="AD3172" t="s">
        <v>7231</v>
      </c>
    </row>
    <row r="3173" spans="1:30" x14ac:dyDescent="0.25">
      <c r="A3173" t="s">
        <v>33</v>
      </c>
      <c r="D3173" t="s">
        <v>6953</v>
      </c>
      <c r="E3173" t="s">
        <v>2893</v>
      </c>
      <c r="F3173" t="s">
        <v>248</v>
      </c>
      <c r="G3173" t="s">
        <v>7232</v>
      </c>
      <c r="H3173" t="s">
        <v>143</v>
      </c>
      <c r="I3173" t="s">
        <v>276</v>
      </c>
      <c r="J3173" t="s">
        <v>145</v>
      </c>
      <c r="K3173" t="s">
        <v>146</v>
      </c>
      <c r="L3173" t="s">
        <v>7233</v>
      </c>
      <c r="N3173" t="s">
        <v>7234</v>
      </c>
      <c r="O3173" t="s">
        <v>277</v>
      </c>
      <c r="R3173" t="s">
        <v>7235</v>
      </c>
      <c r="S3173" t="s">
        <v>6958</v>
      </c>
      <c r="V3173" t="s">
        <v>6959</v>
      </c>
      <c r="W3173" t="s">
        <v>6999</v>
      </c>
      <c r="X3173" t="s">
        <v>270</v>
      </c>
      <c r="AD3173" t="s">
        <v>7236</v>
      </c>
    </row>
    <row r="3174" spans="1:30" x14ac:dyDescent="0.25">
      <c r="A3174" t="s">
        <v>33</v>
      </c>
      <c r="D3174" t="s">
        <v>6953</v>
      </c>
      <c r="E3174" t="s">
        <v>2893</v>
      </c>
      <c r="F3174" t="s">
        <v>248</v>
      </c>
      <c r="G3174" t="s">
        <v>7232</v>
      </c>
      <c r="H3174" t="s">
        <v>143</v>
      </c>
      <c r="I3174" t="s">
        <v>272</v>
      </c>
      <c r="J3174" t="s">
        <v>145</v>
      </c>
      <c r="K3174" t="s">
        <v>146</v>
      </c>
      <c r="L3174" t="s">
        <v>7233</v>
      </c>
      <c r="N3174" t="s">
        <v>7234</v>
      </c>
      <c r="O3174" t="s">
        <v>273</v>
      </c>
      <c r="R3174" t="s">
        <v>7237</v>
      </c>
      <c r="S3174" t="s">
        <v>6958</v>
      </c>
      <c r="V3174" t="s">
        <v>6959</v>
      </c>
      <c r="W3174" t="s">
        <v>6999</v>
      </c>
      <c r="X3174" t="s">
        <v>270</v>
      </c>
      <c r="AD3174" t="s">
        <v>7238</v>
      </c>
    </row>
    <row r="3175" spans="1:30" x14ac:dyDescent="0.25">
      <c r="A3175" t="s">
        <v>33</v>
      </c>
      <c r="D3175" t="s">
        <v>6953</v>
      </c>
      <c r="E3175" t="s">
        <v>2893</v>
      </c>
      <c r="F3175" t="s">
        <v>248</v>
      </c>
      <c r="G3175" t="s">
        <v>7232</v>
      </c>
      <c r="H3175" t="s">
        <v>143</v>
      </c>
      <c r="I3175" t="s">
        <v>267</v>
      </c>
      <c r="J3175" t="s">
        <v>145</v>
      </c>
      <c r="K3175" t="s">
        <v>146</v>
      </c>
      <c r="L3175" t="s">
        <v>7233</v>
      </c>
      <c r="N3175" t="s">
        <v>7234</v>
      </c>
      <c r="O3175" t="s">
        <v>268</v>
      </c>
      <c r="R3175" t="s">
        <v>7239</v>
      </c>
      <c r="S3175" t="s">
        <v>6958</v>
      </c>
      <c r="V3175" t="s">
        <v>6959</v>
      </c>
      <c r="W3175" t="s">
        <v>6999</v>
      </c>
      <c r="X3175" t="s">
        <v>270</v>
      </c>
      <c r="AD3175" t="s">
        <v>7240</v>
      </c>
    </row>
    <row r="3176" spans="1:30" x14ac:dyDescent="0.25">
      <c r="A3176" t="s">
        <v>33</v>
      </c>
      <c r="D3176" t="s">
        <v>6953</v>
      </c>
      <c r="E3176" t="s">
        <v>2893</v>
      </c>
      <c r="F3176" t="s">
        <v>248</v>
      </c>
      <c r="G3176" t="s">
        <v>7232</v>
      </c>
      <c r="H3176" t="s">
        <v>143</v>
      </c>
      <c r="I3176" t="s">
        <v>295</v>
      </c>
      <c r="J3176" t="s">
        <v>145</v>
      </c>
      <c r="K3176" t="s">
        <v>146</v>
      </c>
      <c r="L3176" t="s">
        <v>7233</v>
      </c>
      <c r="M3176" t="s">
        <v>82</v>
      </c>
      <c r="N3176" t="s">
        <v>7234</v>
      </c>
      <c r="O3176" t="s">
        <v>296</v>
      </c>
      <c r="R3176" t="s">
        <v>7241</v>
      </c>
      <c r="S3176" t="s">
        <v>6958</v>
      </c>
      <c r="V3176" t="s">
        <v>6959</v>
      </c>
      <c r="W3176" t="s">
        <v>6999</v>
      </c>
      <c r="AD3176" t="s">
        <v>7242</v>
      </c>
    </row>
    <row r="3177" spans="1:30" x14ac:dyDescent="0.25">
      <c r="A3177" t="s">
        <v>33</v>
      </c>
      <c r="D3177" t="s">
        <v>6953</v>
      </c>
      <c r="E3177" t="s">
        <v>2893</v>
      </c>
      <c r="F3177" t="s">
        <v>248</v>
      </c>
      <c r="G3177" t="s">
        <v>7232</v>
      </c>
      <c r="H3177" t="s">
        <v>143</v>
      </c>
      <c r="I3177" t="s">
        <v>299</v>
      </c>
      <c r="J3177" t="s">
        <v>145</v>
      </c>
      <c r="K3177" t="s">
        <v>146</v>
      </c>
      <c r="L3177" t="s">
        <v>7233</v>
      </c>
      <c r="M3177" t="s">
        <v>82</v>
      </c>
      <c r="N3177" t="s">
        <v>7234</v>
      </c>
      <c r="O3177" t="s">
        <v>300</v>
      </c>
      <c r="R3177" t="s">
        <v>7243</v>
      </c>
      <c r="S3177" t="s">
        <v>6958</v>
      </c>
      <c r="V3177" t="s">
        <v>6959</v>
      </c>
      <c r="W3177" t="s">
        <v>6999</v>
      </c>
      <c r="AD3177" t="s">
        <v>7244</v>
      </c>
    </row>
    <row r="3178" spans="1:30" x14ac:dyDescent="0.25">
      <c r="A3178" t="s">
        <v>33</v>
      </c>
      <c r="D3178" t="s">
        <v>6953</v>
      </c>
      <c r="E3178" t="s">
        <v>2893</v>
      </c>
      <c r="F3178" t="s">
        <v>248</v>
      </c>
      <c r="G3178" t="s">
        <v>7232</v>
      </c>
      <c r="H3178" t="s">
        <v>38</v>
      </c>
      <c r="I3178" t="s">
        <v>257</v>
      </c>
      <c r="J3178" t="s">
        <v>40</v>
      </c>
      <c r="K3178" t="s">
        <v>41</v>
      </c>
      <c r="L3178" t="s">
        <v>7233</v>
      </c>
      <c r="M3178" t="s">
        <v>82</v>
      </c>
      <c r="N3178" t="s">
        <v>7234</v>
      </c>
      <c r="O3178" t="s">
        <v>258</v>
      </c>
      <c r="R3178" t="s">
        <v>7245</v>
      </c>
      <c r="S3178" t="s">
        <v>6958</v>
      </c>
      <c r="V3178" t="s">
        <v>6959</v>
      </c>
      <c r="W3178" t="s">
        <v>6999</v>
      </c>
      <c r="AD3178" t="s">
        <v>7246</v>
      </c>
    </row>
    <row r="3179" spans="1:30" x14ac:dyDescent="0.25">
      <c r="A3179" t="s">
        <v>33</v>
      </c>
      <c r="D3179" t="s">
        <v>6953</v>
      </c>
      <c r="E3179" t="s">
        <v>2893</v>
      </c>
      <c r="F3179" t="s">
        <v>248</v>
      </c>
      <c r="G3179" t="s">
        <v>7232</v>
      </c>
      <c r="H3179" t="s">
        <v>38</v>
      </c>
      <c r="I3179" t="s">
        <v>250</v>
      </c>
      <c r="J3179" t="s">
        <v>40</v>
      </c>
      <c r="K3179" t="s">
        <v>41</v>
      </c>
      <c r="L3179" t="s">
        <v>7233</v>
      </c>
      <c r="M3179" t="s">
        <v>3327</v>
      </c>
      <c r="N3179" t="s">
        <v>7234</v>
      </c>
      <c r="O3179" t="s">
        <v>254</v>
      </c>
      <c r="R3179" t="s">
        <v>7247</v>
      </c>
      <c r="S3179" t="s">
        <v>6958</v>
      </c>
      <c r="V3179" t="s">
        <v>6959</v>
      </c>
      <c r="W3179" t="s">
        <v>6999</v>
      </c>
      <c r="X3179" t="s">
        <v>1193</v>
      </c>
      <c r="AD3179" t="s">
        <v>7248</v>
      </c>
    </row>
    <row r="3180" spans="1:30" x14ac:dyDescent="0.25">
      <c r="A3180" t="s">
        <v>33</v>
      </c>
      <c r="D3180" t="s">
        <v>6953</v>
      </c>
      <c r="E3180" t="s">
        <v>2893</v>
      </c>
      <c r="F3180" t="s">
        <v>248</v>
      </c>
      <c r="G3180" t="s">
        <v>7232</v>
      </c>
      <c r="H3180" t="s">
        <v>143</v>
      </c>
      <c r="I3180" t="s">
        <v>257</v>
      </c>
      <c r="J3180" t="s">
        <v>145</v>
      </c>
      <c r="K3180" t="s">
        <v>146</v>
      </c>
      <c r="L3180" t="s">
        <v>7233</v>
      </c>
      <c r="M3180" t="s">
        <v>82</v>
      </c>
      <c r="N3180" t="s">
        <v>7234</v>
      </c>
      <c r="O3180" t="s">
        <v>292</v>
      </c>
      <c r="R3180" t="s">
        <v>7249</v>
      </c>
      <c r="S3180" t="s">
        <v>6958</v>
      </c>
      <c r="V3180" t="s">
        <v>6959</v>
      </c>
      <c r="W3180" t="s">
        <v>6999</v>
      </c>
      <c r="AD3180" t="s">
        <v>7250</v>
      </c>
    </row>
    <row r="3181" spans="1:30" x14ac:dyDescent="0.25">
      <c r="A3181" t="s">
        <v>33</v>
      </c>
      <c r="D3181" t="s">
        <v>6953</v>
      </c>
      <c r="E3181" t="s">
        <v>2893</v>
      </c>
      <c r="F3181" t="s">
        <v>248</v>
      </c>
      <c r="G3181" t="s">
        <v>7232</v>
      </c>
      <c r="H3181" t="s">
        <v>143</v>
      </c>
      <c r="I3181" t="s">
        <v>261</v>
      </c>
      <c r="J3181" t="s">
        <v>145</v>
      </c>
      <c r="K3181" t="s">
        <v>262</v>
      </c>
      <c r="L3181" t="s">
        <v>7233</v>
      </c>
      <c r="M3181" t="s">
        <v>3327</v>
      </c>
      <c r="N3181" t="s">
        <v>7234</v>
      </c>
      <c r="O3181" t="s">
        <v>263</v>
      </c>
      <c r="R3181" t="s">
        <v>7251</v>
      </c>
      <c r="S3181" t="s">
        <v>6958</v>
      </c>
      <c r="V3181" t="s">
        <v>6959</v>
      </c>
      <c r="W3181" t="s">
        <v>6999</v>
      </c>
      <c r="X3181" t="s">
        <v>1193</v>
      </c>
      <c r="AD3181" t="s">
        <v>7252</v>
      </c>
    </row>
    <row r="3182" spans="1:30" x14ac:dyDescent="0.25">
      <c r="A3182" t="s">
        <v>33</v>
      </c>
      <c r="D3182" t="s">
        <v>6953</v>
      </c>
      <c r="E3182" t="s">
        <v>2893</v>
      </c>
      <c r="F3182" t="s">
        <v>248</v>
      </c>
      <c r="G3182" t="s">
        <v>7232</v>
      </c>
      <c r="H3182" t="s">
        <v>280</v>
      </c>
      <c r="I3182" t="s">
        <v>281</v>
      </c>
      <c r="J3182" t="s">
        <v>282</v>
      </c>
      <c r="K3182" t="s">
        <v>283</v>
      </c>
      <c r="L3182" t="s">
        <v>7233</v>
      </c>
      <c r="N3182" t="s">
        <v>7234</v>
      </c>
      <c r="O3182" t="s">
        <v>284</v>
      </c>
      <c r="Q3182" t="s">
        <v>285</v>
      </c>
      <c r="R3182" t="s">
        <v>7253</v>
      </c>
      <c r="S3182" t="s">
        <v>6958</v>
      </c>
      <c r="V3182" t="s">
        <v>6959</v>
      </c>
      <c r="W3182" t="s">
        <v>6999</v>
      </c>
      <c r="AD3182" t="s">
        <v>7254</v>
      </c>
    </row>
    <row r="3183" spans="1:30" x14ac:dyDescent="0.25">
      <c r="A3183" t="s">
        <v>33</v>
      </c>
      <c r="D3183" t="s">
        <v>6953</v>
      </c>
      <c r="E3183" t="s">
        <v>2893</v>
      </c>
      <c r="F3183" t="s">
        <v>78</v>
      </c>
      <c r="G3183" t="s">
        <v>7255</v>
      </c>
      <c r="H3183" t="s">
        <v>143</v>
      </c>
      <c r="I3183" t="s">
        <v>276</v>
      </c>
      <c r="J3183" t="s">
        <v>145</v>
      </c>
      <c r="K3183" t="s">
        <v>146</v>
      </c>
      <c r="L3183" t="s">
        <v>7256</v>
      </c>
      <c r="N3183" t="s">
        <v>7257</v>
      </c>
      <c r="O3183" t="s">
        <v>277</v>
      </c>
      <c r="R3183" t="s">
        <v>7258</v>
      </c>
      <c r="S3183" t="s">
        <v>6958</v>
      </c>
      <c r="V3183" t="s">
        <v>6959</v>
      </c>
      <c r="W3183" t="s">
        <v>6999</v>
      </c>
      <c r="X3183" t="s">
        <v>270</v>
      </c>
      <c r="AD3183" t="s">
        <v>7259</v>
      </c>
    </row>
    <row r="3184" spans="1:30" x14ac:dyDescent="0.25">
      <c r="A3184" t="s">
        <v>33</v>
      </c>
      <c r="D3184" t="s">
        <v>6953</v>
      </c>
      <c r="E3184" t="s">
        <v>2893</v>
      </c>
      <c r="F3184" t="s">
        <v>78</v>
      </c>
      <c r="G3184" t="s">
        <v>7255</v>
      </c>
      <c r="H3184" t="s">
        <v>143</v>
      </c>
      <c r="I3184" t="s">
        <v>272</v>
      </c>
      <c r="J3184" t="s">
        <v>145</v>
      </c>
      <c r="K3184" t="s">
        <v>146</v>
      </c>
      <c r="L3184" t="s">
        <v>7256</v>
      </c>
      <c r="N3184" t="s">
        <v>7257</v>
      </c>
      <c r="O3184" t="s">
        <v>273</v>
      </c>
      <c r="R3184" t="s">
        <v>7260</v>
      </c>
      <c r="S3184" t="s">
        <v>6958</v>
      </c>
      <c r="V3184" t="s">
        <v>6959</v>
      </c>
      <c r="W3184" t="s">
        <v>6999</v>
      </c>
      <c r="X3184" t="s">
        <v>270</v>
      </c>
      <c r="AD3184" t="s">
        <v>7261</v>
      </c>
    </row>
    <row r="3185" spans="1:30" x14ac:dyDescent="0.25">
      <c r="A3185" t="s">
        <v>33</v>
      </c>
      <c r="D3185" t="s">
        <v>6953</v>
      </c>
      <c r="E3185" t="s">
        <v>2893</v>
      </c>
      <c r="F3185" t="s">
        <v>78</v>
      </c>
      <c r="G3185" t="s">
        <v>7255</v>
      </c>
      <c r="H3185" t="s">
        <v>143</v>
      </c>
      <c r="I3185" t="s">
        <v>267</v>
      </c>
      <c r="J3185" t="s">
        <v>145</v>
      </c>
      <c r="K3185" t="s">
        <v>146</v>
      </c>
      <c r="L3185" t="s">
        <v>7256</v>
      </c>
      <c r="N3185" t="s">
        <v>7257</v>
      </c>
      <c r="O3185" t="s">
        <v>268</v>
      </c>
      <c r="R3185" t="s">
        <v>7262</v>
      </c>
      <c r="S3185" t="s">
        <v>6958</v>
      </c>
      <c r="V3185" t="s">
        <v>6959</v>
      </c>
      <c r="W3185" t="s">
        <v>6999</v>
      </c>
      <c r="X3185" t="s">
        <v>270</v>
      </c>
      <c r="AD3185" t="s">
        <v>7263</v>
      </c>
    </row>
    <row r="3186" spans="1:30" x14ac:dyDescent="0.25">
      <c r="A3186" t="s">
        <v>33</v>
      </c>
      <c r="D3186" t="s">
        <v>6953</v>
      </c>
      <c r="E3186" t="s">
        <v>2893</v>
      </c>
      <c r="F3186" t="s">
        <v>78</v>
      </c>
      <c r="G3186" t="s">
        <v>7255</v>
      </c>
      <c r="H3186" t="s">
        <v>143</v>
      </c>
      <c r="I3186" t="s">
        <v>295</v>
      </c>
      <c r="J3186" t="s">
        <v>145</v>
      </c>
      <c r="K3186" t="s">
        <v>146</v>
      </c>
      <c r="L3186" t="s">
        <v>7256</v>
      </c>
      <c r="M3186" t="s">
        <v>82</v>
      </c>
      <c r="N3186" t="s">
        <v>7257</v>
      </c>
      <c r="O3186" t="s">
        <v>296</v>
      </c>
      <c r="R3186" t="s">
        <v>7264</v>
      </c>
      <c r="S3186" t="s">
        <v>6958</v>
      </c>
      <c r="V3186" t="s">
        <v>6959</v>
      </c>
      <c r="W3186" t="s">
        <v>6999</v>
      </c>
      <c r="AD3186" t="s">
        <v>7265</v>
      </c>
    </row>
    <row r="3187" spans="1:30" x14ac:dyDescent="0.25">
      <c r="A3187" t="s">
        <v>33</v>
      </c>
      <c r="D3187" t="s">
        <v>6953</v>
      </c>
      <c r="E3187" t="s">
        <v>2893</v>
      </c>
      <c r="F3187" t="s">
        <v>78</v>
      </c>
      <c r="G3187" t="s">
        <v>7255</v>
      </c>
      <c r="H3187" t="s">
        <v>143</v>
      </c>
      <c r="I3187" t="s">
        <v>299</v>
      </c>
      <c r="J3187" t="s">
        <v>145</v>
      </c>
      <c r="K3187" t="s">
        <v>146</v>
      </c>
      <c r="L3187" t="s">
        <v>7256</v>
      </c>
      <c r="M3187" t="s">
        <v>82</v>
      </c>
      <c r="N3187" t="s">
        <v>7257</v>
      </c>
      <c r="O3187" t="s">
        <v>300</v>
      </c>
      <c r="R3187" t="s">
        <v>7266</v>
      </c>
      <c r="S3187" t="s">
        <v>6958</v>
      </c>
      <c r="V3187" t="s">
        <v>6959</v>
      </c>
      <c r="W3187" t="s">
        <v>6999</v>
      </c>
      <c r="AD3187" t="s">
        <v>7267</v>
      </c>
    </row>
    <row r="3188" spans="1:30" x14ac:dyDescent="0.25">
      <c r="A3188" t="s">
        <v>33</v>
      </c>
      <c r="D3188" t="s">
        <v>6953</v>
      </c>
      <c r="E3188" t="s">
        <v>2893</v>
      </c>
      <c r="F3188" t="s">
        <v>78</v>
      </c>
      <c r="G3188" t="s">
        <v>7255</v>
      </c>
      <c r="H3188" t="s">
        <v>166</v>
      </c>
      <c r="I3188" t="s">
        <v>288</v>
      </c>
      <c r="J3188" t="s">
        <v>167</v>
      </c>
      <c r="K3188" t="s">
        <v>41</v>
      </c>
      <c r="L3188" t="s">
        <v>7256</v>
      </c>
      <c r="N3188" t="s">
        <v>7257</v>
      </c>
      <c r="O3188" t="s">
        <v>289</v>
      </c>
      <c r="Q3188" t="s">
        <v>285</v>
      </c>
      <c r="R3188" t="s">
        <v>7268</v>
      </c>
      <c r="S3188" t="s">
        <v>6958</v>
      </c>
      <c r="V3188" t="s">
        <v>6959</v>
      </c>
      <c r="W3188" t="s">
        <v>6999</v>
      </c>
      <c r="AD3188" t="s">
        <v>7269</v>
      </c>
    </row>
    <row r="3189" spans="1:30" x14ac:dyDescent="0.25">
      <c r="A3189" t="s">
        <v>33</v>
      </c>
      <c r="D3189" t="s">
        <v>6953</v>
      </c>
      <c r="E3189" t="s">
        <v>2893</v>
      </c>
      <c r="F3189" t="s">
        <v>78</v>
      </c>
      <c r="G3189" t="s">
        <v>7255</v>
      </c>
      <c r="H3189" t="s">
        <v>38</v>
      </c>
      <c r="I3189" t="s">
        <v>257</v>
      </c>
      <c r="J3189" t="s">
        <v>40</v>
      </c>
      <c r="K3189" t="s">
        <v>41</v>
      </c>
      <c r="L3189" t="s">
        <v>7256</v>
      </c>
      <c r="M3189" t="s">
        <v>82</v>
      </c>
      <c r="N3189" t="s">
        <v>7257</v>
      </c>
      <c r="O3189" t="s">
        <v>258</v>
      </c>
      <c r="R3189" t="s">
        <v>7270</v>
      </c>
      <c r="S3189" t="s">
        <v>6958</v>
      </c>
      <c r="V3189" t="s">
        <v>6959</v>
      </c>
      <c r="W3189" t="s">
        <v>6999</v>
      </c>
      <c r="AD3189" t="s">
        <v>7271</v>
      </c>
    </row>
    <row r="3190" spans="1:30" x14ac:dyDescent="0.25">
      <c r="A3190" t="s">
        <v>33</v>
      </c>
      <c r="D3190" t="s">
        <v>6953</v>
      </c>
      <c r="E3190" t="s">
        <v>2893</v>
      </c>
      <c r="F3190" t="s">
        <v>78</v>
      </c>
      <c r="G3190" t="s">
        <v>7255</v>
      </c>
      <c r="H3190" t="s">
        <v>38</v>
      </c>
      <c r="I3190" t="s">
        <v>250</v>
      </c>
      <c r="J3190" t="s">
        <v>40</v>
      </c>
      <c r="K3190" t="s">
        <v>41</v>
      </c>
      <c r="L3190" t="s">
        <v>7256</v>
      </c>
      <c r="M3190" t="s">
        <v>3327</v>
      </c>
      <c r="N3190" t="s">
        <v>7257</v>
      </c>
      <c r="O3190" t="s">
        <v>254</v>
      </c>
      <c r="R3190" t="s">
        <v>7272</v>
      </c>
      <c r="S3190" t="s">
        <v>6958</v>
      </c>
      <c r="V3190" t="s">
        <v>6959</v>
      </c>
      <c r="W3190" t="s">
        <v>6999</v>
      </c>
      <c r="X3190" t="s">
        <v>1193</v>
      </c>
      <c r="AD3190" t="s">
        <v>7273</v>
      </c>
    </row>
    <row r="3191" spans="1:30" x14ac:dyDescent="0.25">
      <c r="A3191" t="s">
        <v>33</v>
      </c>
      <c r="D3191" t="s">
        <v>6953</v>
      </c>
      <c r="E3191" t="s">
        <v>2893</v>
      </c>
      <c r="F3191" t="s">
        <v>78</v>
      </c>
      <c r="G3191" t="s">
        <v>7255</v>
      </c>
      <c r="H3191" t="s">
        <v>143</v>
      </c>
      <c r="I3191" t="s">
        <v>257</v>
      </c>
      <c r="J3191" t="s">
        <v>145</v>
      </c>
      <c r="K3191" t="s">
        <v>146</v>
      </c>
      <c r="L3191" t="s">
        <v>7256</v>
      </c>
      <c r="M3191" t="s">
        <v>82</v>
      </c>
      <c r="N3191" t="s">
        <v>7257</v>
      </c>
      <c r="O3191" t="s">
        <v>292</v>
      </c>
      <c r="R3191" t="s">
        <v>7274</v>
      </c>
      <c r="S3191" t="s">
        <v>6958</v>
      </c>
      <c r="V3191" t="s">
        <v>6959</v>
      </c>
      <c r="W3191" t="s">
        <v>6999</v>
      </c>
      <c r="AD3191" t="s">
        <v>7275</v>
      </c>
    </row>
    <row r="3192" spans="1:30" x14ac:dyDescent="0.25">
      <c r="A3192" t="s">
        <v>33</v>
      </c>
      <c r="D3192" t="s">
        <v>6953</v>
      </c>
      <c r="E3192" t="s">
        <v>2893</v>
      </c>
      <c r="F3192" t="s">
        <v>78</v>
      </c>
      <c r="G3192" t="s">
        <v>7255</v>
      </c>
      <c r="H3192" t="s">
        <v>143</v>
      </c>
      <c r="I3192" t="s">
        <v>261</v>
      </c>
      <c r="J3192" t="s">
        <v>145</v>
      </c>
      <c r="K3192" t="s">
        <v>262</v>
      </c>
      <c r="L3192" t="s">
        <v>7256</v>
      </c>
      <c r="M3192" t="s">
        <v>3327</v>
      </c>
      <c r="N3192" t="s">
        <v>7257</v>
      </c>
      <c r="O3192" t="s">
        <v>263</v>
      </c>
      <c r="R3192" t="s">
        <v>7276</v>
      </c>
      <c r="S3192" t="s">
        <v>6958</v>
      </c>
      <c r="V3192" t="s">
        <v>6959</v>
      </c>
      <c r="W3192" t="s">
        <v>6999</v>
      </c>
      <c r="X3192" t="s">
        <v>1193</v>
      </c>
      <c r="AD3192" t="s">
        <v>7277</v>
      </c>
    </row>
    <row r="3193" spans="1:30" x14ac:dyDescent="0.25">
      <c r="A3193" t="s">
        <v>33</v>
      </c>
      <c r="D3193" t="s">
        <v>6953</v>
      </c>
      <c r="E3193" t="s">
        <v>2893</v>
      </c>
      <c r="F3193" t="s">
        <v>78</v>
      </c>
      <c r="G3193" t="s">
        <v>7255</v>
      </c>
      <c r="H3193" t="s">
        <v>280</v>
      </c>
      <c r="I3193" t="s">
        <v>281</v>
      </c>
      <c r="J3193" t="s">
        <v>282</v>
      </c>
      <c r="K3193" t="s">
        <v>283</v>
      </c>
      <c r="L3193" t="s">
        <v>7256</v>
      </c>
      <c r="N3193" t="s">
        <v>7257</v>
      </c>
      <c r="O3193" t="s">
        <v>284</v>
      </c>
      <c r="Q3193" t="s">
        <v>285</v>
      </c>
      <c r="R3193" t="s">
        <v>7278</v>
      </c>
      <c r="S3193" t="s">
        <v>6958</v>
      </c>
      <c r="V3193" t="s">
        <v>6959</v>
      </c>
      <c r="W3193" t="s">
        <v>6999</v>
      </c>
      <c r="AD3193" t="s">
        <v>7279</v>
      </c>
    </row>
    <row r="3194" spans="1:30" x14ac:dyDescent="0.25">
      <c r="A3194" t="s">
        <v>33</v>
      </c>
      <c r="D3194" t="s">
        <v>6953</v>
      </c>
      <c r="E3194" t="s">
        <v>2859</v>
      </c>
      <c r="F3194" t="s">
        <v>78</v>
      </c>
      <c r="G3194" t="s">
        <v>7280</v>
      </c>
      <c r="H3194" t="s">
        <v>143</v>
      </c>
      <c r="I3194" t="s">
        <v>276</v>
      </c>
      <c r="J3194" t="s">
        <v>145</v>
      </c>
      <c r="K3194" t="s">
        <v>146</v>
      </c>
      <c r="L3194" t="s">
        <v>7281</v>
      </c>
      <c r="N3194" t="s">
        <v>7282</v>
      </c>
      <c r="O3194" t="s">
        <v>277</v>
      </c>
      <c r="R3194" t="s">
        <v>7283</v>
      </c>
      <c r="S3194" t="s">
        <v>6958</v>
      </c>
      <c r="V3194" t="s">
        <v>6959</v>
      </c>
      <c r="W3194" t="s">
        <v>6966</v>
      </c>
      <c r="X3194" t="s">
        <v>270</v>
      </c>
      <c r="AD3194" t="s">
        <v>7284</v>
      </c>
    </row>
    <row r="3195" spans="1:30" x14ac:dyDescent="0.25">
      <c r="A3195" t="s">
        <v>33</v>
      </c>
      <c r="D3195" t="s">
        <v>6953</v>
      </c>
      <c r="E3195" t="s">
        <v>2859</v>
      </c>
      <c r="F3195" t="s">
        <v>78</v>
      </c>
      <c r="G3195" t="s">
        <v>7280</v>
      </c>
      <c r="H3195" t="s">
        <v>143</v>
      </c>
      <c r="I3195" t="s">
        <v>272</v>
      </c>
      <c r="J3195" t="s">
        <v>145</v>
      </c>
      <c r="K3195" t="s">
        <v>146</v>
      </c>
      <c r="L3195" t="s">
        <v>7281</v>
      </c>
      <c r="N3195" t="s">
        <v>7282</v>
      </c>
      <c r="O3195" t="s">
        <v>273</v>
      </c>
      <c r="R3195" t="s">
        <v>7285</v>
      </c>
      <c r="S3195" t="s">
        <v>6958</v>
      </c>
      <c r="V3195" t="s">
        <v>6959</v>
      </c>
      <c r="W3195" t="s">
        <v>6966</v>
      </c>
      <c r="X3195" t="s">
        <v>270</v>
      </c>
      <c r="AD3195" t="s">
        <v>7286</v>
      </c>
    </row>
    <row r="3196" spans="1:30" x14ac:dyDescent="0.25">
      <c r="A3196" t="s">
        <v>33</v>
      </c>
      <c r="D3196" t="s">
        <v>6953</v>
      </c>
      <c r="E3196" t="s">
        <v>2859</v>
      </c>
      <c r="F3196" t="s">
        <v>78</v>
      </c>
      <c r="G3196" t="s">
        <v>7280</v>
      </c>
      <c r="H3196" t="s">
        <v>143</v>
      </c>
      <c r="I3196" t="s">
        <v>267</v>
      </c>
      <c r="J3196" t="s">
        <v>145</v>
      </c>
      <c r="K3196" t="s">
        <v>146</v>
      </c>
      <c r="L3196" t="s">
        <v>7281</v>
      </c>
      <c r="N3196" t="s">
        <v>7282</v>
      </c>
      <c r="O3196" t="s">
        <v>268</v>
      </c>
      <c r="R3196" t="s">
        <v>7287</v>
      </c>
      <c r="S3196" t="s">
        <v>6958</v>
      </c>
      <c r="V3196" t="s">
        <v>6959</v>
      </c>
      <c r="W3196" t="s">
        <v>6966</v>
      </c>
      <c r="X3196" t="s">
        <v>270</v>
      </c>
      <c r="AD3196" t="s">
        <v>7288</v>
      </c>
    </row>
    <row r="3197" spans="1:30" x14ac:dyDescent="0.25">
      <c r="A3197" t="s">
        <v>33</v>
      </c>
      <c r="D3197" t="s">
        <v>6953</v>
      </c>
      <c r="E3197" t="s">
        <v>2859</v>
      </c>
      <c r="F3197" t="s">
        <v>78</v>
      </c>
      <c r="G3197" t="s">
        <v>7280</v>
      </c>
      <c r="H3197" t="s">
        <v>143</v>
      </c>
      <c r="I3197" t="s">
        <v>295</v>
      </c>
      <c r="J3197" t="s">
        <v>145</v>
      </c>
      <c r="K3197" t="s">
        <v>146</v>
      </c>
      <c r="L3197" t="s">
        <v>7281</v>
      </c>
      <c r="M3197" t="s">
        <v>82</v>
      </c>
      <c r="N3197" t="s">
        <v>7282</v>
      </c>
      <c r="O3197" t="s">
        <v>296</v>
      </c>
      <c r="R3197" t="s">
        <v>7289</v>
      </c>
      <c r="S3197" t="s">
        <v>6958</v>
      </c>
      <c r="V3197" t="s">
        <v>6959</v>
      </c>
      <c r="W3197" t="s">
        <v>6966</v>
      </c>
      <c r="AD3197" t="s">
        <v>7290</v>
      </c>
    </row>
    <row r="3198" spans="1:30" x14ac:dyDescent="0.25">
      <c r="A3198" t="s">
        <v>33</v>
      </c>
      <c r="D3198" t="s">
        <v>6953</v>
      </c>
      <c r="E3198" t="s">
        <v>2859</v>
      </c>
      <c r="F3198" t="s">
        <v>78</v>
      </c>
      <c r="G3198" t="s">
        <v>7280</v>
      </c>
      <c r="H3198" t="s">
        <v>143</v>
      </c>
      <c r="I3198" t="s">
        <v>299</v>
      </c>
      <c r="J3198" t="s">
        <v>145</v>
      </c>
      <c r="K3198" t="s">
        <v>146</v>
      </c>
      <c r="L3198" t="s">
        <v>7281</v>
      </c>
      <c r="M3198" t="s">
        <v>82</v>
      </c>
      <c r="N3198" t="s">
        <v>7282</v>
      </c>
      <c r="O3198" t="s">
        <v>300</v>
      </c>
      <c r="R3198" t="s">
        <v>7291</v>
      </c>
      <c r="S3198" t="s">
        <v>6958</v>
      </c>
      <c r="V3198" t="s">
        <v>6959</v>
      </c>
      <c r="W3198" t="s">
        <v>6966</v>
      </c>
      <c r="AD3198" t="s">
        <v>7292</v>
      </c>
    </row>
    <row r="3199" spans="1:30" x14ac:dyDescent="0.25">
      <c r="A3199" t="s">
        <v>33</v>
      </c>
      <c r="D3199" t="s">
        <v>6953</v>
      </c>
      <c r="E3199" t="s">
        <v>2859</v>
      </c>
      <c r="F3199" t="s">
        <v>78</v>
      </c>
      <c r="G3199" t="s">
        <v>7280</v>
      </c>
      <c r="H3199" t="s">
        <v>38</v>
      </c>
      <c r="I3199" t="s">
        <v>257</v>
      </c>
      <c r="J3199" t="s">
        <v>40</v>
      </c>
      <c r="K3199" t="s">
        <v>41</v>
      </c>
      <c r="L3199" t="s">
        <v>7281</v>
      </c>
      <c r="M3199" t="s">
        <v>82</v>
      </c>
      <c r="N3199" t="s">
        <v>7282</v>
      </c>
      <c r="O3199" t="s">
        <v>258</v>
      </c>
      <c r="R3199" t="s">
        <v>7293</v>
      </c>
      <c r="S3199" t="s">
        <v>6958</v>
      </c>
      <c r="V3199" t="s">
        <v>6959</v>
      </c>
      <c r="W3199" t="s">
        <v>6966</v>
      </c>
      <c r="AD3199" t="s">
        <v>7294</v>
      </c>
    </row>
    <row r="3200" spans="1:30" x14ac:dyDescent="0.25">
      <c r="A3200" t="s">
        <v>33</v>
      </c>
      <c r="D3200" t="s">
        <v>6953</v>
      </c>
      <c r="E3200" t="s">
        <v>2859</v>
      </c>
      <c r="F3200" t="s">
        <v>78</v>
      </c>
      <c r="G3200" t="s">
        <v>7280</v>
      </c>
      <c r="H3200" t="s">
        <v>38</v>
      </c>
      <c r="I3200" t="s">
        <v>250</v>
      </c>
      <c r="J3200" t="s">
        <v>40</v>
      </c>
      <c r="K3200" t="s">
        <v>41</v>
      </c>
      <c r="L3200" t="s">
        <v>7281</v>
      </c>
      <c r="M3200" t="s">
        <v>176</v>
      </c>
      <c r="N3200" t="s">
        <v>7282</v>
      </c>
      <c r="O3200" t="s">
        <v>254</v>
      </c>
      <c r="R3200" t="s">
        <v>7295</v>
      </c>
      <c r="S3200" t="s">
        <v>6958</v>
      </c>
      <c r="V3200" t="s">
        <v>6959</v>
      </c>
      <c r="W3200" t="s">
        <v>6966</v>
      </c>
      <c r="AD3200" t="s">
        <v>7296</v>
      </c>
    </row>
    <row r="3201" spans="1:30" x14ac:dyDescent="0.25">
      <c r="A3201" t="s">
        <v>33</v>
      </c>
      <c r="D3201" t="s">
        <v>6953</v>
      </c>
      <c r="E3201" t="s">
        <v>2859</v>
      </c>
      <c r="F3201" t="s">
        <v>78</v>
      </c>
      <c r="G3201" t="s">
        <v>7280</v>
      </c>
      <c r="H3201" t="s">
        <v>143</v>
      </c>
      <c r="I3201" t="s">
        <v>257</v>
      </c>
      <c r="J3201" t="s">
        <v>145</v>
      </c>
      <c r="K3201" t="s">
        <v>146</v>
      </c>
      <c r="L3201" t="s">
        <v>7281</v>
      </c>
      <c r="M3201" t="s">
        <v>82</v>
      </c>
      <c r="N3201" t="s">
        <v>7282</v>
      </c>
      <c r="O3201" t="s">
        <v>292</v>
      </c>
      <c r="R3201" t="s">
        <v>7297</v>
      </c>
      <c r="S3201" t="s">
        <v>6958</v>
      </c>
      <c r="V3201" t="s">
        <v>6959</v>
      </c>
      <c r="W3201" t="s">
        <v>6966</v>
      </c>
      <c r="AD3201" t="s">
        <v>7298</v>
      </c>
    </row>
    <row r="3202" spans="1:30" x14ac:dyDescent="0.25">
      <c r="A3202" t="s">
        <v>33</v>
      </c>
      <c r="D3202" t="s">
        <v>6953</v>
      </c>
      <c r="E3202" t="s">
        <v>2859</v>
      </c>
      <c r="F3202" t="s">
        <v>78</v>
      </c>
      <c r="G3202" t="s">
        <v>7280</v>
      </c>
      <c r="H3202" t="s">
        <v>143</v>
      </c>
      <c r="I3202" t="s">
        <v>261</v>
      </c>
      <c r="J3202" t="s">
        <v>145</v>
      </c>
      <c r="K3202" t="s">
        <v>262</v>
      </c>
      <c r="L3202" t="s">
        <v>7281</v>
      </c>
      <c r="M3202" t="s">
        <v>176</v>
      </c>
      <c r="N3202" t="s">
        <v>7282</v>
      </c>
      <c r="O3202" t="s">
        <v>263</v>
      </c>
      <c r="R3202" t="s">
        <v>7299</v>
      </c>
      <c r="S3202" t="s">
        <v>6958</v>
      </c>
      <c r="V3202" t="s">
        <v>6959</v>
      </c>
      <c r="W3202" t="s">
        <v>6966</v>
      </c>
      <c r="AD3202" t="s">
        <v>7300</v>
      </c>
    </row>
    <row r="3203" spans="1:30" x14ac:dyDescent="0.25">
      <c r="A3203" t="s">
        <v>33</v>
      </c>
      <c r="D3203" t="s">
        <v>6953</v>
      </c>
      <c r="E3203" t="s">
        <v>2859</v>
      </c>
      <c r="F3203" t="s">
        <v>78</v>
      </c>
      <c r="G3203" t="s">
        <v>7280</v>
      </c>
      <c r="H3203" t="s">
        <v>280</v>
      </c>
      <c r="I3203" t="s">
        <v>281</v>
      </c>
      <c r="J3203" t="s">
        <v>282</v>
      </c>
      <c r="K3203" t="s">
        <v>283</v>
      </c>
      <c r="L3203" t="s">
        <v>7281</v>
      </c>
      <c r="N3203" t="s">
        <v>7282</v>
      </c>
      <c r="O3203" t="s">
        <v>284</v>
      </c>
      <c r="Q3203" t="s">
        <v>285</v>
      </c>
      <c r="R3203" t="s">
        <v>7301</v>
      </c>
      <c r="S3203" t="s">
        <v>6958</v>
      </c>
      <c r="V3203" t="s">
        <v>6959</v>
      </c>
      <c r="W3203" t="s">
        <v>6966</v>
      </c>
      <c r="AD3203" t="s">
        <v>7302</v>
      </c>
    </row>
    <row r="3204" spans="1:30" x14ac:dyDescent="0.25">
      <c r="A3204" t="s">
        <v>33</v>
      </c>
      <c r="D3204" t="s">
        <v>6953</v>
      </c>
      <c r="E3204" t="s">
        <v>2859</v>
      </c>
      <c r="F3204" t="s">
        <v>248</v>
      </c>
      <c r="G3204" t="s">
        <v>7303</v>
      </c>
      <c r="H3204" t="s">
        <v>143</v>
      </c>
      <c r="I3204" t="s">
        <v>257</v>
      </c>
      <c r="J3204" t="s">
        <v>145</v>
      </c>
      <c r="K3204" t="s">
        <v>146</v>
      </c>
      <c r="L3204" t="s">
        <v>7304</v>
      </c>
      <c r="M3204" t="s">
        <v>82</v>
      </c>
      <c r="N3204" t="s">
        <v>7305</v>
      </c>
      <c r="O3204" t="s">
        <v>292</v>
      </c>
      <c r="R3204" t="s">
        <v>7306</v>
      </c>
      <c r="S3204" t="s">
        <v>6958</v>
      </c>
      <c r="V3204" t="s">
        <v>6959</v>
      </c>
      <c r="W3204" t="s">
        <v>6966</v>
      </c>
      <c r="AD3204" t="s">
        <v>7307</v>
      </c>
    </row>
    <row r="3205" spans="1:30" x14ac:dyDescent="0.25">
      <c r="A3205" t="s">
        <v>33</v>
      </c>
      <c r="D3205" t="s">
        <v>6953</v>
      </c>
      <c r="E3205" t="s">
        <v>2869</v>
      </c>
      <c r="F3205" t="s">
        <v>2870</v>
      </c>
      <c r="G3205" t="s">
        <v>2871</v>
      </c>
      <c r="H3205" t="s">
        <v>166</v>
      </c>
      <c r="I3205" t="s">
        <v>468</v>
      </c>
      <c r="J3205" t="s">
        <v>167</v>
      </c>
      <c r="K3205" t="s">
        <v>41</v>
      </c>
      <c r="L3205" t="s">
        <v>2873</v>
      </c>
      <c r="N3205" t="s">
        <v>2874</v>
      </c>
      <c r="O3205" t="s">
        <v>471</v>
      </c>
      <c r="Q3205" t="s">
        <v>4195</v>
      </c>
      <c r="R3205" t="s">
        <v>7308</v>
      </c>
      <c r="S3205" t="s">
        <v>6958</v>
      </c>
      <c r="V3205" t="s">
        <v>6959</v>
      </c>
      <c r="W3205" t="s">
        <v>7009</v>
      </c>
      <c r="AD3205" t="s">
        <v>4197</v>
      </c>
    </row>
    <row r="3206" spans="1:30" x14ac:dyDescent="0.25">
      <c r="A3206" t="s">
        <v>33</v>
      </c>
      <c r="D3206" t="s">
        <v>6953</v>
      </c>
      <c r="E3206" t="s">
        <v>2859</v>
      </c>
      <c r="F3206" t="s">
        <v>87</v>
      </c>
      <c r="G3206" t="s">
        <v>7309</v>
      </c>
      <c r="H3206" t="s">
        <v>38</v>
      </c>
      <c r="I3206" t="s">
        <v>25</v>
      </c>
      <c r="J3206" t="s">
        <v>69</v>
      </c>
      <c r="K3206" t="s">
        <v>41</v>
      </c>
      <c r="L3206" t="s">
        <v>7310</v>
      </c>
      <c r="M3206" t="s">
        <v>252</v>
      </c>
      <c r="N3206" t="s">
        <v>7311</v>
      </c>
      <c r="O3206" t="s">
        <v>512</v>
      </c>
      <c r="R3206" t="s">
        <v>2218</v>
      </c>
      <c r="S3206" t="s">
        <v>6958</v>
      </c>
      <c r="V3206" t="s">
        <v>6959</v>
      </c>
      <c r="W3206" t="s">
        <v>6960</v>
      </c>
      <c r="AD3206" t="s">
        <v>7312</v>
      </c>
    </row>
    <row r="3207" spans="1:30" x14ac:dyDescent="0.25">
      <c r="A3207" t="s">
        <v>33</v>
      </c>
      <c r="D3207" t="s">
        <v>6953</v>
      </c>
      <c r="E3207" t="s">
        <v>2859</v>
      </c>
      <c r="F3207" t="s">
        <v>87</v>
      </c>
      <c r="G3207" t="s">
        <v>7309</v>
      </c>
      <c r="H3207" t="s">
        <v>38</v>
      </c>
      <c r="I3207" t="s">
        <v>24</v>
      </c>
      <c r="J3207" t="s">
        <v>69</v>
      </c>
      <c r="K3207" t="s">
        <v>41</v>
      </c>
      <c r="L3207" t="s">
        <v>7310</v>
      </c>
      <c r="M3207" t="s">
        <v>252</v>
      </c>
      <c r="N3207" t="s">
        <v>7311</v>
      </c>
      <c r="O3207" t="s">
        <v>509</v>
      </c>
      <c r="R3207" t="s">
        <v>2219</v>
      </c>
      <c r="S3207" t="s">
        <v>6958</v>
      </c>
      <c r="V3207" t="s">
        <v>6959</v>
      </c>
      <c r="W3207" t="s">
        <v>6960</v>
      </c>
      <c r="AD3207" t="s">
        <v>7313</v>
      </c>
    </row>
    <row r="3208" spans="1:30" x14ac:dyDescent="0.25">
      <c r="A3208" t="s">
        <v>33</v>
      </c>
      <c r="D3208" t="s">
        <v>6953</v>
      </c>
      <c r="E3208" t="s">
        <v>2859</v>
      </c>
      <c r="F3208" t="s">
        <v>87</v>
      </c>
      <c r="G3208" t="s">
        <v>7314</v>
      </c>
      <c r="H3208" t="s">
        <v>38</v>
      </c>
      <c r="I3208" t="s">
        <v>25</v>
      </c>
      <c r="J3208" t="s">
        <v>69</v>
      </c>
      <c r="K3208" t="s">
        <v>41</v>
      </c>
      <c r="L3208" t="s">
        <v>7315</v>
      </c>
      <c r="M3208" t="s">
        <v>252</v>
      </c>
      <c r="N3208" t="s">
        <v>7316</v>
      </c>
      <c r="O3208" t="s">
        <v>512</v>
      </c>
      <c r="R3208" t="s">
        <v>1849</v>
      </c>
      <c r="S3208" t="s">
        <v>6958</v>
      </c>
      <c r="V3208" t="s">
        <v>6959</v>
      </c>
      <c r="W3208" t="s">
        <v>6981</v>
      </c>
      <c r="AD3208" t="s">
        <v>7317</v>
      </c>
    </row>
    <row r="3209" spans="1:30" x14ac:dyDescent="0.25">
      <c r="A3209" t="s">
        <v>33</v>
      </c>
      <c r="D3209" t="s">
        <v>6953</v>
      </c>
      <c r="E3209" t="s">
        <v>2859</v>
      </c>
      <c r="F3209" t="s">
        <v>87</v>
      </c>
      <c r="G3209" t="s">
        <v>7314</v>
      </c>
      <c r="H3209" t="s">
        <v>38</v>
      </c>
      <c r="I3209" t="s">
        <v>24</v>
      </c>
      <c r="J3209" t="s">
        <v>69</v>
      </c>
      <c r="K3209" t="s">
        <v>41</v>
      </c>
      <c r="L3209" t="s">
        <v>7315</v>
      </c>
      <c r="M3209" t="s">
        <v>252</v>
      </c>
      <c r="N3209" t="s">
        <v>7316</v>
      </c>
      <c r="O3209" t="s">
        <v>509</v>
      </c>
      <c r="R3209" t="s">
        <v>1851</v>
      </c>
      <c r="S3209" t="s">
        <v>6958</v>
      </c>
      <c r="V3209" t="s">
        <v>6959</v>
      </c>
      <c r="W3209" t="s">
        <v>6981</v>
      </c>
      <c r="AD3209" t="s">
        <v>7318</v>
      </c>
    </row>
    <row r="3210" spans="1:30" x14ac:dyDescent="0.25">
      <c r="A3210" t="s">
        <v>33</v>
      </c>
      <c r="D3210" t="s">
        <v>6953</v>
      </c>
      <c r="E3210" t="s">
        <v>2859</v>
      </c>
      <c r="F3210" t="s">
        <v>87</v>
      </c>
      <c r="G3210" t="s">
        <v>6977</v>
      </c>
      <c r="H3210" t="s">
        <v>38</v>
      </c>
      <c r="I3210" t="s">
        <v>25</v>
      </c>
      <c r="J3210" t="s">
        <v>69</v>
      </c>
      <c r="K3210" t="s">
        <v>41</v>
      </c>
      <c r="L3210" t="s">
        <v>6978</v>
      </c>
      <c r="M3210" t="s">
        <v>82</v>
      </c>
      <c r="N3210" t="s">
        <v>6979</v>
      </c>
      <c r="O3210" t="s">
        <v>512</v>
      </c>
      <c r="R3210" t="s">
        <v>2259</v>
      </c>
      <c r="S3210" t="s">
        <v>6958</v>
      </c>
      <c r="V3210" t="s">
        <v>6959</v>
      </c>
      <c r="W3210" t="s">
        <v>6981</v>
      </c>
      <c r="AD3210" t="s">
        <v>7319</v>
      </c>
    </row>
    <row r="3211" spans="1:30" x14ac:dyDescent="0.25">
      <c r="A3211" t="s">
        <v>33</v>
      </c>
      <c r="D3211" t="s">
        <v>6953</v>
      </c>
      <c r="E3211" t="s">
        <v>2859</v>
      </c>
      <c r="F3211" t="s">
        <v>87</v>
      </c>
      <c r="G3211" t="s">
        <v>6977</v>
      </c>
      <c r="H3211" t="s">
        <v>38</v>
      </c>
      <c r="I3211" t="s">
        <v>24</v>
      </c>
      <c r="J3211" t="s">
        <v>69</v>
      </c>
      <c r="K3211" t="s">
        <v>41</v>
      </c>
      <c r="L3211" t="s">
        <v>6978</v>
      </c>
      <c r="M3211" t="s">
        <v>82</v>
      </c>
      <c r="N3211" t="s">
        <v>6979</v>
      </c>
      <c r="O3211" t="s">
        <v>509</v>
      </c>
      <c r="R3211" t="s">
        <v>2260</v>
      </c>
      <c r="S3211" t="s">
        <v>6958</v>
      </c>
      <c r="V3211" t="s">
        <v>6959</v>
      </c>
      <c r="W3211" t="s">
        <v>6981</v>
      </c>
      <c r="AD3211" t="s">
        <v>7320</v>
      </c>
    </row>
    <row r="3212" spans="1:30" x14ac:dyDescent="0.25">
      <c r="A3212" t="s">
        <v>33</v>
      </c>
      <c r="D3212" t="s">
        <v>6953</v>
      </c>
      <c r="E3212" t="s">
        <v>2859</v>
      </c>
      <c r="F3212" t="s">
        <v>87</v>
      </c>
      <c r="G3212" t="s">
        <v>7321</v>
      </c>
      <c r="H3212" t="s">
        <v>38</v>
      </c>
      <c r="I3212" t="s">
        <v>25</v>
      </c>
      <c r="J3212" t="s">
        <v>69</v>
      </c>
      <c r="K3212" t="s">
        <v>41</v>
      </c>
      <c r="L3212" t="s">
        <v>7322</v>
      </c>
      <c r="M3212" t="s">
        <v>252</v>
      </c>
      <c r="N3212" t="s">
        <v>7323</v>
      </c>
      <c r="O3212" t="s">
        <v>512</v>
      </c>
      <c r="R3212" t="s">
        <v>1561</v>
      </c>
      <c r="S3212" t="s">
        <v>6958</v>
      </c>
      <c r="V3212" t="s">
        <v>6959</v>
      </c>
      <c r="W3212" t="s">
        <v>6981</v>
      </c>
      <c r="AD3212" t="s">
        <v>7324</v>
      </c>
    </row>
    <row r="3213" spans="1:30" x14ac:dyDescent="0.25">
      <c r="A3213" t="s">
        <v>33</v>
      </c>
      <c r="D3213" t="s">
        <v>6953</v>
      </c>
      <c r="E3213" t="s">
        <v>2859</v>
      </c>
      <c r="F3213" t="s">
        <v>87</v>
      </c>
      <c r="G3213" t="s">
        <v>7321</v>
      </c>
      <c r="H3213" t="s">
        <v>38</v>
      </c>
      <c r="I3213" t="s">
        <v>24</v>
      </c>
      <c r="J3213" t="s">
        <v>69</v>
      </c>
      <c r="K3213" t="s">
        <v>41</v>
      </c>
      <c r="L3213" t="s">
        <v>7322</v>
      </c>
      <c r="M3213" t="s">
        <v>252</v>
      </c>
      <c r="N3213" t="s">
        <v>7323</v>
      </c>
      <c r="O3213" t="s">
        <v>509</v>
      </c>
      <c r="R3213" t="s">
        <v>1563</v>
      </c>
      <c r="S3213" t="s">
        <v>6958</v>
      </c>
      <c r="V3213" t="s">
        <v>6959</v>
      </c>
      <c r="W3213" t="s">
        <v>6981</v>
      </c>
      <c r="AD3213" t="s">
        <v>7325</v>
      </c>
    </row>
    <row r="3214" spans="1:30" x14ac:dyDescent="0.25">
      <c r="A3214" t="s">
        <v>33</v>
      </c>
      <c r="D3214" t="s">
        <v>6953</v>
      </c>
      <c r="E3214" t="s">
        <v>2859</v>
      </c>
      <c r="F3214" t="s">
        <v>87</v>
      </c>
      <c r="G3214" t="s">
        <v>1540</v>
      </c>
      <c r="H3214" t="s">
        <v>38</v>
      </c>
      <c r="I3214" t="s">
        <v>25</v>
      </c>
      <c r="J3214" t="s">
        <v>69</v>
      </c>
      <c r="K3214" t="s">
        <v>41</v>
      </c>
      <c r="L3214" t="s">
        <v>1541</v>
      </c>
      <c r="M3214" t="s">
        <v>252</v>
      </c>
      <c r="N3214" t="s">
        <v>6920</v>
      </c>
      <c r="O3214" t="s">
        <v>512</v>
      </c>
      <c r="R3214" t="s">
        <v>2624</v>
      </c>
      <c r="S3214" t="s">
        <v>6958</v>
      </c>
      <c r="V3214" t="s">
        <v>6959</v>
      </c>
      <c r="W3214" t="s">
        <v>6960</v>
      </c>
      <c r="AD3214" t="s">
        <v>7326</v>
      </c>
    </row>
    <row r="3215" spans="1:30" x14ac:dyDescent="0.25">
      <c r="A3215" t="s">
        <v>33</v>
      </c>
      <c r="D3215" t="s">
        <v>6953</v>
      </c>
      <c r="E3215" t="s">
        <v>2859</v>
      </c>
      <c r="F3215" t="s">
        <v>87</v>
      </c>
      <c r="G3215" t="s">
        <v>1540</v>
      </c>
      <c r="H3215" t="s">
        <v>38</v>
      </c>
      <c r="I3215" t="s">
        <v>24</v>
      </c>
      <c r="J3215" t="s">
        <v>69</v>
      </c>
      <c r="K3215" t="s">
        <v>41</v>
      </c>
      <c r="L3215" t="s">
        <v>1541</v>
      </c>
      <c r="M3215" t="s">
        <v>252</v>
      </c>
      <c r="N3215" t="s">
        <v>6920</v>
      </c>
      <c r="O3215" t="s">
        <v>509</v>
      </c>
      <c r="R3215" t="s">
        <v>2625</v>
      </c>
      <c r="S3215" t="s">
        <v>6958</v>
      </c>
      <c r="V3215" t="s">
        <v>6959</v>
      </c>
      <c r="W3215" t="s">
        <v>6960</v>
      </c>
      <c r="AD3215" t="s">
        <v>7327</v>
      </c>
    </row>
    <row r="3216" spans="1:30" x14ac:dyDescent="0.25">
      <c r="A3216" t="s">
        <v>33</v>
      </c>
      <c r="D3216" t="s">
        <v>6953</v>
      </c>
      <c r="E3216" t="s">
        <v>2859</v>
      </c>
      <c r="F3216" t="s">
        <v>87</v>
      </c>
      <c r="G3216" t="s">
        <v>7328</v>
      </c>
      <c r="H3216" t="s">
        <v>38</v>
      </c>
      <c r="I3216" t="s">
        <v>25</v>
      </c>
      <c r="J3216" t="s">
        <v>69</v>
      </c>
      <c r="K3216" t="s">
        <v>41</v>
      </c>
      <c r="L3216" t="s">
        <v>7329</v>
      </c>
      <c r="M3216" t="s">
        <v>252</v>
      </c>
      <c r="N3216" t="s">
        <v>7330</v>
      </c>
      <c r="O3216" t="s">
        <v>512</v>
      </c>
      <c r="R3216" t="s">
        <v>4471</v>
      </c>
      <c r="S3216" t="s">
        <v>6958</v>
      </c>
      <c r="V3216" t="s">
        <v>6959</v>
      </c>
      <c r="W3216" t="s">
        <v>6960</v>
      </c>
      <c r="AD3216" t="s">
        <v>7331</v>
      </c>
    </row>
    <row r="3217" spans="1:30" x14ac:dyDescent="0.25">
      <c r="A3217" t="s">
        <v>33</v>
      </c>
      <c r="D3217" t="s">
        <v>6953</v>
      </c>
      <c r="E3217" t="s">
        <v>2859</v>
      </c>
      <c r="F3217" t="s">
        <v>87</v>
      </c>
      <c r="G3217" t="s">
        <v>7328</v>
      </c>
      <c r="H3217" t="s">
        <v>38</v>
      </c>
      <c r="I3217" t="s">
        <v>24</v>
      </c>
      <c r="J3217" t="s">
        <v>69</v>
      </c>
      <c r="K3217" t="s">
        <v>41</v>
      </c>
      <c r="L3217" t="s">
        <v>7329</v>
      </c>
      <c r="M3217" t="s">
        <v>252</v>
      </c>
      <c r="N3217" t="s">
        <v>7330</v>
      </c>
      <c r="O3217" t="s">
        <v>509</v>
      </c>
      <c r="R3217" t="s">
        <v>4473</v>
      </c>
      <c r="S3217" t="s">
        <v>6958</v>
      </c>
      <c r="V3217" t="s">
        <v>6959</v>
      </c>
      <c r="W3217" t="s">
        <v>6960</v>
      </c>
      <c r="AD3217" t="s">
        <v>7332</v>
      </c>
    </row>
    <row r="3218" spans="1:30" x14ac:dyDescent="0.25">
      <c r="A3218" t="s">
        <v>33</v>
      </c>
      <c r="D3218" t="s">
        <v>6953</v>
      </c>
      <c r="E3218" t="s">
        <v>2859</v>
      </c>
      <c r="F3218" t="s">
        <v>87</v>
      </c>
      <c r="G3218" t="s">
        <v>6910</v>
      </c>
      <c r="H3218" t="s">
        <v>38</v>
      </c>
      <c r="I3218" t="s">
        <v>25</v>
      </c>
      <c r="J3218" t="s">
        <v>69</v>
      </c>
      <c r="K3218" t="s">
        <v>41</v>
      </c>
      <c r="L3218" t="s">
        <v>6911</v>
      </c>
      <c r="M3218" t="s">
        <v>252</v>
      </c>
      <c r="N3218" t="s">
        <v>7333</v>
      </c>
      <c r="O3218" t="s">
        <v>512</v>
      </c>
      <c r="R3218" t="s">
        <v>1436</v>
      </c>
      <c r="S3218" t="s">
        <v>6958</v>
      </c>
      <c r="V3218" t="s">
        <v>6959</v>
      </c>
      <c r="W3218" t="s">
        <v>6966</v>
      </c>
      <c r="AD3218" t="s">
        <v>7334</v>
      </c>
    </row>
    <row r="3219" spans="1:30" x14ac:dyDescent="0.25">
      <c r="A3219" t="s">
        <v>33</v>
      </c>
      <c r="D3219" t="s">
        <v>6953</v>
      </c>
      <c r="E3219" t="s">
        <v>2859</v>
      </c>
      <c r="F3219" t="s">
        <v>87</v>
      </c>
      <c r="G3219" t="s">
        <v>6910</v>
      </c>
      <c r="H3219" t="s">
        <v>38</v>
      </c>
      <c r="I3219" t="s">
        <v>24</v>
      </c>
      <c r="J3219" t="s">
        <v>69</v>
      </c>
      <c r="K3219" t="s">
        <v>41</v>
      </c>
      <c r="L3219" t="s">
        <v>6911</v>
      </c>
      <c r="M3219" t="s">
        <v>252</v>
      </c>
      <c r="N3219" t="s">
        <v>7333</v>
      </c>
      <c r="O3219" t="s">
        <v>509</v>
      </c>
      <c r="R3219" t="s">
        <v>1438</v>
      </c>
      <c r="S3219" t="s">
        <v>6958</v>
      </c>
      <c r="V3219" t="s">
        <v>6959</v>
      </c>
      <c r="W3219" t="s">
        <v>6966</v>
      </c>
      <c r="AD3219" t="s">
        <v>7335</v>
      </c>
    </row>
    <row r="3220" spans="1:30" x14ac:dyDescent="0.25">
      <c r="A3220" t="s">
        <v>33</v>
      </c>
      <c r="D3220" t="s">
        <v>6953</v>
      </c>
      <c r="E3220" t="s">
        <v>2859</v>
      </c>
      <c r="F3220" t="s">
        <v>87</v>
      </c>
      <c r="G3220" t="s">
        <v>6954</v>
      </c>
      <c r="H3220" t="s">
        <v>38</v>
      </c>
      <c r="I3220" t="s">
        <v>25</v>
      </c>
      <c r="J3220" t="s">
        <v>69</v>
      </c>
      <c r="K3220" t="s">
        <v>41</v>
      </c>
      <c r="L3220" t="s">
        <v>6955</v>
      </c>
      <c r="M3220" t="s">
        <v>252</v>
      </c>
      <c r="N3220" t="s">
        <v>6956</v>
      </c>
      <c r="O3220" t="s">
        <v>512</v>
      </c>
      <c r="R3220" t="s">
        <v>1184</v>
      </c>
      <c r="S3220" t="s">
        <v>6958</v>
      </c>
      <c r="V3220" t="s">
        <v>6959</v>
      </c>
      <c r="W3220" t="s">
        <v>6960</v>
      </c>
      <c r="AD3220" t="s">
        <v>7336</v>
      </c>
    </row>
    <row r="3221" spans="1:30" x14ac:dyDescent="0.25">
      <c r="A3221" t="s">
        <v>33</v>
      </c>
      <c r="D3221" t="s">
        <v>6953</v>
      </c>
      <c r="E3221" t="s">
        <v>2859</v>
      </c>
      <c r="F3221" t="s">
        <v>87</v>
      </c>
      <c r="G3221" t="s">
        <v>6954</v>
      </c>
      <c r="H3221" t="s">
        <v>38</v>
      </c>
      <c r="I3221" t="s">
        <v>24</v>
      </c>
      <c r="J3221" t="s">
        <v>69</v>
      </c>
      <c r="K3221" t="s">
        <v>41</v>
      </c>
      <c r="L3221" t="s">
        <v>6955</v>
      </c>
      <c r="M3221" t="s">
        <v>252</v>
      </c>
      <c r="N3221" t="s">
        <v>6956</v>
      </c>
      <c r="O3221" t="s">
        <v>509</v>
      </c>
      <c r="R3221" t="s">
        <v>1185</v>
      </c>
      <c r="S3221" t="s">
        <v>6958</v>
      </c>
      <c r="V3221" t="s">
        <v>6959</v>
      </c>
      <c r="W3221" t="s">
        <v>6960</v>
      </c>
      <c r="AD3221" t="s">
        <v>7337</v>
      </c>
    </row>
    <row r="3222" spans="1:30" x14ac:dyDescent="0.25">
      <c r="A3222" t="s">
        <v>33</v>
      </c>
      <c r="D3222" t="s">
        <v>6953</v>
      </c>
      <c r="E3222" t="s">
        <v>2859</v>
      </c>
      <c r="F3222" t="s">
        <v>87</v>
      </c>
      <c r="G3222" t="s">
        <v>6910</v>
      </c>
      <c r="H3222" t="s">
        <v>38</v>
      </c>
      <c r="I3222" t="s">
        <v>106</v>
      </c>
      <c r="J3222" t="s">
        <v>40</v>
      </c>
      <c r="K3222" t="s">
        <v>41</v>
      </c>
      <c r="L3222" t="s">
        <v>6911</v>
      </c>
      <c r="M3222" t="s">
        <v>252</v>
      </c>
      <c r="N3222" t="s">
        <v>7333</v>
      </c>
      <c r="O3222" t="s">
        <v>109</v>
      </c>
      <c r="R3222" t="s">
        <v>7338</v>
      </c>
      <c r="S3222" t="s">
        <v>6958</v>
      </c>
      <c r="V3222" t="s">
        <v>6959</v>
      </c>
      <c r="W3222" t="s">
        <v>6966</v>
      </c>
      <c r="AD3222" t="s">
        <v>7339</v>
      </c>
    </row>
    <row r="3223" spans="1:30" x14ac:dyDescent="0.25">
      <c r="A3223" t="s">
        <v>33</v>
      </c>
      <c r="D3223" t="s">
        <v>6953</v>
      </c>
      <c r="E3223" t="s">
        <v>2893</v>
      </c>
      <c r="F3223" t="s">
        <v>87</v>
      </c>
      <c r="G3223" t="s">
        <v>7109</v>
      </c>
      <c r="H3223" t="s">
        <v>38</v>
      </c>
      <c r="I3223" t="s">
        <v>25</v>
      </c>
      <c r="J3223" t="s">
        <v>69</v>
      </c>
      <c r="K3223" t="s">
        <v>41</v>
      </c>
      <c r="L3223" t="s">
        <v>7110</v>
      </c>
      <c r="M3223" t="s">
        <v>3327</v>
      </c>
      <c r="N3223" t="s">
        <v>7111</v>
      </c>
      <c r="O3223" t="s">
        <v>512</v>
      </c>
      <c r="P3223">
        <v>8.3333333333333329E-2</v>
      </c>
      <c r="R3223" t="s">
        <v>7340</v>
      </c>
      <c r="S3223" t="s">
        <v>6958</v>
      </c>
      <c r="V3223" t="s">
        <v>6959</v>
      </c>
      <c r="W3223" t="s">
        <v>6999</v>
      </c>
      <c r="AD3223" t="s">
        <v>7341</v>
      </c>
    </row>
    <row r="3224" spans="1:30" x14ac:dyDescent="0.25">
      <c r="A3224" t="s">
        <v>33</v>
      </c>
      <c r="D3224" t="s">
        <v>6953</v>
      </c>
      <c r="E3224" t="s">
        <v>2893</v>
      </c>
      <c r="F3224" t="s">
        <v>87</v>
      </c>
      <c r="G3224" t="s">
        <v>7109</v>
      </c>
      <c r="H3224" t="s">
        <v>38</v>
      </c>
      <c r="I3224" t="s">
        <v>24</v>
      </c>
      <c r="J3224" t="s">
        <v>69</v>
      </c>
      <c r="K3224" t="s">
        <v>41</v>
      </c>
      <c r="L3224" t="s">
        <v>7110</v>
      </c>
      <c r="M3224" t="s">
        <v>3327</v>
      </c>
      <c r="N3224" t="s">
        <v>7111</v>
      </c>
      <c r="O3224" t="s">
        <v>509</v>
      </c>
      <c r="P3224">
        <v>8.3333333333333329E-2</v>
      </c>
      <c r="R3224" t="s">
        <v>7342</v>
      </c>
      <c r="S3224" t="s">
        <v>6958</v>
      </c>
      <c r="V3224" t="s">
        <v>6959</v>
      </c>
      <c r="W3224" t="s">
        <v>6999</v>
      </c>
      <c r="AD3224" t="s">
        <v>7343</v>
      </c>
    </row>
    <row r="3225" spans="1:30" x14ac:dyDescent="0.25">
      <c r="A3225" t="s">
        <v>33</v>
      </c>
      <c r="D3225" t="s">
        <v>6953</v>
      </c>
      <c r="E3225" t="s">
        <v>2859</v>
      </c>
      <c r="F3225" t="s">
        <v>87</v>
      </c>
      <c r="G3225" t="s">
        <v>6808</v>
      </c>
      <c r="H3225" t="s">
        <v>38</v>
      </c>
      <c r="I3225" t="s">
        <v>25</v>
      </c>
      <c r="J3225" t="s">
        <v>69</v>
      </c>
      <c r="K3225" t="s">
        <v>41</v>
      </c>
      <c r="L3225" t="s">
        <v>6809</v>
      </c>
      <c r="M3225" t="s">
        <v>82</v>
      </c>
      <c r="N3225" t="s">
        <v>6968</v>
      </c>
      <c r="O3225" t="s">
        <v>512</v>
      </c>
      <c r="R3225" t="s">
        <v>7344</v>
      </c>
      <c r="S3225" t="s">
        <v>6958</v>
      </c>
      <c r="V3225" t="s">
        <v>6959</v>
      </c>
      <c r="W3225" t="s">
        <v>6966</v>
      </c>
      <c r="AD3225" t="s">
        <v>7345</v>
      </c>
    </row>
    <row r="3226" spans="1:30" x14ac:dyDescent="0.25">
      <c r="A3226" t="s">
        <v>33</v>
      </c>
      <c r="D3226" t="s">
        <v>6953</v>
      </c>
      <c r="E3226" t="s">
        <v>2859</v>
      </c>
      <c r="F3226" t="s">
        <v>87</v>
      </c>
      <c r="G3226" t="s">
        <v>6808</v>
      </c>
      <c r="H3226" t="s">
        <v>38</v>
      </c>
      <c r="I3226" t="s">
        <v>24</v>
      </c>
      <c r="J3226" t="s">
        <v>69</v>
      </c>
      <c r="K3226" t="s">
        <v>41</v>
      </c>
      <c r="L3226" t="s">
        <v>6809</v>
      </c>
      <c r="M3226" t="s">
        <v>82</v>
      </c>
      <c r="N3226" t="s">
        <v>6968</v>
      </c>
      <c r="O3226" t="s">
        <v>509</v>
      </c>
      <c r="R3226" t="s">
        <v>7346</v>
      </c>
      <c r="S3226" t="s">
        <v>6958</v>
      </c>
      <c r="V3226" t="s">
        <v>6959</v>
      </c>
      <c r="W3226" t="s">
        <v>6966</v>
      </c>
      <c r="AD3226" t="s">
        <v>7347</v>
      </c>
    </row>
    <row r="3227" spans="1:30" x14ac:dyDescent="0.25">
      <c r="A3227" t="s">
        <v>33</v>
      </c>
      <c r="D3227" t="s">
        <v>6953</v>
      </c>
      <c r="E3227" t="s">
        <v>2859</v>
      </c>
      <c r="F3227" t="s">
        <v>87</v>
      </c>
      <c r="G3227" t="s">
        <v>7217</v>
      </c>
      <c r="H3227" t="s">
        <v>38</v>
      </c>
      <c r="I3227" t="s">
        <v>25</v>
      </c>
      <c r="J3227" t="s">
        <v>69</v>
      </c>
      <c r="K3227" t="s">
        <v>41</v>
      </c>
      <c r="L3227" t="s">
        <v>7218</v>
      </c>
      <c r="M3227" t="s">
        <v>176</v>
      </c>
      <c r="N3227" t="s">
        <v>7219</v>
      </c>
      <c r="O3227" t="s">
        <v>512</v>
      </c>
      <c r="R3227" t="s">
        <v>7348</v>
      </c>
      <c r="S3227" t="s">
        <v>6958</v>
      </c>
      <c r="V3227" t="s">
        <v>6959</v>
      </c>
      <c r="W3227" t="s">
        <v>6981</v>
      </c>
      <c r="AD3227" t="s">
        <v>7349</v>
      </c>
    </row>
    <row r="3228" spans="1:30" x14ac:dyDescent="0.25">
      <c r="A3228" t="s">
        <v>33</v>
      </c>
      <c r="D3228" t="s">
        <v>6953</v>
      </c>
      <c r="E3228" t="s">
        <v>2859</v>
      </c>
      <c r="F3228" t="s">
        <v>87</v>
      </c>
      <c r="G3228" t="s">
        <v>7217</v>
      </c>
      <c r="H3228" t="s">
        <v>38</v>
      </c>
      <c r="I3228" t="s">
        <v>24</v>
      </c>
      <c r="J3228" t="s">
        <v>69</v>
      </c>
      <c r="K3228" t="s">
        <v>41</v>
      </c>
      <c r="L3228" t="s">
        <v>7218</v>
      </c>
      <c r="M3228" t="s">
        <v>176</v>
      </c>
      <c r="N3228" t="s">
        <v>7219</v>
      </c>
      <c r="O3228" t="s">
        <v>509</v>
      </c>
      <c r="R3228" t="s">
        <v>7350</v>
      </c>
      <c r="S3228" t="s">
        <v>6958</v>
      </c>
      <c r="V3228" t="s">
        <v>6959</v>
      </c>
      <c r="W3228" t="s">
        <v>6981</v>
      </c>
      <c r="AD3228" t="s">
        <v>7351</v>
      </c>
    </row>
    <row r="3229" spans="1:30" x14ac:dyDescent="0.25">
      <c r="A3229" t="s">
        <v>33</v>
      </c>
      <c r="D3229" t="s">
        <v>6953</v>
      </c>
      <c r="E3229" t="s">
        <v>2859</v>
      </c>
      <c r="F3229" t="s">
        <v>87</v>
      </c>
      <c r="G3229" t="s">
        <v>7352</v>
      </c>
      <c r="H3229" t="s">
        <v>38</v>
      </c>
      <c r="I3229" t="s">
        <v>25</v>
      </c>
      <c r="J3229" t="s">
        <v>69</v>
      </c>
      <c r="K3229" t="s">
        <v>41</v>
      </c>
      <c r="L3229" t="s">
        <v>7353</v>
      </c>
      <c r="M3229" t="s">
        <v>176</v>
      </c>
      <c r="N3229" t="s">
        <v>7354</v>
      </c>
      <c r="O3229" t="s">
        <v>512</v>
      </c>
      <c r="R3229" t="s">
        <v>7355</v>
      </c>
      <c r="S3229" t="s">
        <v>6958</v>
      </c>
      <c r="V3229" t="s">
        <v>6959</v>
      </c>
      <c r="W3229" t="s">
        <v>6966</v>
      </c>
      <c r="AD3229" t="s">
        <v>7356</v>
      </c>
    </row>
    <row r="3230" spans="1:30" x14ac:dyDescent="0.25">
      <c r="A3230" t="s">
        <v>33</v>
      </c>
      <c r="D3230" t="s">
        <v>6953</v>
      </c>
      <c r="E3230" t="s">
        <v>2859</v>
      </c>
      <c r="F3230" t="s">
        <v>87</v>
      </c>
      <c r="G3230" t="s">
        <v>7352</v>
      </c>
      <c r="H3230" t="s">
        <v>38</v>
      </c>
      <c r="I3230" t="s">
        <v>24</v>
      </c>
      <c r="J3230" t="s">
        <v>69</v>
      </c>
      <c r="K3230" t="s">
        <v>41</v>
      </c>
      <c r="L3230" t="s">
        <v>7353</v>
      </c>
      <c r="M3230" t="s">
        <v>176</v>
      </c>
      <c r="N3230" t="s">
        <v>7354</v>
      </c>
      <c r="O3230" t="s">
        <v>509</v>
      </c>
      <c r="R3230" t="s">
        <v>7357</v>
      </c>
      <c r="S3230" t="s">
        <v>6958</v>
      </c>
      <c r="V3230" t="s">
        <v>6959</v>
      </c>
      <c r="W3230" t="s">
        <v>6966</v>
      </c>
      <c r="AD3230" t="s">
        <v>7358</v>
      </c>
    </row>
    <row r="3231" spans="1:30" x14ac:dyDescent="0.25">
      <c r="A3231" t="s">
        <v>33</v>
      </c>
      <c r="D3231" t="s">
        <v>6953</v>
      </c>
      <c r="E3231" t="s">
        <v>2859</v>
      </c>
      <c r="F3231" t="s">
        <v>87</v>
      </c>
      <c r="G3231" t="s">
        <v>7359</v>
      </c>
      <c r="H3231" t="s">
        <v>38</v>
      </c>
      <c r="I3231" t="s">
        <v>25</v>
      </c>
      <c r="J3231" t="s">
        <v>69</v>
      </c>
      <c r="K3231" t="s">
        <v>41</v>
      </c>
      <c r="L3231" t="s">
        <v>7360</v>
      </c>
      <c r="M3231" t="s">
        <v>176</v>
      </c>
      <c r="N3231" t="s">
        <v>7361</v>
      </c>
      <c r="O3231" t="s">
        <v>512</v>
      </c>
      <c r="R3231" t="s">
        <v>7362</v>
      </c>
      <c r="S3231" t="s">
        <v>6958</v>
      </c>
      <c r="V3231" t="s">
        <v>6959</v>
      </c>
      <c r="W3231" t="s">
        <v>6966</v>
      </c>
      <c r="AD3231" t="s">
        <v>7363</v>
      </c>
    </row>
    <row r="3232" spans="1:30" x14ac:dyDescent="0.25">
      <c r="A3232" t="s">
        <v>33</v>
      </c>
      <c r="D3232" t="s">
        <v>6953</v>
      </c>
      <c r="E3232" t="s">
        <v>2859</v>
      </c>
      <c r="F3232" t="s">
        <v>87</v>
      </c>
      <c r="G3232" t="s">
        <v>7359</v>
      </c>
      <c r="H3232" t="s">
        <v>38</v>
      </c>
      <c r="I3232" t="s">
        <v>24</v>
      </c>
      <c r="J3232" t="s">
        <v>69</v>
      </c>
      <c r="K3232" t="s">
        <v>41</v>
      </c>
      <c r="L3232" t="s">
        <v>7360</v>
      </c>
      <c r="M3232" t="s">
        <v>176</v>
      </c>
      <c r="N3232" t="s">
        <v>7361</v>
      </c>
      <c r="O3232" t="s">
        <v>509</v>
      </c>
      <c r="R3232" t="s">
        <v>7364</v>
      </c>
      <c r="S3232" t="s">
        <v>6958</v>
      </c>
      <c r="V3232" t="s">
        <v>6959</v>
      </c>
      <c r="W3232" t="s">
        <v>6966</v>
      </c>
      <c r="AD3232" t="s">
        <v>7365</v>
      </c>
    </row>
    <row r="3233" spans="1:30" x14ac:dyDescent="0.25">
      <c r="A3233" t="s">
        <v>33</v>
      </c>
      <c r="D3233" t="s">
        <v>6953</v>
      </c>
      <c r="E3233" t="s">
        <v>2893</v>
      </c>
      <c r="F3233" t="s">
        <v>87</v>
      </c>
      <c r="G3233" t="s">
        <v>2193</v>
      </c>
      <c r="H3233" t="s">
        <v>38</v>
      </c>
      <c r="I3233" t="s">
        <v>25</v>
      </c>
      <c r="J3233" t="s">
        <v>69</v>
      </c>
      <c r="K3233" t="s">
        <v>41</v>
      </c>
      <c r="L3233" t="s">
        <v>2194</v>
      </c>
      <c r="M3233" t="s">
        <v>3327</v>
      </c>
      <c r="N3233" t="s">
        <v>7126</v>
      </c>
      <c r="O3233" t="s">
        <v>512</v>
      </c>
      <c r="P3233">
        <v>8.3333333333333329E-2</v>
      </c>
      <c r="R3233" t="s">
        <v>7366</v>
      </c>
      <c r="S3233" t="s">
        <v>6958</v>
      </c>
      <c r="V3233" t="s">
        <v>6959</v>
      </c>
      <c r="W3233" t="s">
        <v>6999</v>
      </c>
      <c r="X3233" t="s">
        <v>1193</v>
      </c>
      <c r="AD3233" t="s">
        <v>7367</v>
      </c>
    </row>
    <row r="3234" spans="1:30" x14ac:dyDescent="0.25">
      <c r="A3234" t="s">
        <v>33</v>
      </c>
      <c r="D3234" t="s">
        <v>6953</v>
      </c>
      <c r="E3234" t="s">
        <v>2893</v>
      </c>
      <c r="F3234" t="s">
        <v>87</v>
      </c>
      <c r="G3234" t="s">
        <v>2193</v>
      </c>
      <c r="H3234" t="s">
        <v>38</v>
      </c>
      <c r="I3234" t="s">
        <v>24</v>
      </c>
      <c r="J3234" t="s">
        <v>69</v>
      </c>
      <c r="K3234" t="s">
        <v>41</v>
      </c>
      <c r="L3234" t="s">
        <v>2194</v>
      </c>
      <c r="M3234" t="s">
        <v>3327</v>
      </c>
      <c r="N3234" t="s">
        <v>7126</v>
      </c>
      <c r="O3234" t="s">
        <v>509</v>
      </c>
      <c r="P3234">
        <v>8.3333333333333329E-2</v>
      </c>
      <c r="R3234" t="s">
        <v>7368</v>
      </c>
      <c r="S3234" t="s">
        <v>6958</v>
      </c>
      <c r="V3234" t="s">
        <v>6959</v>
      </c>
      <c r="W3234" t="s">
        <v>6999</v>
      </c>
      <c r="X3234" t="s">
        <v>1193</v>
      </c>
      <c r="AD3234" t="s">
        <v>7369</v>
      </c>
    </row>
    <row r="3235" spans="1:30" x14ac:dyDescent="0.25">
      <c r="A3235" t="s">
        <v>33</v>
      </c>
      <c r="D3235" t="s">
        <v>6953</v>
      </c>
      <c r="E3235" t="s">
        <v>2893</v>
      </c>
      <c r="F3235" t="s">
        <v>36</v>
      </c>
      <c r="G3235" t="s">
        <v>6995</v>
      </c>
      <c r="H3235" t="s">
        <v>38</v>
      </c>
      <c r="I3235" t="s">
        <v>25</v>
      </c>
      <c r="J3235" t="s">
        <v>69</v>
      </c>
      <c r="K3235" t="s">
        <v>41</v>
      </c>
      <c r="L3235" t="s">
        <v>6996</v>
      </c>
      <c r="M3235" t="s">
        <v>3483</v>
      </c>
      <c r="N3235" t="s">
        <v>6997</v>
      </c>
      <c r="O3235" t="s">
        <v>512</v>
      </c>
      <c r="R3235" t="s">
        <v>7370</v>
      </c>
      <c r="S3235" t="s">
        <v>6958</v>
      </c>
      <c r="V3235" t="s">
        <v>6959</v>
      </c>
      <c r="W3235" t="s">
        <v>6999</v>
      </c>
      <c r="X3235" t="s">
        <v>963</v>
      </c>
      <c r="AD3235" t="s">
        <v>7371</v>
      </c>
    </row>
    <row r="3236" spans="1:30" x14ac:dyDescent="0.25">
      <c r="A3236" t="s">
        <v>33</v>
      </c>
      <c r="D3236" t="s">
        <v>6953</v>
      </c>
      <c r="E3236" t="s">
        <v>2893</v>
      </c>
      <c r="F3236" t="s">
        <v>36</v>
      </c>
      <c r="G3236" t="s">
        <v>6995</v>
      </c>
      <c r="H3236" t="s">
        <v>38</v>
      </c>
      <c r="I3236" t="s">
        <v>24</v>
      </c>
      <c r="J3236" t="s">
        <v>69</v>
      </c>
      <c r="K3236" t="s">
        <v>41</v>
      </c>
      <c r="L3236" t="s">
        <v>6996</v>
      </c>
      <c r="M3236" t="s">
        <v>3483</v>
      </c>
      <c r="N3236" t="s">
        <v>6997</v>
      </c>
      <c r="O3236" t="s">
        <v>509</v>
      </c>
      <c r="R3236" t="s">
        <v>7372</v>
      </c>
      <c r="S3236" t="s">
        <v>6958</v>
      </c>
      <c r="V3236" t="s">
        <v>6959</v>
      </c>
      <c r="W3236" t="s">
        <v>6999</v>
      </c>
      <c r="X3236" t="s">
        <v>963</v>
      </c>
      <c r="AD3236" t="s">
        <v>7373</v>
      </c>
    </row>
    <row r="3237" spans="1:30" x14ac:dyDescent="0.25">
      <c r="A3237" t="s">
        <v>33</v>
      </c>
      <c r="D3237" t="s">
        <v>6953</v>
      </c>
      <c r="E3237" t="s">
        <v>2893</v>
      </c>
      <c r="F3237" t="s">
        <v>87</v>
      </c>
      <c r="G3237" t="s">
        <v>389</v>
      </c>
      <c r="H3237" t="s">
        <v>38</v>
      </c>
      <c r="I3237" t="s">
        <v>25</v>
      </c>
      <c r="J3237" t="s">
        <v>69</v>
      </c>
      <c r="K3237" t="s">
        <v>41</v>
      </c>
      <c r="L3237" t="s">
        <v>390</v>
      </c>
      <c r="M3237" t="s">
        <v>252</v>
      </c>
      <c r="N3237" t="s">
        <v>7374</v>
      </c>
      <c r="O3237" t="s">
        <v>512</v>
      </c>
      <c r="R3237" t="s">
        <v>7375</v>
      </c>
      <c r="S3237" t="s">
        <v>6958</v>
      </c>
      <c r="V3237" t="s">
        <v>6959</v>
      </c>
      <c r="W3237" t="s">
        <v>6999</v>
      </c>
      <c r="AD3237" t="s">
        <v>7376</v>
      </c>
    </row>
    <row r="3238" spans="1:30" x14ac:dyDescent="0.25">
      <c r="A3238" t="s">
        <v>33</v>
      </c>
      <c r="D3238" t="s">
        <v>6953</v>
      </c>
      <c r="E3238" t="s">
        <v>2893</v>
      </c>
      <c r="F3238" t="s">
        <v>87</v>
      </c>
      <c r="G3238" t="s">
        <v>389</v>
      </c>
      <c r="H3238" t="s">
        <v>38</v>
      </c>
      <c r="I3238" t="s">
        <v>24</v>
      </c>
      <c r="J3238" t="s">
        <v>69</v>
      </c>
      <c r="K3238" t="s">
        <v>41</v>
      </c>
      <c r="L3238" t="s">
        <v>390</v>
      </c>
      <c r="M3238" t="s">
        <v>252</v>
      </c>
      <c r="N3238" t="s">
        <v>7374</v>
      </c>
      <c r="O3238" t="s">
        <v>509</v>
      </c>
      <c r="R3238" t="s">
        <v>7377</v>
      </c>
      <c r="S3238" t="s">
        <v>6958</v>
      </c>
      <c r="V3238" t="s">
        <v>6959</v>
      </c>
      <c r="W3238" t="s">
        <v>6999</v>
      </c>
      <c r="AD3238" t="s">
        <v>7378</v>
      </c>
    </row>
    <row r="3239" spans="1:30" x14ac:dyDescent="0.25">
      <c r="A3239" t="s">
        <v>33</v>
      </c>
      <c r="D3239" t="s">
        <v>6953</v>
      </c>
      <c r="E3239" t="s">
        <v>2859</v>
      </c>
      <c r="F3239" t="s">
        <v>87</v>
      </c>
      <c r="G3239" t="s">
        <v>6859</v>
      </c>
      <c r="H3239" t="s">
        <v>38</v>
      </c>
      <c r="I3239" t="s">
        <v>25</v>
      </c>
      <c r="J3239" t="s">
        <v>69</v>
      </c>
      <c r="K3239" t="s">
        <v>41</v>
      </c>
      <c r="L3239" t="s">
        <v>6860</v>
      </c>
      <c r="M3239" t="s">
        <v>176</v>
      </c>
      <c r="N3239" t="s">
        <v>7171</v>
      </c>
      <c r="O3239" t="s">
        <v>512</v>
      </c>
      <c r="R3239" t="s">
        <v>2473</v>
      </c>
      <c r="S3239" t="s">
        <v>6958</v>
      </c>
      <c r="V3239" t="s">
        <v>6959</v>
      </c>
      <c r="W3239" t="s">
        <v>6966</v>
      </c>
      <c r="AD3239" t="s">
        <v>7379</v>
      </c>
    </row>
    <row r="3240" spans="1:30" x14ac:dyDescent="0.25">
      <c r="A3240" t="s">
        <v>33</v>
      </c>
      <c r="D3240" t="s">
        <v>6953</v>
      </c>
      <c r="E3240" t="s">
        <v>2859</v>
      </c>
      <c r="F3240" t="s">
        <v>87</v>
      </c>
      <c r="G3240" t="s">
        <v>6859</v>
      </c>
      <c r="H3240" t="s">
        <v>38</v>
      </c>
      <c r="I3240" t="s">
        <v>24</v>
      </c>
      <c r="J3240" t="s">
        <v>69</v>
      </c>
      <c r="K3240" t="s">
        <v>41</v>
      </c>
      <c r="L3240" t="s">
        <v>6860</v>
      </c>
      <c r="M3240" t="s">
        <v>176</v>
      </c>
      <c r="N3240" t="s">
        <v>7171</v>
      </c>
      <c r="O3240" t="s">
        <v>509</v>
      </c>
      <c r="R3240" t="s">
        <v>2474</v>
      </c>
      <c r="S3240" t="s">
        <v>6958</v>
      </c>
      <c r="V3240" t="s">
        <v>6959</v>
      </c>
      <c r="W3240" t="s">
        <v>6966</v>
      </c>
      <c r="AD3240" t="s">
        <v>7380</v>
      </c>
    </row>
    <row r="3241" spans="1:30" x14ac:dyDescent="0.25">
      <c r="D3241" t="s">
        <v>6953</v>
      </c>
      <c r="E3241" t="s">
        <v>2893</v>
      </c>
      <c r="F3241" t="s">
        <v>36</v>
      </c>
      <c r="G3241" t="s">
        <v>7043</v>
      </c>
      <c r="H3241" t="s">
        <v>38</v>
      </c>
      <c r="I3241" t="s">
        <v>25</v>
      </c>
      <c r="J3241" t="s">
        <v>69</v>
      </c>
      <c r="K3241" t="s">
        <v>41</v>
      </c>
      <c r="L3241" t="s">
        <v>7044</v>
      </c>
      <c r="M3241" t="s">
        <v>3483</v>
      </c>
      <c r="N3241" t="s">
        <v>7045</v>
      </c>
      <c r="O3241" t="s">
        <v>512</v>
      </c>
      <c r="R3241" t="s">
        <v>7381</v>
      </c>
      <c r="S3241" t="s">
        <v>6958</v>
      </c>
      <c r="V3241" t="s">
        <v>6959</v>
      </c>
      <c r="W3241" t="s">
        <v>6999</v>
      </c>
      <c r="AD3241" t="s">
        <v>7382</v>
      </c>
    </row>
    <row r="3242" spans="1:30" x14ac:dyDescent="0.25">
      <c r="D3242" t="s">
        <v>6953</v>
      </c>
      <c r="E3242" t="s">
        <v>2893</v>
      </c>
      <c r="F3242" t="s">
        <v>36</v>
      </c>
      <c r="G3242" t="s">
        <v>7043</v>
      </c>
      <c r="H3242" t="s">
        <v>38</v>
      </c>
      <c r="I3242" t="s">
        <v>24</v>
      </c>
      <c r="J3242" t="s">
        <v>69</v>
      </c>
      <c r="K3242" t="s">
        <v>41</v>
      </c>
      <c r="L3242" t="s">
        <v>7044</v>
      </c>
      <c r="M3242" t="s">
        <v>3483</v>
      </c>
      <c r="N3242" t="s">
        <v>7045</v>
      </c>
      <c r="O3242" t="s">
        <v>509</v>
      </c>
      <c r="R3242" t="s">
        <v>7383</v>
      </c>
      <c r="S3242" t="s">
        <v>6958</v>
      </c>
      <c r="V3242" t="s">
        <v>6959</v>
      </c>
      <c r="W3242" t="s">
        <v>6999</v>
      </c>
      <c r="AD3242" t="s">
        <v>7384</v>
      </c>
    </row>
    <row r="3243" spans="1:30" x14ac:dyDescent="0.25">
      <c r="A3243" t="s">
        <v>33</v>
      </c>
      <c r="D3243" t="s">
        <v>6953</v>
      </c>
      <c r="E3243" t="s">
        <v>2859</v>
      </c>
      <c r="F3243" t="s">
        <v>87</v>
      </c>
      <c r="G3243" t="s">
        <v>7385</v>
      </c>
      <c r="H3243" t="s">
        <v>38</v>
      </c>
      <c r="I3243" t="s">
        <v>25</v>
      </c>
      <c r="J3243" t="s">
        <v>69</v>
      </c>
      <c r="K3243" t="s">
        <v>41</v>
      </c>
      <c r="L3243" t="s">
        <v>7386</v>
      </c>
      <c r="M3243" t="s">
        <v>252</v>
      </c>
      <c r="N3243" t="s">
        <v>7387</v>
      </c>
      <c r="O3243" t="s">
        <v>512</v>
      </c>
      <c r="R3243" t="s">
        <v>7388</v>
      </c>
      <c r="S3243" t="s">
        <v>6958</v>
      </c>
      <c r="V3243" t="s">
        <v>6959</v>
      </c>
      <c r="W3243" t="s">
        <v>6966</v>
      </c>
      <c r="AD3243" t="s">
        <v>7389</v>
      </c>
    </row>
    <row r="3244" spans="1:30" x14ac:dyDescent="0.25">
      <c r="A3244" t="s">
        <v>33</v>
      </c>
      <c r="D3244" t="s">
        <v>6953</v>
      </c>
      <c r="E3244" t="s">
        <v>2859</v>
      </c>
      <c r="F3244" t="s">
        <v>87</v>
      </c>
      <c r="G3244" t="s">
        <v>7385</v>
      </c>
      <c r="H3244" t="s">
        <v>38</v>
      </c>
      <c r="I3244" t="s">
        <v>24</v>
      </c>
      <c r="J3244" t="s">
        <v>69</v>
      </c>
      <c r="K3244" t="s">
        <v>41</v>
      </c>
      <c r="L3244" t="s">
        <v>7386</v>
      </c>
      <c r="M3244" t="s">
        <v>252</v>
      </c>
      <c r="N3244" t="s">
        <v>7387</v>
      </c>
      <c r="O3244" t="s">
        <v>509</v>
      </c>
      <c r="R3244" t="s">
        <v>7390</v>
      </c>
      <c r="S3244" t="s">
        <v>6958</v>
      </c>
      <c r="V3244" t="s">
        <v>6959</v>
      </c>
      <c r="W3244" t="s">
        <v>6966</v>
      </c>
      <c r="AD3244" t="s">
        <v>7391</v>
      </c>
    </row>
    <row r="3245" spans="1:30" x14ac:dyDescent="0.25">
      <c r="A3245" t="s">
        <v>33</v>
      </c>
      <c r="D3245" t="s">
        <v>6953</v>
      </c>
      <c r="E3245" t="s">
        <v>2859</v>
      </c>
      <c r="F3245" t="s">
        <v>87</v>
      </c>
      <c r="G3245" t="s">
        <v>7352</v>
      </c>
      <c r="H3245" t="s">
        <v>38</v>
      </c>
      <c r="I3245" t="s">
        <v>106</v>
      </c>
      <c r="J3245" t="s">
        <v>40</v>
      </c>
      <c r="K3245" t="s">
        <v>41</v>
      </c>
      <c r="L3245" t="s">
        <v>7353</v>
      </c>
      <c r="M3245" t="s">
        <v>176</v>
      </c>
      <c r="N3245" t="s">
        <v>7354</v>
      </c>
      <c r="O3245" t="s">
        <v>109</v>
      </c>
      <c r="R3245" t="s">
        <v>7392</v>
      </c>
      <c r="S3245" t="s">
        <v>6958</v>
      </c>
      <c r="V3245" t="s">
        <v>6959</v>
      </c>
      <c r="W3245" t="s">
        <v>6966</v>
      </c>
      <c r="AD3245" t="s">
        <v>7393</v>
      </c>
    </row>
    <row r="3246" spans="1:30" x14ac:dyDescent="0.25">
      <c r="A3246" t="s">
        <v>33</v>
      </c>
      <c r="D3246" t="s">
        <v>6953</v>
      </c>
      <c r="E3246" t="s">
        <v>2859</v>
      </c>
      <c r="F3246" t="s">
        <v>87</v>
      </c>
      <c r="G3246" t="s">
        <v>7193</v>
      </c>
      <c r="H3246" t="s">
        <v>38</v>
      </c>
      <c r="I3246" t="s">
        <v>25</v>
      </c>
      <c r="J3246" t="s">
        <v>69</v>
      </c>
      <c r="K3246" t="s">
        <v>41</v>
      </c>
      <c r="L3246" t="s">
        <v>7194</v>
      </c>
      <c r="M3246" t="s">
        <v>176</v>
      </c>
      <c r="N3246" t="s">
        <v>7195</v>
      </c>
      <c r="O3246" t="s">
        <v>512</v>
      </c>
      <c r="R3246" t="s">
        <v>7394</v>
      </c>
      <c r="S3246" t="s">
        <v>6958</v>
      </c>
      <c r="V3246" t="s">
        <v>6959</v>
      </c>
      <c r="W3246" t="s">
        <v>6981</v>
      </c>
      <c r="AD3246" t="s">
        <v>7395</v>
      </c>
    </row>
    <row r="3247" spans="1:30" x14ac:dyDescent="0.25">
      <c r="A3247" t="s">
        <v>33</v>
      </c>
      <c r="D3247" t="s">
        <v>6953</v>
      </c>
      <c r="E3247" t="s">
        <v>2859</v>
      </c>
      <c r="F3247" t="s">
        <v>87</v>
      </c>
      <c r="G3247" t="s">
        <v>7193</v>
      </c>
      <c r="H3247" t="s">
        <v>38</v>
      </c>
      <c r="I3247" t="s">
        <v>24</v>
      </c>
      <c r="J3247" t="s">
        <v>69</v>
      </c>
      <c r="K3247" t="s">
        <v>41</v>
      </c>
      <c r="L3247" t="s">
        <v>7194</v>
      </c>
      <c r="M3247" t="s">
        <v>176</v>
      </c>
      <c r="N3247" t="s">
        <v>7195</v>
      </c>
      <c r="O3247" t="s">
        <v>509</v>
      </c>
      <c r="R3247" t="s">
        <v>7396</v>
      </c>
      <c r="S3247" t="s">
        <v>6958</v>
      </c>
      <c r="V3247" t="s">
        <v>6959</v>
      </c>
      <c r="W3247" t="s">
        <v>6981</v>
      </c>
      <c r="AD3247" t="s">
        <v>7397</v>
      </c>
    </row>
    <row r="3248" spans="1:30" x14ac:dyDescent="0.25">
      <c r="A3248" t="s">
        <v>33</v>
      </c>
      <c r="D3248" t="s">
        <v>6953</v>
      </c>
      <c r="E3248" t="s">
        <v>2859</v>
      </c>
      <c r="F3248" t="s">
        <v>87</v>
      </c>
      <c r="G3248" t="s">
        <v>7398</v>
      </c>
      <c r="H3248" t="s">
        <v>38</v>
      </c>
      <c r="I3248" t="s">
        <v>25</v>
      </c>
      <c r="J3248" t="s">
        <v>69</v>
      </c>
      <c r="K3248" t="s">
        <v>41</v>
      </c>
      <c r="L3248" t="s">
        <v>7399</v>
      </c>
      <c r="M3248" t="s">
        <v>252</v>
      </c>
      <c r="N3248" t="s">
        <v>7400</v>
      </c>
      <c r="O3248" t="s">
        <v>512</v>
      </c>
      <c r="R3248" t="s">
        <v>7401</v>
      </c>
      <c r="S3248" t="s">
        <v>6958</v>
      </c>
      <c r="V3248" t="s">
        <v>6959</v>
      </c>
      <c r="W3248" t="s">
        <v>6981</v>
      </c>
      <c r="AD3248" t="s">
        <v>7402</v>
      </c>
    </row>
    <row r="3249" spans="1:30" x14ac:dyDescent="0.25">
      <c r="A3249" t="s">
        <v>33</v>
      </c>
      <c r="D3249" t="s">
        <v>6953</v>
      </c>
      <c r="E3249" t="s">
        <v>2859</v>
      </c>
      <c r="F3249" t="s">
        <v>87</v>
      </c>
      <c r="G3249" t="s">
        <v>7398</v>
      </c>
      <c r="H3249" t="s">
        <v>38</v>
      </c>
      <c r="I3249" t="s">
        <v>24</v>
      </c>
      <c r="J3249" t="s">
        <v>69</v>
      </c>
      <c r="K3249" t="s">
        <v>41</v>
      </c>
      <c r="L3249" t="s">
        <v>7399</v>
      </c>
      <c r="M3249" t="s">
        <v>252</v>
      </c>
      <c r="N3249" t="s">
        <v>7400</v>
      </c>
      <c r="O3249" t="s">
        <v>509</v>
      </c>
      <c r="R3249" t="s">
        <v>7403</v>
      </c>
      <c r="S3249" t="s">
        <v>6958</v>
      </c>
      <c r="V3249" t="s">
        <v>6959</v>
      </c>
      <c r="W3249" t="s">
        <v>6981</v>
      </c>
      <c r="AD3249" t="s">
        <v>7404</v>
      </c>
    </row>
    <row r="3250" spans="1:30" x14ac:dyDescent="0.25">
      <c r="A3250" t="s">
        <v>33</v>
      </c>
      <c r="D3250" t="s">
        <v>6953</v>
      </c>
      <c r="E3250" t="s">
        <v>2869</v>
      </c>
      <c r="F3250" t="s">
        <v>87</v>
      </c>
      <c r="G3250" t="s">
        <v>6903</v>
      </c>
      <c r="H3250" t="s">
        <v>38</v>
      </c>
      <c r="I3250" t="s">
        <v>25</v>
      </c>
      <c r="J3250" t="s">
        <v>69</v>
      </c>
      <c r="K3250" t="s">
        <v>41</v>
      </c>
      <c r="L3250" t="s">
        <v>6904</v>
      </c>
      <c r="M3250" t="s">
        <v>252</v>
      </c>
      <c r="N3250" t="s">
        <v>4087</v>
      </c>
      <c r="O3250" t="s">
        <v>512</v>
      </c>
      <c r="R3250" t="s">
        <v>2400</v>
      </c>
      <c r="S3250" t="s">
        <v>6958</v>
      </c>
      <c r="V3250" t="s">
        <v>6959</v>
      </c>
      <c r="W3250" t="s">
        <v>7009</v>
      </c>
      <c r="AD3250" t="s">
        <v>4089</v>
      </c>
    </row>
    <row r="3251" spans="1:30" x14ac:dyDescent="0.25">
      <c r="A3251" t="s">
        <v>33</v>
      </c>
      <c r="D3251" t="s">
        <v>6953</v>
      </c>
      <c r="E3251" t="s">
        <v>2869</v>
      </c>
      <c r="F3251" t="s">
        <v>87</v>
      </c>
      <c r="G3251" t="s">
        <v>6903</v>
      </c>
      <c r="H3251" t="s">
        <v>38</v>
      </c>
      <c r="I3251" t="s">
        <v>24</v>
      </c>
      <c r="J3251" t="s">
        <v>69</v>
      </c>
      <c r="K3251" t="s">
        <v>41</v>
      </c>
      <c r="L3251" t="s">
        <v>6904</v>
      </c>
      <c r="M3251" t="s">
        <v>252</v>
      </c>
      <c r="N3251" t="s">
        <v>4087</v>
      </c>
      <c r="O3251" t="s">
        <v>509</v>
      </c>
      <c r="R3251" t="s">
        <v>2401</v>
      </c>
      <c r="S3251" t="s">
        <v>6958</v>
      </c>
      <c r="V3251" t="s">
        <v>6959</v>
      </c>
      <c r="W3251" t="s">
        <v>7009</v>
      </c>
      <c r="AD3251" t="s">
        <v>4091</v>
      </c>
    </row>
    <row r="3252" spans="1:30" x14ac:dyDescent="0.25">
      <c r="A3252" t="s">
        <v>33</v>
      </c>
      <c r="D3252" t="s">
        <v>6953</v>
      </c>
      <c r="E3252" t="s">
        <v>2893</v>
      </c>
      <c r="F3252" t="s">
        <v>866</v>
      </c>
      <c r="G3252" t="s">
        <v>7022</v>
      </c>
      <c r="H3252" t="s">
        <v>38</v>
      </c>
      <c r="I3252" t="s">
        <v>1053</v>
      </c>
      <c r="J3252" t="s">
        <v>40</v>
      </c>
      <c r="K3252" t="s">
        <v>41</v>
      </c>
      <c r="L3252" t="s">
        <v>7023</v>
      </c>
      <c r="M3252" t="s">
        <v>1004</v>
      </c>
      <c r="N3252" t="s">
        <v>7020</v>
      </c>
      <c r="O3252" t="s">
        <v>5228</v>
      </c>
      <c r="R3252" t="s">
        <v>7405</v>
      </c>
      <c r="S3252" t="s">
        <v>6958</v>
      </c>
      <c r="V3252" t="s">
        <v>6959</v>
      </c>
      <c r="W3252" t="s">
        <v>6999</v>
      </c>
      <c r="AD3252" t="s">
        <v>7406</v>
      </c>
    </row>
    <row r="3253" spans="1:30" x14ac:dyDescent="0.25">
      <c r="A3253" t="s">
        <v>33</v>
      </c>
      <c r="D3253" t="s">
        <v>6953</v>
      </c>
      <c r="E3253" t="s">
        <v>2893</v>
      </c>
      <c r="F3253" t="s">
        <v>866</v>
      </c>
      <c r="G3253" t="s">
        <v>7018</v>
      </c>
      <c r="H3253" t="s">
        <v>38</v>
      </c>
      <c r="I3253" t="s">
        <v>5224</v>
      </c>
      <c r="J3253" t="s">
        <v>40</v>
      </c>
      <c r="K3253" t="s">
        <v>41</v>
      </c>
      <c r="L3253" t="s">
        <v>7019</v>
      </c>
      <c r="M3253" t="s">
        <v>4345</v>
      </c>
      <c r="N3253" t="s">
        <v>7020</v>
      </c>
      <c r="O3253" t="s">
        <v>5225</v>
      </c>
      <c r="R3253" t="s">
        <v>7407</v>
      </c>
      <c r="S3253" t="s">
        <v>6958</v>
      </c>
      <c r="V3253" t="s">
        <v>6959</v>
      </c>
      <c r="W3253" t="s">
        <v>6999</v>
      </c>
      <c r="AD3253" t="s">
        <v>7408</v>
      </c>
    </row>
    <row r="3254" spans="1:30" x14ac:dyDescent="0.25">
      <c r="A3254" t="s">
        <v>33</v>
      </c>
      <c r="D3254" t="s">
        <v>6953</v>
      </c>
      <c r="E3254" t="s">
        <v>2893</v>
      </c>
      <c r="F3254" t="s">
        <v>866</v>
      </c>
      <c r="G3254" t="s">
        <v>7018</v>
      </c>
      <c r="H3254" t="s">
        <v>38</v>
      </c>
      <c r="I3254" t="s">
        <v>1053</v>
      </c>
      <c r="J3254" t="s">
        <v>40</v>
      </c>
      <c r="K3254" t="s">
        <v>41</v>
      </c>
      <c r="L3254" t="s">
        <v>7019</v>
      </c>
      <c r="M3254" t="s">
        <v>1004</v>
      </c>
      <c r="N3254" t="s">
        <v>7020</v>
      </c>
      <c r="O3254" t="s">
        <v>5228</v>
      </c>
      <c r="R3254" t="s">
        <v>7409</v>
      </c>
      <c r="S3254" t="s">
        <v>6958</v>
      </c>
      <c r="V3254" t="s">
        <v>6959</v>
      </c>
      <c r="W3254" t="s">
        <v>6999</v>
      </c>
      <c r="AD3254" t="s">
        <v>7406</v>
      </c>
    </row>
    <row r="3255" spans="1:30" x14ac:dyDescent="0.25">
      <c r="A3255" t="s">
        <v>33</v>
      </c>
      <c r="D3255" t="s">
        <v>6953</v>
      </c>
      <c r="E3255" t="s">
        <v>2893</v>
      </c>
      <c r="F3255" t="s">
        <v>866</v>
      </c>
      <c r="G3255" t="s">
        <v>7022</v>
      </c>
      <c r="H3255" t="s">
        <v>38</v>
      </c>
      <c r="I3255" t="s">
        <v>5224</v>
      </c>
      <c r="J3255" t="s">
        <v>40</v>
      </c>
      <c r="K3255" t="s">
        <v>41</v>
      </c>
      <c r="L3255" t="s">
        <v>7023</v>
      </c>
      <c r="M3255" t="s">
        <v>4345</v>
      </c>
      <c r="N3255" t="s">
        <v>7020</v>
      </c>
      <c r="O3255" t="s">
        <v>5225</v>
      </c>
      <c r="R3255" t="s">
        <v>7410</v>
      </c>
      <c r="S3255" t="s">
        <v>6958</v>
      </c>
      <c r="V3255" t="s">
        <v>6959</v>
      </c>
      <c r="W3255" t="s">
        <v>6999</v>
      </c>
      <c r="AD3255" t="s">
        <v>7408</v>
      </c>
    </row>
    <row r="3256" spans="1:30" x14ac:dyDescent="0.25">
      <c r="A3256" t="s">
        <v>33</v>
      </c>
      <c r="D3256" t="s">
        <v>6953</v>
      </c>
      <c r="E3256" t="s">
        <v>2859</v>
      </c>
      <c r="F3256" t="s">
        <v>87</v>
      </c>
      <c r="G3256" t="s">
        <v>6880</v>
      </c>
      <c r="H3256" t="s">
        <v>38</v>
      </c>
      <c r="I3256" t="s">
        <v>25</v>
      </c>
      <c r="J3256" t="s">
        <v>69</v>
      </c>
      <c r="K3256" t="s">
        <v>41</v>
      </c>
      <c r="L3256" t="s">
        <v>6881</v>
      </c>
      <c r="M3256" t="s">
        <v>1191</v>
      </c>
      <c r="N3256" t="s">
        <v>7085</v>
      </c>
      <c r="O3256" t="s">
        <v>512</v>
      </c>
      <c r="R3256" t="s">
        <v>4200</v>
      </c>
      <c r="S3256" t="s">
        <v>6958</v>
      </c>
      <c r="V3256" t="s">
        <v>6959</v>
      </c>
      <c r="W3256" t="s">
        <v>6966</v>
      </c>
      <c r="X3256" t="s">
        <v>1193</v>
      </c>
      <c r="AD3256" t="s">
        <v>7411</v>
      </c>
    </row>
    <row r="3257" spans="1:30" x14ac:dyDescent="0.25">
      <c r="A3257" t="s">
        <v>33</v>
      </c>
      <c r="D3257" t="s">
        <v>6953</v>
      </c>
      <c r="E3257" t="s">
        <v>2859</v>
      </c>
      <c r="F3257" t="s">
        <v>87</v>
      </c>
      <c r="G3257" t="s">
        <v>6880</v>
      </c>
      <c r="H3257" t="s">
        <v>38</v>
      </c>
      <c r="I3257" t="s">
        <v>24</v>
      </c>
      <c r="J3257" t="s">
        <v>69</v>
      </c>
      <c r="K3257" t="s">
        <v>41</v>
      </c>
      <c r="L3257" t="s">
        <v>6881</v>
      </c>
      <c r="M3257" t="s">
        <v>1191</v>
      </c>
      <c r="N3257" t="s">
        <v>7085</v>
      </c>
      <c r="O3257" t="s">
        <v>509</v>
      </c>
      <c r="R3257" t="s">
        <v>4202</v>
      </c>
      <c r="S3257" t="s">
        <v>6958</v>
      </c>
      <c r="V3257" t="s">
        <v>6959</v>
      </c>
      <c r="W3257" t="s">
        <v>6966</v>
      </c>
      <c r="X3257" t="s">
        <v>1193</v>
      </c>
      <c r="AD3257" t="s">
        <v>7412</v>
      </c>
    </row>
    <row r="3258" spans="1:30" x14ac:dyDescent="0.25">
      <c r="A3258" t="s">
        <v>33</v>
      </c>
      <c r="D3258" t="s">
        <v>6953</v>
      </c>
      <c r="E3258" t="s">
        <v>2859</v>
      </c>
      <c r="F3258" t="s">
        <v>87</v>
      </c>
      <c r="G3258" t="s">
        <v>6870</v>
      </c>
      <c r="H3258" t="s">
        <v>38</v>
      </c>
      <c r="I3258" t="s">
        <v>25</v>
      </c>
      <c r="J3258" t="s">
        <v>69</v>
      </c>
      <c r="K3258" t="s">
        <v>41</v>
      </c>
      <c r="L3258" t="s">
        <v>6871</v>
      </c>
      <c r="M3258" t="s">
        <v>1191</v>
      </c>
      <c r="N3258" t="s">
        <v>6872</v>
      </c>
      <c r="O3258" t="s">
        <v>512</v>
      </c>
      <c r="R3258" t="s">
        <v>4204</v>
      </c>
      <c r="S3258" t="s">
        <v>6958</v>
      </c>
      <c r="V3258" t="s">
        <v>6959</v>
      </c>
      <c r="W3258" t="s">
        <v>6960</v>
      </c>
      <c r="X3258" t="s">
        <v>1193</v>
      </c>
      <c r="AD3258" t="s">
        <v>7413</v>
      </c>
    </row>
    <row r="3259" spans="1:30" x14ac:dyDescent="0.25">
      <c r="A3259" t="s">
        <v>33</v>
      </c>
      <c r="D3259" t="s">
        <v>6953</v>
      </c>
      <c r="E3259" t="s">
        <v>2859</v>
      </c>
      <c r="F3259" t="s">
        <v>87</v>
      </c>
      <c r="G3259" t="s">
        <v>6870</v>
      </c>
      <c r="H3259" t="s">
        <v>38</v>
      </c>
      <c r="I3259" t="s">
        <v>24</v>
      </c>
      <c r="J3259" t="s">
        <v>69</v>
      </c>
      <c r="K3259" t="s">
        <v>41</v>
      </c>
      <c r="L3259" t="s">
        <v>6871</v>
      </c>
      <c r="M3259" t="s">
        <v>1191</v>
      </c>
      <c r="N3259" t="s">
        <v>6872</v>
      </c>
      <c r="O3259" t="s">
        <v>509</v>
      </c>
      <c r="R3259" t="s">
        <v>4206</v>
      </c>
      <c r="S3259" t="s">
        <v>6958</v>
      </c>
      <c r="V3259" t="s">
        <v>6959</v>
      </c>
      <c r="W3259" t="s">
        <v>6960</v>
      </c>
      <c r="X3259" t="s">
        <v>1193</v>
      </c>
      <c r="AD3259" t="s">
        <v>7414</v>
      </c>
    </row>
    <row r="3260" spans="1:30" x14ac:dyDescent="0.25">
      <c r="A3260" t="s">
        <v>33</v>
      </c>
      <c r="D3260" t="s">
        <v>6953</v>
      </c>
      <c r="E3260" t="s">
        <v>2859</v>
      </c>
      <c r="F3260" t="s">
        <v>87</v>
      </c>
      <c r="G3260" t="s">
        <v>6884</v>
      </c>
      <c r="H3260" t="s">
        <v>38</v>
      </c>
      <c r="I3260" t="s">
        <v>25</v>
      </c>
      <c r="J3260" t="s">
        <v>69</v>
      </c>
      <c r="K3260" t="s">
        <v>41</v>
      </c>
      <c r="L3260" t="s">
        <v>6885</v>
      </c>
      <c r="M3260" t="s">
        <v>1191</v>
      </c>
      <c r="N3260" t="s">
        <v>6886</v>
      </c>
      <c r="O3260" t="s">
        <v>512</v>
      </c>
      <c r="R3260" t="s">
        <v>4208</v>
      </c>
      <c r="S3260" t="s">
        <v>6958</v>
      </c>
      <c r="V3260" t="s">
        <v>6959</v>
      </c>
      <c r="W3260" t="s">
        <v>6960</v>
      </c>
      <c r="X3260" t="s">
        <v>1193</v>
      </c>
      <c r="AD3260" t="s">
        <v>7415</v>
      </c>
    </row>
    <row r="3261" spans="1:30" x14ac:dyDescent="0.25">
      <c r="A3261" t="s">
        <v>33</v>
      </c>
      <c r="D3261" t="s">
        <v>6953</v>
      </c>
      <c r="E3261" t="s">
        <v>2859</v>
      </c>
      <c r="F3261" t="s">
        <v>87</v>
      </c>
      <c r="G3261" t="s">
        <v>6884</v>
      </c>
      <c r="H3261" t="s">
        <v>38</v>
      </c>
      <c r="I3261" t="s">
        <v>24</v>
      </c>
      <c r="J3261" t="s">
        <v>69</v>
      </c>
      <c r="K3261" t="s">
        <v>41</v>
      </c>
      <c r="L3261" t="s">
        <v>6885</v>
      </c>
      <c r="M3261" t="s">
        <v>1191</v>
      </c>
      <c r="N3261" t="s">
        <v>6886</v>
      </c>
      <c r="O3261" t="s">
        <v>509</v>
      </c>
      <c r="R3261" t="s">
        <v>4210</v>
      </c>
      <c r="S3261" t="s">
        <v>6958</v>
      </c>
      <c r="V3261" t="s">
        <v>6959</v>
      </c>
      <c r="W3261" t="s">
        <v>6960</v>
      </c>
      <c r="X3261" t="s">
        <v>1193</v>
      </c>
      <c r="AD3261" t="s">
        <v>7416</v>
      </c>
    </row>
    <row r="3262" spans="1:30" x14ac:dyDescent="0.25">
      <c r="A3262" t="s">
        <v>33</v>
      </c>
      <c r="D3262" t="s">
        <v>6953</v>
      </c>
      <c r="E3262" t="s">
        <v>2859</v>
      </c>
      <c r="F3262" t="s">
        <v>87</v>
      </c>
      <c r="G3262" t="s">
        <v>7417</v>
      </c>
      <c r="H3262" t="s">
        <v>38</v>
      </c>
      <c r="I3262" t="s">
        <v>25</v>
      </c>
      <c r="J3262" t="s">
        <v>69</v>
      </c>
      <c r="K3262" t="s">
        <v>41</v>
      </c>
      <c r="L3262" t="s">
        <v>7418</v>
      </c>
      <c r="M3262" t="s">
        <v>1191</v>
      </c>
      <c r="N3262" t="s">
        <v>7419</v>
      </c>
      <c r="O3262" t="s">
        <v>512</v>
      </c>
      <c r="R3262" t="s">
        <v>7420</v>
      </c>
      <c r="S3262" t="s">
        <v>6958</v>
      </c>
      <c r="V3262" t="s">
        <v>6959</v>
      </c>
      <c r="W3262" t="s">
        <v>6960</v>
      </c>
      <c r="X3262" t="s">
        <v>1193</v>
      </c>
      <c r="AD3262" t="s">
        <v>7421</v>
      </c>
    </row>
    <row r="3263" spans="1:30" x14ac:dyDescent="0.25">
      <c r="A3263" t="s">
        <v>33</v>
      </c>
      <c r="D3263" t="s">
        <v>6953</v>
      </c>
      <c r="E3263" t="s">
        <v>2859</v>
      </c>
      <c r="F3263" t="s">
        <v>87</v>
      </c>
      <c r="G3263" t="s">
        <v>7417</v>
      </c>
      <c r="H3263" t="s">
        <v>38</v>
      </c>
      <c r="I3263" t="s">
        <v>24</v>
      </c>
      <c r="J3263" t="s">
        <v>69</v>
      </c>
      <c r="K3263" t="s">
        <v>41</v>
      </c>
      <c r="L3263" t="s">
        <v>7418</v>
      </c>
      <c r="M3263" t="s">
        <v>1191</v>
      </c>
      <c r="N3263" t="s">
        <v>7419</v>
      </c>
      <c r="O3263" t="s">
        <v>509</v>
      </c>
      <c r="R3263" t="s">
        <v>7422</v>
      </c>
      <c r="S3263" t="s">
        <v>6958</v>
      </c>
      <c r="V3263" t="s">
        <v>6959</v>
      </c>
      <c r="W3263" t="s">
        <v>6960</v>
      </c>
      <c r="X3263" t="s">
        <v>1193</v>
      </c>
      <c r="AD3263" t="s">
        <v>7423</v>
      </c>
    </row>
    <row r="3264" spans="1:30" x14ac:dyDescent="0.25">
      <c r="A3264" t="s">
        <v>33</v>
      </c>
      <c r="D3264" t="s">
        <v>6953</v>
      </c>
      <c r="E3264" t="s">
        <v>2859</v>
      </c>
      <c r="F3264" t="s">
        <v>87</v>
      </c>
      <c r="G3264" t="s">
        <v>7424</v>
      </c>
      <c r="H3264" t="s">
        <v>38</v>
      </c>
      <c r="I3264" t="s">
        <v>25</v>
      </c>
      <c r="J3264" t="s">
        <v>69</v>
      </c>
      <c r="K3264" t="s">
        <v>41</v>
      </c>
      <c r="L3264" t="s">
        <v>7425</v>
      </c>
      <c r="M3264" t="s">
        <v>1191</v>
      </c>
      <c r="N3264" t="s">
        <v>7426</v>
      </c>
      <c r="O3264" t="s">
        <v>512</v>
      </c>
      <c r="R3264" t="s">
        <v>4212</v>
      </c>
      <c r="S3264" t="s">
        <v>6958</v>
      </c>
      <c r="V3264" t="s">
        <v>6959</v>
      </c>
      <c r="W3264" t="s">
        <v>6960</v>
      </c>
      <c r="X3264" t="s">
        <v>1193</v>
      </c>
      <c r="AD3264" t="s">
        <v>7427</v>
      </c>
    </row>
    <row r="3265" spans="1:30" x14ac:dyDescent="0.25">
      <c r="A3265" t="s">
        <v>33</v>
      </c>
      <c r="D3265" t="s">
        <v>6953</v>
      </c>
      <c r="E3265" t="s">
        <v>2859</v>
      </c>
      <c r="F3265" t="s">
        <v>87</v>
      </c>
      <c r="G3265" t="s">
        <v>7424</v>
      </c>
      <c r="H3265" t="s">
        <v>38</v>
      </c>
      <c r="I3265" t="s">
        <v>24</v>
      </c>
      <c r="J3265" t="s">
        <v>69</v>
      </c>
      <c r="K3265" t="s">
        <v>41</v>
      </c>
      <c r="L3265" t="s">
        <v>7425</v>
      </c>
      <c r="M3265" t="s">
        <v>1191</v>
      </c>
      <c r="N3265" t="s">
        <v>7426</v>
      </c>
      <c r="O3265" t="s">
        <v>509</v>
      </c>
      <c r="R3265" t="s">
        <v>4214</v>
      </c>
      <c r="S3265" t="s">
        <v>6958</v>
      </c>
      <c r="V3265" t="s">
        <v>6959</v>
      </c>
      <c r="W3265" t="s">
        <v>6960</v>
      </c>
      <c r="X3265" t="s">
        <v>1193</v>
      </c>
      <c r="AD3265" t="s">
        <v>7428</v>
      </c>
    </row>
    <row r="3266" spans="1:30" x14ac:dyDescent="0.25">
      <c r="A3266" t="s">
        <v>33</v>
      </c>
      <c r="D3266" t="s">
        <v>6953</v>
      </c>
      <c r="E3266" t="s">
        <v>2859</v>
      </c>
      <c r="F3266" t="s">
        <v>87</v>
      </c>
      <c r="G3266" t="s">
        <v>6893</v>
      </c>
      <c r="H3266" t="s">
        <v>38</v>
      </c>
      <c r="I3266" t="s">
        <v>25</v>
      </c>
      <c r="J3266" t="s">
        <v>69</v>
      </c>
      <c r="K3266" t="s">
        <v>41</v>
      </c>
      <c r="L3266" t="s">
        <v>6894</v>
      </c>
      <c r="M3266" t="s">
        <v>1191</v>
      </c>
      <c r="N3266" t="s">
        <v>7090</v>
      </c>
      <c r="O3266" t="s">
        <v>512</v>
      </c>
      <c r="R3266" t="s">
        <v>7429</v>
      </c>
      <c r="S3266" t="s">
        <v>6958</v>
      </c>
      <c r="V3266" t="s">
        <v>6959</v>
      </c>
      <c r="W3266" t="s">
        <v>6966</v>
      </c>
      <c r="X3266" t="s">
        <v>1193</v>
      </c>
      <c r="AD3266" t="s">
        <v>7430</v>
      </c>
    </row>
    <row r="3267" spans="1:30" x14ac:dyDescent="0.25">
      <c r="A3267" t="s">
        <v>33</v>
      </c>
      <c r="D3267" t="s">
        <v>6953</v>
      </c>
      <c r="E3267" t="s">
        <v>2859</v>
      </c>
      <c r="F3267" t="s">
        <v>87</v>
      </c>
      <c r="G3267" t="s">
        <v>6893</v>
      </c>
      <c r="H3267" t="s">
        <v>38</v>
      </c>
      <c r="I3267" t="s">
        <v>24</v>
      </c>
      <c r="J3267" t="s">
        <v>69</v>
      </c>
      <c r="K3267" t="s">
        <v>41</v>
      </c>
      <c r="L3267" t="s">
        <v>6894</v>
      </c>
      <c r="M3267" t="s">
        <v>1191</v>
      </c>
      <c r="N3267" t="s">
        <v>7090</v>
      </c>
      <c r="O3267" t="s">
        <v>509</v>
      </c>
      <c r="R3267" t="s">
        <v>7431</v>
      </c>
      <c r="S3267" t="s">
        <v>6958</v>
      </c>
      <c r="V3267" t="s">
        <v>6959</v>
      </c>
      <c r="W3267" t="s">
        <v>6966</v>
      </c>
      <c r="X3267" t="s">
        <v>1193</v>
      </c>
      <c r="AD3267" t="s">
        <v>7432</v>
      </c>
    </row>
    <row r="3268" spans="1:30" x14ac:dyDescent="0.25">
      <c r="A3268" t="s">
        <v>33</v>
      </c>
      <c r="D3268" t="s">
        <v>6953</v>
      </c>
      <c r="E3268" t="s">
        <v>2859</v>
      </c>
      <c r="F3268" t="s">
        <v>87</v>
      </c>
      <c r="G3268" t="s">
        <v>7095</v>
      </c>
      <c r="H3268" t="s">
        <v>38</v>
      </c>
      <c r="I3268" t="s">
        <v>25</v>
      </c>
      <c r="J3268" t="s">
        <v>69</v>
      </c>
      <c r="K3268" t="s">
        <v>41</v>
      </c>
      <c r="L3268" t="s">
        <v>7096</v>
      </c>
      <c r="M3268" t="s">
        <v>1191</v>
      </c>
      <c r="N3268" t="s">
        <v>7097</v>
      </c>
      <c r="O3268" t="s">
        <v>512</v>
      </c>
      <c r="R3268" t="s">
        <v>7433</v>
      </c>
      <c r="S3268" t="s">
        <v>6958</v>
      </c>
      <c r="V3268" t="s">
        <v>6959</v>
      </c>
      <c r="W3268" t="s">
        <v>6981</v>
      </c>
      <c r="X3268" t="s">
        <v>1193</v>
      </c>
      <c r="AD3268" t="s">
        <v>7434</v>
      </c>
    </row>
    <row r="3269" spans="1:30" x14ac:dyDescent="0.25">
      <c r="A3269" t="s">
        <v>33</v>
      </c>
      <c r="D3269" t="s">
        <v>6953</v>
      </c>
      <c r="E3269" t="s">
        <v>2859</v>
      </c>
      <c r="F3269" t="s">
        <v>87</v>
      </c>
      <c r="G3269" t="s">
        <v>7095</v>
      </c>
      <c r="H3269" t="s">
        <v>38</v>
      </c>
      <c r="I3269" t="s">
        <v>24</v>
      </c>
      <c r="J3269" t="s">
        <v>69</v>
      </c>
      <c r="K3269" t="s">
        <v>41</v>
      </c>
      <c r="L3269" t="s">
        <v>7096</v>
      </c>
      <c r="M3269" t="s">
        <v>1191</v>
      </c>
      <c r="N3269" t="s">
        <v>7097</v>
      </c>
      <c r="O3269" t="s">
        <v>509</v>
      </c>
      <c r="R3269" t="s">
        <v>7435</v>
      </c>
      <c r="S3269" t="s">
        <v>6958</v>
      </c>
      <c r="V3269" t="s">
        <v>6959</v>
      </c>
      <c r="W3269" t="s">
        <v>6981</v>
      </c>
      <c r="X3269" t="s">
        <v>1193</v>
      </c>
      <c r="AD3269" t="s">
        <v>7436</v>
      </c>
    </row>
    <row r="3270" spans="1:30" x14ac:dyDescent="0.25">
      <c r="A3270" t="s">
        <v>33</v>
      </c>
      <c r="D3270" t="s">
        <v>6953</v>
      </c>
      <c r="E3270" t="s">
        <v>2859</v>
      </c>
      <c r="F3270" t="s">
        <v>87</v>
      </c>
      <c r="G3270" t="s">
        <v>7102</v>
      </c>
      <c r="H3270" t="s">
        <v>38</v>
      </c>
      <c r="I3270" t="s">
        <v>25</v>
      </c>
      <c r="J3270" t="s">
        <v>69</v>
      </c>
      <c r="K3270" t="s">
        <v>41</v>
      </c>
      <c r="L3270" t="s">
        <v>7103</v>
      </c>
      <c r="M3270" t="s">
        <v>1191</v>
      </c>
      <c r="N3270" t="s">
        <v>7104</v>
      </c>
      <c r="O3270" t="s">
        <v>512</v>
      </c>
      <c r="R3270" t="s">
        <v>4218</v>
      </c>
      <c r="S3270" t="s">
        <v>6958</v>
      </c>
      <c r="V3270" t="s">
        <v>6959</v>
      </c>
      <c r="W3270" t="s">
        <v>6981</v>
      </c>
      <c r="X3270" t="s">
        <v>1193</v>
      </c>
      <c r="AD3270" t="s">
        <v>7437</v>
      </c>
    </row>
    <row r="3271" spans="1:30" x14ac:dyDescent="0.25">
      <c r="A3271" t="s">
        <v>33</v>
      </c>
      <c r="D3271" t="s">
        <v>6953</v>
      </c>
      <c r="E3271" t="s">
        <v>2859</v>
      </c>
      <c r="F3271" t="s">
        <v>87</v>
      </c>
      <c r="G3271" t="s">
        <v>7102</v>
      </c>
      <c r="H3271" t="s">
        <v>38</v>
      </c>
      <c r="I3271" t="s">
        <v>24</v>
      </c>
      <c r="J3271" t="s">
        <v>69</v>
      </c>
      <c r="K3271" t="s">
        <v>41</v>
      </c>
      <c r="L3271" t="s">
        <v>7103</v>
      </c>
      <c r="M3271" t="s">
        <v>1191</v>
      </c>
      <c r="N3271" t="s">
        <v>7104</v>
      </c>
      <c r="O3271" t="s">
        <v>509</v>
      </c>
      <c r="R3271" t="s">
        <v>4220</v>
      </c>
      <c r="S3271" t="s">
        <v>6958</v>
      </c>
      <c r="V3271" t="s">
        <v>6959</v>
      </c>
      <c r="W3271" t="s">
        <v>6981</v>
      </c>
      <c r="X3271" t="s">
        <v>1193</v>
      </c>
      <c r="AD3271" t="s">
        <v>7438</v>
      </c>
    </row>
    <row r="3272" spans="1:30" x14ac:dyDescent="0.25">
      <c r="A3272" t="s">
        <v>33</v>
      </c>
      <c r="D3272" t="s">
        <v>6953</v>
      </c>
      <c r="E3272" t="s">
        <v>2893</v>
      </c>
      <c r="F3272" t="s">
        <v>87</v>
      </c>
      <c r="G3272" t="s">
        <v>7052</v>
      </c>
      <c r="H3272" t="s">
        <v>38</v>
      </c>
      <c r="I3272" t="s">
        <v>25</v>
      </c>
      <c r="J3272" t="s">
        <v>69</v>
      </c>
      <c r="K3272" t="s">
        <v>41</v>
      </c>
      <c r="L3272" t="s">
        <v>7053</v>
      </c>
      <c r="M3272" t="s">
        <v>1191</v>
      </c>
      <c r="N3272" t="s">
        <v>7054</v>
      </c>
      <c r="O3272" t="s">
        <v>512</v>
      </c>
      <c r="R3272" t="s">
        <v>4229</v>
      </c>
      <c r="S3272" t="s">
        <v>6958</v>
      </c>
      <c r="V3272" t="s">
        <v>6959</v>
      </c>
      <c r="W3272" t="s">
        <v>6999</v>
      </c>
      <c r="X3272" t="s">
        <v>1193</v>
      </c>
      <c r="AD3272" t="s">
        <v>7439</v>
      </c>
    </row>
    <row r="3273" spans="1:30" x14ac:dyDescent="0.25">
      <c r="A3273" t="s">
        <v>33</v>
      </c>
      <c r="D3273" t="s">
        <v>6953</v>
      </c>
      <c r="E3273" t="s">
        <v>2893</v>
      </c>
      <c r="F3273" t="s">
        <v>87</v>
      </c>
      <c r="G3273" t="s">
        <v>7052</v>
      </c>
      <c r="H3273" t="s">
        <v>38</v>
      </c>
      <c r="I3273" t="s">
        <v>24</v>
      </c>
      <c r="J3273" t="s">
        <v>69</v>
      </c>
      <c r="K3273" t="s">
        <v>41</v>
      </c>
      <c r="L3273" t="s">
        <v>7053</v>
      </c>
      <c r="M3273" t="s">
        <v>1191</v>
      </c>
      <c r="N3273" t="s">
        <v>7054</v>
      </c>
      <c r="O3273" t="s">
        <v>509</v>
      </c>
      <c r="R3273" t="s">
        <v>4231</v>
      </c>
      <c r="S3273" t="s">
        <v>6958</v>
      </c>
      <c r="V3273" t="s">
        <v>6959</v>
      </c>
      <c r="W3273" t="s">
        <v>6999</v>
      </c>
      <c r="X3273" t="s">
        <v>1193</v>
      </c>
      <c r="AD3273" t="s">
        <v>7440</v>
      </c>
    </row>
    <row r="3274" spans="1:30" x14ac:dyDescent="0.25">
      <c r="A3274" t="s">
        <v>33</v>
      </c>
      <c r="D3274" t="s">
        <v>6953</v>
      </c>
      <c r="E3274" t="s">
        <v>2859</v>
      </c>
      <c r="F3274" t="s">
        <v>87</v>
      </c>
      <c r="G3274" t="s">
        <v>6880</v>
      </c>
      <c r="H3274" t="s">
        <v>38</v>
      </c>
      <c r="I3274" t="s">
        <v>106</v>
      </c>
      <c r="J3274" t="s">
        <v>40</v>
      </c>
      <c r="K3274" t="s">
        <v>41</v>
      </c>
      <c r="L3274" t="s">
        <v>6881</v>
      </c>
      <c r="M3274" t="s">
        <v>1191</v>
      </c>
      <c r="N3274" t="s">
        <v>7085</v>
      </c>
      <c r="O3274" t="s">
        <v>109</v>
      </c>
      <c r="R3274" t="s">
        <v>7441</v>
      </c>
      <c r="S3274" t="s">
        <v>6958</v>
      </c>
      <c r="V3274" t="s">
        <v>6959</v>
      </c>
      <c r="W3274" t="s">
        <v>6966</v>
      </c>
      <c r="X3274" t="s">
        <v>1193</v>
      </c>
      <c r="AD3274" t="s">
        <v>7442</v>
      </c>
    </row>
    <row r="3275" spans="1:30" x14ac:dyDescent="0.25">
      <c r="A3275" t="s">
        <v>33</v>
      </c>
      <c r="D3275" t="s">
        <v>6953</v>
      </c>
      <c r="E3275" t="s">
        <v>2859</v>
      </c>
      <c r="F3275" t="s">
        <v>87</v>
      </c>
      <c r="G3275" t="s">
        <v>6870</v>
      </c>
      <c r="H3275" t="s">
        <v>38</v>
      </c>
      <c r="I3275" t="s">
        <v>106</v>
      </c>
      <c r="J3275" t="s">
        <v>40</v>
      </c>
      <c r="K3275" t="s">
        <v>41</v>
      </c>
      <c r="L3275" t="s">
        <v>6871</v>
      </c>
      <c r="M3275" t="s">
        <v>1191</v>
      </c>
      <c r="N3275" t="s">
        <v>6872</v>
      </c>
      <c r="O3275" t="s">
        <v>109</v>
      </c>
      <c r="R3275" t="s">
        <v>7443</v>
      </c>
      <c r="S3275" t="s">
        <v>6958</v>
      </c>
      <c r="V3275" t="s">
        <v>6959</v>
      </c>
      <c r="W3275" t="s">
        <v>6960</v>
      </c>
      <c r="X3275" t="s">
        <v>1193</v>
      </c>
      <c r="AD3275" t="s">
        <v>7444</v>
      </c>
    </row>
    <row r="3276" spans="1:30" x14ac:dyDescent="0.25">
      <c r="A3276" t="s">
        <v>33</v>
      </c>
      <c r="D3276" t="s">
        <v>6953</v>
      </c>
      <c r="E3276" t="s">
        <v>2859</v>
      </c>
      <c r="F3276" t="s">
        <v>87</v>
      </c>
      <c r="G3276" t="s">
        <v>6884</v>
      </c>
      <c r="H3276" t="s">
        <v>38</v>
      </c>
      <c r="I3276" t="s">
        <v>106</v>
      </c>
      <c r="J3276" t="s">
        <v>40</v>
      </c>
      <c r="K3276" t="s">
        <v>41</v>
      </c>
      <c r="L3276" t="s">
        <v>6885</v>
      </c>
      <c r="M3276" t="s">
        <v>1191</v>
      </c>
      <c r="N3276" t="s">
        <v>6886</v>
      </c>
      <c r="O3276" t="s">
        <v>109</v>
      </c>
      <c r="R3276" t="s">
        <v>7445</v>
      </c>
      <c r="S3276" t="s">
        <v>6958</v>
      </c>
      <c r="V3276" t="s">
        <v>6959</v>
      </c>
      <c r="W3276" t="s">
        <v>6960</v>
      </c>
      <c r="X3276" t="s">
        <v>1193</v>
      </c>
      <c r="AD3276" t="s">
        <v>7446</v>
      </c>
    </row>
    <row r="3277" spans="1:30" x14ac:dyDescent="0.25">
      <c r="A3277" t="s">
        <v>33</v>
      </c>
      <c r="D3277" t="s">
        <v>6953</v>
      </c>
      <c r="E3277" t="s">
        <v>2859</v>
      </c>
      <c r="F3277" t="s">
        <v>87</v>
      </c>
      <c r="G3277" t="s">
        <v>7417</v>
      </c>
      <c r="H3277" t="s">
        <v>38</v>
      </c>
      <c r="I3277" t="s">
        <v>106</v>
      </c>
      <c r="J3277" t="s">
        <v>40</v>
      </c>
      <c r="K3277" t="s">
        <v>41</v>
      </c>
      <c r="L3277" t="s">
        <v>7418</v>
      </c>
      <c r="M3277" t="s">
        <v>1191</v>
      </c>
      <c r="N3277" t="s">
        <v>7419</v>
      </c>
      <c r="O3277" t="s">
        <v>109</v>
      </c>
      <c r="R3277" t="s">
        <v>7447</v>
      </c>
      <c r="S3277" t="s">
        <v>6958</v>
      </c>
      <c r="V3277" t="s">
        <v>6959</v>
      </c>
      <c r="W3277" t="s">
        <v>6960</v>
      </c>
      <c r="X3277" t="s">
        <v>1193</v>
      </c>
      <c r="AD3277" t="s">
        <v>7448</v>
      </c>
    </row>
    <row r="3278" spans="1:30" x14ac:dyDescent="0.25">
      <c r="A3278" t="s">
        <v>33</v>
      </c>
      <c r="D3278" t="s">
        <v>6953</v>
      </c>
      <c r="E3278" t="s">
        <v>2859</v>
      </c>
      <c r="F3278" t="s">
        <v>87</v>
      </c>
      <c r="G3278" t="s">
        <v>7424</v>
      </c>
      <c r="H3278" t="s">
        <v>38</v>
      </c>
      <c r="I3278" t="s">
        <v>106</v>
      </c>
      <c r="J3278" t="s">
        <v>40</v>
      </c>
      <c r="K3278" t="s">
        <v>41</v>
      </c>
      <c r="L3278" t="s">
        <v>7425</v>
      </c>
      <c r="M3278" t="s">
        <v>1191</v>
      </c>
      <c r="N3278" t="s">
        <v>7426</v>
      </c>
      <c r="O3278" t="s">
        <v>109</v>
      </c>
      <c r="R3278" t="s">
        <v>4233</v>
      </c>
      <c r="S3278" t="s">
        <v>6958</v>
      </c>
      <c r="V3278" t="s">
        <v>6959</v>
      </c>
      <c r="W3278" t="s">
        <v>6960</v>
      </c>
      <c r="X3278" t="s">
        <v>1193</v>
      </c>
      <c r="AD3278" t="s">
        <v>7449</v>
      </c>
    </row>
    <row r="3279" spans="1:30" x14ac:dyDescent="0.25">
      <c r="A3279" t="s">
        <v>33</v>
      </c>
      <c r="D3279" t="s">
        <v>6953</v>
      </c>
      <c r="E3279" t="s">
        <v>2859</v>
      </c>
      <c r="F3279" t="s">
        <v>87</v>
      </c>
      <c r="G3279" t="s">
        <v>6893</v>
      </c>
      <c r="H3279" t="s">
        <v>38</v>
      </c>
      <c r="I3279" t="s">
        <v>106</v>
      </c>
      <c r="J3279" t="s">
        <v>40</v>
      </c>
      <c r="K3279" t="s">
        <v>41</v>
      </c>
      <c r="L3279" t="s">
        <v>6894</v>
      </c>
      <c r="M3279" t="s">
        <v>1191</v>
      </c>
      <c r="N3279" t="s">
        <v>7090</v>
      </c>
      <c r="O3279" t="s">
        <v>109</v>
      </c>
      <c r="R3279" t="s">
        <v>7450</v>
      </c>
      <c r="S3279" t="s">
        <v>6958</v>
      </c>
      <c r="V3279" t="s">
        <v>6959</v>
      </c>
      <c r="W3279" t="s">
        <v>6966</v>
      </c>
      <c r="X3279" t="s">
        <v>1193</v>
      </c>
      <c r="AD3279" t="s">
        <v>7451</v>
      </c>
    </row>
    <row r="3280" spans="1:30" x14ac:dyDescent="0.25">
      <c r="A3280" t="s">
        <v>33</v>
      </c>
      <c r="D3280" t="s">
        <v>6953</v>
      </c>
      <c r="E3280" t="s">
        <v>2859</v>
      </c>
      <c r="F3280" t="s">
        <v>87</v>
      </c>
      <c r="G3280" t="s">
        <v>7095</v>
      </c>
      <c r="H3280" t="s">
        <v>38</v>
      </c>
      <c r="I3280" t="s">
        <v>106</v>
      </c>
      <c r="J3280" t="s">
        <v>40</v>
      </c>
      <c r="K3280" t="s">
        <v>41</v>
      </c>
      <c r="L3280" t="s">
        <v>7096</v>
      </c>
      <c r="M3280" t="s">
        <v>1191</v>
      </c>
      <c r="N3280" t="s">
        <v>7097</v>
      </c>
      <c r="O3280" t="s">
        <v>109</v>
      </c>
      <c r="R3280" t="s">
        <v>7452</v>
      </c>
      <c r="S3280" t="s">
        <v>6958</v>
      </c>
      <c r="V3280" t="s">
        <v>6959</v>
      </c>
      <c r="W3280" t="s">
        <v>6981</v>
      </c>
      <c r="X3280" t="s">
        <v>1193</v>
      </c>
      <c r="AD3280" t="s">
        <v>7453</v>
      </c>
    </row>
    <row r="3281" spans="1:30" x14ac:dyDescent="0.25">
      <c r="A3281" t="s">
        <v>33</v>
      </c>
      <c r="D3281" t="s">
        <v>6953</v>
      </c>
      <c r="E3281" t="s">
        <v>2859</v>
      </c>
      <c r="F3281" t="s">
        <v>87</v>
      </c>
      <c r="G3281" t="s">
        <v>7102</v>
      </c>
      <c r="H3281" t="s">
        <v>38</v>
      </c>
      <c r="I3281" t="s">
        <v>106</v>
      </c>
      <c r="J3281" t="s">
        <v>40</v>
      </c>
      <c r="K3281" t="s">
        <v>41</v>
      </c>
      <c r="L3281" t="s">
        <v>7103</v>
      </c>
      <c r="M3281" t="s">
        <v>1191</v>
      </c>
      <c r="N3281" t="s">
        <v>7104</v>
      </c>
      <c r="O3281" t="s">
        <v>109</v>
      </c>
      <c r="R3281" t="s">
        <v>7454</v>
      </c>
      <c r="S3281" t="s">
        <v>6958</v>
      </c>
      <c r="V3281" t="s">
        <v>6959</v>
      </c>
      <c r="W3281" t="s">
        <v>6981</v>
      </c>
      <c r="X3281" t="s">
        <v>1193</v>
      </c>
      <c r="AD3281" t="s">
        <v>7455</v>
      </c>
    </row>
    <row r="3282" spans="1:30" x14ac:dyDescent="0.25">
      <c r="A3282" t="s">
        <v>33</v>
      </c>
      <c r="D3282" t="s">
        <v>6953</v>
      </c>
      <c r="E3282" t="s">
        <v>2859</v>
      </c>
      <c r="F3282" t="s">
        <v>87</v>
      </c>
      <c r="G3282" t="s">
        <v>6876</v>
      </c>
      <c r="H3282" t="s">
        <v>166</v>
      </c>
      <c r="I3282" t="s">
        <v>216</v>
      </c>
      <c r="J3282" t="s">
        <v>167</v>
      </c>
      <c r="K3282" t="s">
        <v>41</v>
      </c>
      <c r="L3282" t="s">
        <v>6877</v>
      </c>
      <c r="N3282" t="s">
        <v>7456</v>
      </c>
      <c r="O3282" t="s">
        <v>217</v>
      </c>
      <c r="Q3282" t="s">
        <v>4262</v>
      </c>
      <c r="R3282" t="s">
        <v>7457</v>
      </c>
      <c r="S3282" t="s">
        <v>6958</v>
      </c>
      <c r="V3282" t="s">
        <v>6959</v>
      </c>
      <c r="W3282" t="s">
        <v>6966</v>
      </c>
      <c r="AD3282" t="s">
        <v>7458</v>
      </c>
    </row>
    <row r="3283" spans="1:30" x14ac:dyDescent="0.25">
      <c r="A3283" t="s">
        <v>33</v>
      </c>
      <c r="D3283" t="s">
        <v>6953</v>
      </c>
      <c r="E3283" t="s">
        <v>2859</v>
      </c>
      <c r="F3283" t="s">
        <v>87</v>
      </c>
      <c r="G3283" t="s">
        <v>7459</v>
      </c>
      <c r="H3283" t="s">
        <v>166</v>
      </c>
      <c r="I3283" t="s">
        <v>216</v>
      </c>
      <c r="J3283" t="s">
        <v>167</v>
      </c>
      <c r="K3283" t="s">
        <v>41</v>
      </c>
      <c r="L3283" t="s">
        <v>7460</v>
      </c>
      <c r="N3283" t="s">
        <v>7461</v>
      </c>
      <c r="O3283" t="s">
        <v>217</v>
      </c>
      <c r="Q3283" t="s">
        <v>4262</v>
      </c>
      <c r="R3283" t="s">
        <v>7462</v>
      </c>
      <c r="S3283" t="s">
        <v>6958</v>
      </c>
      <c r="V3283" t="s">
        <v>6959</v>
      </c>
      <c r="W3283" t="s">
        <v>6981</v>
      </c>
      <c r="AD3283" t="s">
        <v>7463</v>
      </c>
    </row>
    <row r="3284" spans="1:30" x14ac:dyDescent="0.25">
      <c r="A3284" t="s">
        <v>33</v>
      </c>
      <c r="D3284" t="s">
        <v>6953</v>
      </c>
      <c r="E3284" t="s">
        <v>2893</v>
      </c>
      <c r="F3284" t="s">
        <v>87</v>
      </c>
      <c r="G3284" t="s">
        <v>88</v>
      </c>
      <c r="H3284" t="s">
        <v>38</v>
      </c>
      <c r="I3284" t="s">
        <v>106</v>
      </c>
      <c r="J3284" t="s">
        <v>40</v>
      </c>
      <c r="K3284" t="s">
        <v>41</v>
      </c>
      <c r="L3284" t="s">
        <v>93</v>
      </c>
      <c r="M3284" t="s">
        <v>1191</v>
      </c>
      <c r="N3284" t="s">
        <v>7464</v>
      </c>
      <c r="O3284" t="s">
        <v>109</v>
      </c>
      <c r="R3284" t="s">
        <v>7465</v>
      </c>
      <c r="S3284" t="s">
        <v>6958</v>
      </c>
      <c r="V3284" t="s">
        <v>6959</v>
      </c>
      <c r="W3284" t="s">
        <v>6999</v>
      </c>
      <c r="X3284" t="s">
        <v>1193</v>
      </c>
      <c r="AD3284" t="s">
        <v>7466</v>
      </c>
    </row>
    <row r="3285" spans="1:30" x14ac:dyDescent="0.25">
      <c r="A3285" t="s">
        <v>33</v>
      </c>
      <c r="D3285" t="s">
        <v>6953</v>
      </c>
      <c r="E3285" t="s">
        <v>2859</v>
      </c>
      <c r="F3285" t="s">
        <v>87</v>
      </c>
      <c r="G3285" t="s">
        <v>7059</v>
      </c>
      <c r="H3285" t="s">
        <v>38</v>
      </c>
      <c r="I3285" t="s">
        <v>106</v>
      </c>
      <c r="J3285" t="s">
        <v>40</v>
      </c>
      <c r="K3285" t="s">
        <v>41</v>
      </c>
      <c r="L3285" t="s">
        <v>7060</v>
      </c>
      <c r="M3285" t="s">
        <v>1191</v>
      </c>
      <c r="N3285" t="s">
        <v>7061</v>
      </c>
      <c r="O3285" t="s">
        <v>109</v>
      </c>
      <c r="R3285" t="s">
        <v>7467</v>
      </c>
      <c r="S3285" t="s">
        <v>6958</v>
      </c>
      <c r="V3285" t="s">
        <v>6959</v>
      </c>
      <c r="W3285" t="s">
        <v>6966</v>
      </c>
      <c r="X3285" t="s">
        <v>1193</v>
      </c>
      <c r="AD3285" t="s">
        <v>7468</v>
      </c>
    </row>
    <row r="3286" spans="1:30" x14ac:dyDescent="0.25">
      <c r="A3286" t="s">
        <v>33</v>
      </c>
      <c r="D3286" t="s">
        <v>6953</v>
      </c>
      <c r="E3286" t="s">
        <v>2859</v>
      </c>
      <c r="F3286" t="s">
        <v>87</v>
      </c>
      <c r="G3286" t="s">
        <v>7071</v>
      </c>
      <c r="H3286" t="s">
        <v>38</v>
      </c>
      <c r="I3286" t="s">
        <v>106</v>
      </c>
      <c r="J3286" t="s">
        <v>40</v>
      </c>
      <c r="K3286" t="s">
        <v>41</v>
      </c>
      <c r="L3286" t="s">
        <v>7072</v>
      </c>
      <c r="M3286" t="s">
        <v>1191</v>
      </c>
      <c r="N3286" t="s">
        <v>7073</v>
      </c>
      <c r="O3286" t="s">
        <v>109</v>
      </c>
      <c r="R3286" t="s">
        <v>7469</v>
      </c>
      <c r="S3286" t="s">
        <v>6958</v>
      </c>
      <c r="V3286" t="s">
        <v>6959</v>
      </c>
      <c r="W3286" t="s">
        <v>6981</v>
      </c>
      <c r="X3286" t="s">
        <v>1193</v>
      </c>
      <c r="AD3286" t="s">
        <v>7470</v>
      </c>
    </row>
    <row r="3287" spans="1:30" x14ac:dyDescent="0.25">
      <c r="A3287" t="s">
        <v>33</v>
      </c>
      <c r="D3287" t="s">
        <v>6953</v>
      </c>
      <c r="E3287" t="s">
        <v>2859</v>
      </c>
      <c r="F3287" t="s">
        <v>87</v>
      </c>
      <c r="G3287" t="s">
        <v>7471</v>
      </c>
      <c r="H3287" t="s">
        <v>166</v>
      </c>
      <c r="I3287" t="s">
        <v>216</v>
      </c>
      <c r="J3287" t="s">
        <v>167</v>
      </c>
      <c r="K3287" t="s">
        <v>41</v>
      </c>
      <c r="L3287" t="s">
        <v>7472</v>
      </c>
      <c r="N3287" t="s">
        <v>7473</v>
      </c>
      <c r="O3287" t="s">
        <v>217</v>
      </c>
      <c r="Q3287" t="s">
        <v>3977</v>
      </c>
      <c r="R3287" t="s">
        <v>7474</v>
      </c>
      <c r="S3287" t="s">
        <v>6958</v>
      </c>
      <c r="V3287" t="s">
        <v>6959</v>
      </c>
      <c r="W3287" t="s">
        <v>6981</v>
      </c>
      <c r="AD3287" t="s">
        <v>7475</v>
      </c>
    </row>
    <row r="3288" spans="1:30" x14ac:dyDescent="0.25">
      <c r="A3288" t="s">
        <v>33</v>
      </c>
      <c r="D3288" t="s">
        <v>6953</v>
      </c>
      <c r="E3288" t="s">
        <v>2859</v>
      </c>
      <c r="F3288" t="s">
        <v>87</v>
      </c>
      <c r="G3288" t="s">
        <v>6889</v>
      </c>
      <c r="H3288" t="s">
        <v>38</v>
      </c>
      <c r="I3288" t="s">
        <v>106</v>
      </c>
      <c r="J3288" t="s">
        <v>40</v>
      </c>
      <c r="K3288" t="s">
        <v>41</v>
      </c>
      <c r="L3288" t="s">
        <v>6890</v>
      </c>
      <c r="M3288" t="s">
        <v>1191</v>
      </c>
      <c r="N3288" t="s">
        <v>7066</v>
      </c>
      <c r="O3288" t="s">
        <v>109</v>
      </c>
      <c r="R3288" t="s">
        <v>7476</v>
      </c>
      <c r="S3288" t="s">
        <v>6958</v>
      </c>
      <c r="V3288" t="s">
        <v>6959</v>
      </c>
      <c r="W3288" t="s">
        <v>6966</v>
      </c>
      <c r="X3288" t="s">
        <v>1193</v>
      </c>
      <c r="AD3288" t="s">
        <v>7477</v>
      </c>
    </row>
    <row r="3289" spans="1:30" x14ac:dyDescent="0.25">
      <c r="A3289" t="s">
        <v>33</v>
      </c>
      <c r="D3289" t="s">
        <v>6953</v>
      </c>
      <c r="E3289" t="s">
        <v>2859</v>
      </c>
      <c r="F3289" t="s">
        <v>87</v>
      </c>
      <c r="G3289" t="s">
        <v>7078</v>
      </c>
      <c r="H3289" t="s">
        <v>38</v>
      </c>
      <c r="I3289" t="s">
        <v>106</v>
      </c>
      <c r="J3289" t="s">
        <v>40</v>
      </c>
      <c r="K3289" t="s">
        <v>41</v>
      </c>
      <c r="L3289" t="s">
        <v>7079</v>
      </c>
      <c r="M3289" t="s">
        <v>1191</v>
      </c>
      <c r="N3289" t="s">
        <v>7080</v>
      </c>
      <c r="O3289" t="s">
        <v>109</v>
      </c>
      <c r="R3289" t="s">
        <v>7478</v>
      </c>
      <c r="S3289" t="s">
        <v>6958</v>
      </c>
      <c r="V3289" t="s">
        <v>6959</v>
      </c>
      <c r="W3289" t="s">
        <v>6981</v>
      </c>
      <c r="X3289" t="s">
        <v>1193</v>
      </c>
      <c r="AD3289" t="s">
        <v>7479</v>
      </c>
    </row>
    <row r="3290" spans="1:30" x14ac:dyDescent="0.25">
      <c r="A3290" t="s">
        <v>33</v>
      </c>
      <c r="D3290" t="s">
        <v>6953</v>
      </c>
      <c r="E3290" t="s">
        <v>2859</v>
      </c>
      <c r="F3290" t="s">
        <v>248</v>
      </c>
      <c r="G3290" t="s">
        <v>7303</v>
      </c>
      <c r="H3290" t="s">
        <v>143</v>
      </c>
      <c r="I3290" t="s">
        <v>276</v>
      </c>
      <c r="J3290" t="s">
        <v>145</v>
      </c>
      <c r="K3290" t="s">
        <v>146</v>
      </c>
      <c r="L3290" t="s">
        <v>7304</v>
      </c>
      <c r="N3290" t="s">
        <v>7305</v>
      </c>
      <c r="O3290" t="s">
        <v>277</v>
      </c>
      <c r="R3290" t="s">
        <v>7480</v>
      </c>
      <c r="S3290" t="s">
        <v>6958</v>
      </c>
      <c r="V3290" t="s">
        <v>6959</v>
      </c>
      <c r="W3290" t="s">
        <v>6966</v>
      </c>
      <c r="X3290" t="s">
        <v>270</v>
      </c>
      <c r="AD3290" t="s">
        <v>7481</v>
      </c>
    </row>
    <row r="3291" spans="1:30" x14ac:dyDescent="0.25">
      <c r="A3291" t="s">
        <v>33</v>
      </c>
      <c r="D3291" t="s">
        <v>6953</v>
      </c>
      <c r="E3291" t="s">
        <v>2859</v>
      </c>
      <c r="F3291" t="s">
        <v>248</v>
      </c>
      <c r="G3291" t="s">
        <v>7303</v>
      </c>
      <c r="H3291" t="s">
        <v>143</v>
      </c>
      <c r="I3291" t="s">
        <v>272</v>
      </c>
      <c r="J3291" t="s">
        <v>145</v>
      </c>
      <c r="K3291" t="s">
        <v>146</v>
      </c>
      <c r="L3291" t="s">
        <v>7304</v>
      </c>
      <c r="N3291" t="s">
        <v>7305</v>
      </c>
      <c r="O3291" t="s">
        <v>273</v>
      </c>
      <c r="R3291" t="s">
        <v>7482</v>
      </c>
      <c r="S3291" t="s">
        <v>6958</v>
      </c>
      <c r="V3291" t="s">
        <v>6959</v>
      </c>
      <c r="W3291" t="s">
        <v>6966</v>
      </c>
      <c r="X3291" t="s">
        <v>270</v>
      </c>
      <c r="AD3291" t="s">
        <v>7483</v>
      </c>
    </row>
    <row r="3292" spans="1:30" x14ac:dyDescent="0.25">
      <c r="A3292" t="s">
        <v>33</v>
      </c>
      <c r="D3292" t="s">
        <v>6953</v>
      </c>
      <c r="E3292" t="s">
        <v>2859</v>
      </c>
      <c r="F3292" t="s">
        <v>248</v>
      </c>
      <c r="G3292" t="s">
        <v>7303</v>
      </c>
      <c r="H3292" t="s">
        <v>143</v>
      </c>
      <c r="I3292" t="s">
        <v>267</v>
      </c>
      <c r="J3292" t="s">
        <v>145</v>
      </c>
      <c r="K3292" t="s">
        <v>146</v>
      </c>
      <c r="L3292" t="s">
        <v>7304</v>
      </c>
      <c r="N3292" t="s">
        <v>7305</v>
      </c>
      <c r="O3292" t="s">
        <v>268</v>
      </c>
      <c r="R3292" t="s">
        <v>7484</v>
      </c>
      <c r="S3292" t="s">
        <v>6958</v>
      </c>
      <c r="V3292" t="s">
        <v>6959</v>
      </c>
      <c r="W3292" t="s">
        <v>6966</v>
      </c>
      <c r="X3292" t="s">
        <v>270</v>
      </c>
      <c r="AD3292" t="s">
        <v>7485</v>
      </c>
    </row>
    <row r="3293" spans="1:30" x14ac:dyDescent="0.25">
      <c r="A3293" t="s">
        <v>33</v>
      </c>
      <c r="D3293" t="s">
        <v>6953</v>
      </c>
      <c r="E3293" t="s">
        <v>2859</v>
      </c>
      <c r="F3293" t="s">
        <v>248</v>
      </c>
      <c r="G3293" t="s">
        <v>7303</v>
      </c>
      <c r="H3293" t="s">
        <v>143</v>
      </c>
      <c r="I3293" t="s">
        <v>295</v>
      </c>
      <c r="J3293" t="s">
        <v>145</v>
      </c>
      <c r="K3293" t="s">
        <v>146</v>
      </c>
      <c r="L3293" t="s">
        <v>7304</v>
      </c>
      <c r="M3293" t="s">
        <v>82</v>
      </c>
      <c r="N3293" t="s">
        <v>7305</v>
      </c>
      <c r="O3293" t="s">
        <v>296</v>
      </c>
      <c r="R3293" t="s">
        <v>7486</v>
      </c>
      <c r="S3293" t="s">
        <v>6958</v>
      </c>
      <c r="V3293" t="s">
        <v>6959</v>
      </c>
      <c r="W3293" t="s">
        <v>6966</v>
      </c>
      <c r="AD3293" t="s">
        <v>7487</v>
      </c>
    </row>
    <row r="3294" spans="1:30" x14ac:dyDescent="0.25">
      <c r="A3294" t="s">
        <v>33</v>
      </c>
      <c r="D3294" t="s">
        <v>6953</v>
      </c>
      <c r="E3294" t="s">
        <v>2859</v>
      </c>
      <c r="F3294" t="s">
        <v>248</v>
      </c>
      <c r="G3294" t="s">
        <v>7303</v>
      </c>
      <c r="H3294" t="s">
        <v>143</v>
      </c>
      <c r="I3294" t="s">
        <v>299</v>
      </c>
      <c r="J3294" t="s">
        <v>145</v>
      </c>
      <c r="K3294" t="s">
        <v>146</v>
      </c>
      <c r="L3294" t="s">
        <v>7304</v>
      </c>
      <c r="M3294" t="s">
        <v>82</v>
      </c>
      <c r="N3294" t="s">
        <v>7305</v>
      </c>
      <c r="O3294" t="s">
        <v>300</v>
      </c>
      <c r="R3294" t="s">
        <v>7488</v>
      </c>
      <c r="S3294" t="s">
        <v>6958</v>
      </c>
      <c r="V3294" t="s">
        <v>6959</v>
      </c>
      <c r="W3294" t="s">
        <v>6966</v>
      </c>
      <c r="AD3294" t="s">
        <v>7489</v>
      </c>
    </row>
    <row r="3295" spans="1:30" x14ac:dyDescent="0.25">
      <c r="A3295" t="s">
        <v>33</v>
      </c>
      <c r="D3295" t="s">
        <v>6953</v>
      </c>
      <c r="E3295" t="s">
        <v>2859</v>
      </c>
      <c r="F3295" t="s">
        <v>248</v>
      </c>
      <c r="G3295" t="s">
        <v>7303</v>
      </c>
      <c r="H3295" t="s">
        <v>280</v>
      </c>
      <c r="I3295" t="s">
        <v>281</v>
      </c>
      <c r="J3295" t="s">
        <v>282</v>
      </c>
      <c r="K3295" t="s">
        <v>283</v>
      </c>
      <c r="L3295" t="s">
        <v>7304</v>
      </c>
      <c r="N3295" t="s">
        <v>7305</v>
      </c>
      <c r="O3295" t="s">
        <v>284</v>
      </c>
      <c r="Q3295" t="s">
        <v>7490</v>
      </c>
      <c r="R3295" t="s">
        <v>7491</v>
      </c>
      <c r="S3295" t="s">
        <v>6958</v>
      </c>
      <c r="V3295" t="s">
        <v>6959</v>
      </c>
      <c r="W3295" t="s">
        <v>6966</v>
      </c>
      <c r="AD3295" t="s">
        <v>7492</v>
      </c>
    </row>
    <row r="3296" spans="1:30" x14ac:dyDescent="0.25">
      <c r="A3296" t="s">
        <v>33</v>
      </c>
      <c r="D3296" t="s">
        <v>6953</v>
      </c>
      <c r="E3296" t="s">
        <v>2859</v>
      </c>
      <c r="F3296" t="s">
        <v>248</v>
      </c>
      <c r="G3296" t="s">
        <v>7303</v>
      </c>
      <c r="H3296" t="s">
        <v>38</v>
      </c>
      <c r="I3296" t="s">
        <v>257</v>
      </c>
      <c r="J3296" t="s">
        <v>40</v>
      </c>
      <c r="K3296" t="s">
        <v>41</v>
      </c>
      <c r="L3296" t="s">
        <v>7304</v>
      </c>
      <c r="M3296" t="s">
        <v>82</v>
      </c>
      <c r="N3296" t="s">
        <v>7305</v>
      </c>
      <c r="O3296" t="s">
        <v>258</v>
      </c>
      <c r="R3296" t="s">
        <v>7493</v>
      </c>
      <c r="S3296" t="s">
        <v>6958</v>
      </c>
      <c r="V3296" t="s">
        <v>6959</v>
      </c>
      <c r="W3296" t="s">
        <v>6966</v>
      </c>
      <c r="AD3296" t="s">
        <v>7494</v>
      </c>
    </row>
    <row r="3297" spans="1:30" x14ac:dyDescent="0.25">
      <c r="A3297" t="s">
        <v>33</v>
      </c>
      <c r="D3297" t="s">
        <v>6953</v>
      </c>
      <c r="E3297" t="s">
        <v>2859</v>
      </c>
      <c r="F3297" t="s">
        <v>248</v>
      </c>
      <c r="G3297" t="s">
        <v>7303</v>
      </c>
      <c r="H3297" t="s">
        <v>38</v>
      </c>
      <c r="I3297" t="s">
        <v>250</v>
      </c>
      <c r="J3297" t="s">
        <v>40</v>
      </c>
      <c r="K3297" t="s">
        <v>41</v>
      </c>
      <c r="L3297" t="s">
        <v>7304</v>
      </c>
      <c r="M3297" t="s">
        <v>176</v>
      </c>
      <c r="N3297" t="s">
        <v>7305</v>
      </c>
      <c r="O3297" t="s">
        <v>254</v>
      </c>
      <c r="R3297" t="s">
        <v>7495</v>
      </c>
      <c r="S3297" t="s">
        <v>6958</v>
      </c>
      <c r="V3297" t="s">
        <v>6959</v>
      </c>
      <c r="W3297" t="s">
        <v>6966</v>
      </c>
      <c r="AD3297" t="s">
        <v>7496</v>
      </c>
    </row>
    <row r="3298" spans="1:30" x14ac:dyDescent="0.25">
      <c r="A3298" t="s">
        <v>33</v>
      </c>
      <c r="D3298" t="s">
        <v>6953</v>
      </c>
      <c r="E3298" t="s">
        <v>2859</v>
      </c>
      <c r="F3298" t="s">
        <v>248</v>
      </c>
      <c r="G3298" t="s">
        <v>7303</v>
      </c>
      <c r="H3298" t="s">
        <v>143</v>
      </c>
      <c r="I3298" t="s">
        <v>261</v>
      </c>
      <c r="J3298" t="s">
        <v>145</v>
      </c>
      <c r="K3298" t="s">
        <v>262</v>
      </c>
      <c r="L3298" t="s">
        <v>7304</v>
      </c>
      <c r="M3298" t="s">
        <v>176</v>
      </c>
      <c r="N3298" t="s">
        <v>7305</v>
      </c>
      <c r="O3298" t="s">
        <v>263</v>
      </c>
      <c r="R3298" t="s">
        <v>7497</v>
      </c>
      <c r="S3298" t="s">
        <v>6958</v>
      </c>
      <c r="V3298" t="s">
        <v>6959</v>
      </c>
      <c r="W3298" t="s">
        <v>6966</v>
      </c>
      <c r="AD3298" t="s">
        <v>7498</v>
      </c>
    </row>
    <row r="3299" spans="1:30" x14ac:dyDescent="0.25">
      <c r="A3299" t="s">
        <v>33</v>
      </c>
      <c r="D3299" t="s">
        <v>6953</v>
      </c>
      <c r="E3299" t="s">
        <v>2859</v>
      </c>
      <c r="F3299" t="s">
        <v>78</v>
      </c>
      <c r="G3299" t="s">
        <v>7499</v>
      </c>
      <c r="H3299" t="s">
        <v>143</v>
      </c>
      <c r="I3299" t="s">
        <v>276</v>
      </c>
      <c r="J3299" t="s">
        <v>145</v>
      </c>
      <c r="K3299" t="s">
        <v>146</v>
      </c>
      <c r="L3299" t="s">
        <v>7500</v>
      </c>
      <c r="N3299" t="s">
        <v>7501</v>
      </c>
      <c r="O3299" t="s">
        <v>277</v>
      </c>
      <c r="R3299" t="s">
        <v>7502</v>
      </c>
      <c r="S3299" t="s">
        <v>6958</v>
      </c>
      <c r="V3299" t="s">
        <v>6959</v>
      </c>
      <c r="W3299" t="s">
        <v>6981</v>
      </c>
      <c r="X3299" t="s">
        <v>270</v>
      </c>
      <c r="AD3299" t="s">
        <v>7503</v>
      </c>
    </row>
    <row r="3300" spans="1:30" x14ac:dyDescent="0.25">
      <c r="A3300" t="s">
        <v>33</v>
      </c>
      <c r="D3300" t="s">
        <v>6953</v>
      </c>
      <c r="E3300" t="s">
        <v>2859</v>
      </c>
      <c r="F3300" t="s">
        <v>78</v>
      </c>
      <c r="G3300" t="s">
        <v>7499</v>
      </c>
      <c r="H3300" t="s">
        <v>143</v>
      </c>
      <c r="I3300" t="s">
        <v>272</v>
      </c>
      <c r="J3300" t="s">
        <v>145</v>
      </c>
      <c r="K3300" t="s">
        <v>146</v>
      </c>
      <c r="L3300" t="s">
        <v>7500</v>
      </c>
      <c r="N3300" t="s">
        <v>7501</v>
      </c>
      <c r="O3300" t="s">
        <v>273</v>
      </c>
      <c r="R3300" t="s">
        <v>7504</v>
      </c>
      <c r="S3300" t="s">
        <v>6958</v>
      </c>
      <c r="V3300" t="s">
        <v>6959</v>
      </c>
      <c r="W3300" t="s">
        <v>6981</v>
      </c>
      <c r="X3300" t="s">
        <v>270</v>
      </c>
      <c r="AD3300" t="s">
        <v>7505</v>
      </c>
    </row>
    <row r="3301" spans="1:30" x14ac:dyDescent="0.25">
      <c r="A3301" t="s">
        <v>33</v>
      </c>
      <c r="D3301" t="s">
        <v>6953</v>
      </c>
      <c r="E3301" t="s">
        <v>2859</v>
      </c>
      <c r="F3301" t="s">
        <v>78</v>
      </c>
      <c r="G3301" t="s">
        <v>7499</v>
      </c>
      <c r="H3301" t="s">
        <v>143</v>
      </c>
      <c r="I3301" t="s">
        <v>267</v>
      </c>
      <c r="J3301" t="s">
        <v>145</v>
      </c>
      <c r="K3301" t="s">
        <v>146</v>
      </c>
      <c r="L3301" t="s">
        <v>7500</v>
      </c>
      <c r="N3301" t="s">
        <v>7501</v>
      </c>
      <c r="O3301" t="s">
        <v>268</v>
      </c>
      <c r="R3301" t="s">
        <v>7506</v>
      </c>
      <c r="S3301" t="s">
        <v>6958</v>
      </c>
      <c r="V3301" t="s">
        <v>6959</v>
      </c>
      <c r="W3301" t="s">
        <v>6981</v>
      </c>
      <c r="X3301" t="s">
        <v>270</v>
      </c>
      <c r="AD3301" t="s">
        <v>7507</v>
      </c>
    </row>
    <row r="3302" spans="1:30" x14ac:dyDescent="0.25">
      <c r="A3302" t="s">
        <v>33</v>
      </c>
      <c r="D3302" t="s">
        <v>6953</v>
      </c>
      <c r="E3302" t="s">
        <v>2859</v>
      </c>
      <c r="F3302" t="s">
        <v>78</v>
      </c>
      <c r="G3302" t="s">
        <v>7499</v>
      </c>
      <c r="H3302" t="s">
        <v>143</v>
      </c>
      <c r="I3302" t="s">
        <v>295</v>
      </c>
      <c r="J3302" t="s">
        <v>745</v>
      </c>
      <c r="K3302" t="s">
        <v>262</v>
      </c>
      <c r="L3302" t="s">
        <v>7500</v>
      </c>
      <c r="M3302" t="s">
        <v>82</v>
      </c>
      <c r="N3302" t="s">
        <v>7501</v>
      </c>
      <c r="O3302" t="s">
        <v>296</v>
      </c>
      <c r="R3302" t="s">
        <v>7508</v>
      </c>
      <c r="S3302" t="s">
        <v>6958</v>
      </c>
      <c r="V3302" t="s">
        <v>6959</v>
      </c>
      <c r="W3302" t="s">
        <v>6981</v>
      </c>
      <c r="AD3302" t="s">
        <v>7509</v>
      </c>
    </row>
    <row r="3303" spans="1:30" x14ac:dyDescent="0.25">
      <c r="A3303" t="s">
        <v>33</v>
      </c>
      <c r="D3303" t="s">
        <v>6953</v>
      </c>
      <c r="E3303" t="s">
        <v>2859</v>
      </c>
      <c r="F3303" t="s">
        <v>78</v>
      </c>
      <c r="G3303" t="s">
        <v>7499</v>
      </c>
      <c r="H3303" t="s">
        <v>143</v>
      </c>
      <c r="I3303" t="s">
        <v>299</v>
      </c>
      <c r="J3303" t="s">
        <v>145</v>
      </c>
      <c r="K3303" t="s">
        <v>146</v>
      </c>
      <c r="L3303" t="s">
        <v>7500</v>
      </c>
      <c r="M3303" t="s">
        <v>82</v>
      </c>
      <c r="N3303" t="s">
        <v>7501</v>
      </c>
      <c r="O3303" t="s">
        <v>300</v>
      </c>
      <c r="R3303" t="s">
        <v>7510</v>
      </c>
      <c r="S3303" t="s">
        <v>6958</v>
      </c>
      <c r="V3303" t="s">
        <v>6959</v>
      </c>
      <c r="W3303" t="s">
        <v>6981</v>
      </c>
      <c r="AD3303" t="s">
        <v>7511</v>
      </c>
    </row>
    <row r="3304" spans="1:30" x14ac:dyDescent="0.25">
      <c r="A3304" t="s">
        <v>33</v>
      </c>
      <c r="D3304" t="s">
        <v>6953</v>
      </c>
      <c r="E3304" t="s">
        <v>2859</v>
      </c>
      <c r="F3304" t="s">
        <v>78</v>
      </c>
      <c r="G3304" t="s">
        <v>7499</v>
      </c>
      <c r="H3304" t="s">
        <v>38</v>
      </c>
      <c r="I3304" t="s">
        <v>257</v>
      </c>
      <c r="J3304" t="s">
        <v>40</v>
      </c>
      <c r="K3304" t="s">
        <v>41</v>
      </c>
      <c r="L3304" t="s">
        <v>7500</v>
      </c>
      <c r="M3304" t="s">
        <v>82</v>
      </c>
      <c r="N3304" t="s">
        <v>7501</v>
      </c>
      <c r="O3304" t="s">
        <v>258</v>
      </c>
      <c r="R3304" t="s">
        <v>7512</v>
      </c>
      <c r="S3304" t="s">
        <v>6958</v>
      </c>
      <c r="V3304" t="s">
        <v>6959</v>
      </c>
      <c r="W3304" t="s">
        <v>6981</v>
      </c>
      <c r="AD3304" t="s">
        <v>7513</v>
      </c>
    </row>
    <row r="3305" spans="1:30" x14ac:dyDescent="0.25">
      <c r="A3305" t="s">
        <v>33</v>
      </c>
      <c r="D3305" t="s">
        <v>6953</v>
      </c>
      <c r="E3305" t="s">
        <v>2859</v>
      </c>
      <c r="F3305" t="s">
        <v>78</v>
      </c>
      <c r="G3305" t="s">
        <v>7499</v>
      </c>
      <c r="H3305" t="s">
        <v>38</v>
      </c>
      <c r="I3305" t="s">
        <v>250</v>
      </c>
      <c r="J3305" t="s">
        <v>40</v>
      </c>
      <c r="K3305" t="s">
        <v>41</v>
      </c>
      <c r="L3305" t="s">
        <v>7500</v>
      </c>
      <c r="M3305" t="s">
        <v>176</v>
      </c>
      <c r="N3305" t="s">
        <v>7501</v>
      </c>
      <c r="O3305" t="s">
        <v>254</v>
      </c>
      <c r="R3305" t="s">
        <v>7514</v>
      </c>
      <c r="S3305" t="s">
        <v>6958</v>
      </c>
      <c r="V3305" t="s">
        <v>6959</v>
      </c>
      <c r="W3305" t="s">
        <v>6981</v>
      </c>
      <c r="AD3305" t="s">
        <v>7515</v>
      </c>
    </row>
    <row r="3306" spans="1:30" x14ac:dyDescent="0.25">
      <c r="A3306" t="s">
        <v>33</v>
      </c>
      <c r="D3306" t="s">
        <v>6953</v>
      </c>
      <c r="E3306" t="s">
        <v>2859</v>
      </c>
      <c r="F3306" t="s">
        <v>78</v>
      </c>
      <c r="G3306" t="s">
        <v>7499</v>
      </c>
      <c r="H3306" t="s">
        <v>143</v>
      </c>
      <c r="I3306" t="s">
        <v>257</v>
      </c>
      <c r="J3306" t="s">
        <v>145</v>
      </c>
      <c r="K3306" t="s">
        <v>146</v>
      </c>
      <c r="L3306" t="s">
        <v>7500</v>
      </c>
      <c r="M3306" t="s">
        <v>82</v>
      </c>
      <c r="N3306" t="s">
        <v>7501</v>
      </c>
      <c r="O3306" t="s">
        <v>292</v>
      </c>
      <c r="R3306" t="s">
        <v>7516</v>
      </c>
      <c r="S3306" t="s">
        <v>6958</v>
      </c>
      <c r="V3306" t="s">
        <v>6959</v>
      </c>
      <c r="W3306" t="s">
        <v>6981</v>
      </c>
      <c r="AD3306" t="s">
        <v>7517</v>
      </c>
    </row>
    <row r="3307" spans="1:30" x14ac:dyDescent="0.25">
      <c r="A3307" t="s">
        <v>33</v>
      </c>
      <c r="D3307" t="s">
        <v>6953</v>
      </c>
      <c r="E3307" t="s">
        <v>2859</v>
      </c>
      <c r="F3307" t="s">
        <v>78</v>
      </c>
      <c r="G3307" t="s">
        <v>7499</v>
      </c>
      <c r="H3307" t="s">
        <v>143</v>
      </c>
      <c r="I3307" t="s">
        <v>261</v>
      </c>
      <c r="J3307" t="s">
        <v>145</v>
      </c>
      <c r="K3307" t="s">
        <v>262</v>
      </c>
      <c r="L3307" t="s">
        <v>7500</v>
      </c>
      <c r="M3307" t="s">
        <v>176</v>
      </c>
      <c r="N3307" t="s">
        <v>7501</v>
      </c>
      <c r="O3307" t="s">
        <v>263</v>
      </c>
      <c r="R3307" t="s">
        <v>7518</v>
      </c>
      <c r="S3307" t="s">
        <v>6958</v>
      </c>
      <c r="V3307" t="s">
        <v>6959</v>
      </c>
      <c r="W3307" t="s">
        <v>6981</v>
      </c>
      <c r="AD3307" t="s">
        <v>7519</v>
      </c>
    </row>
    <row r="3308" spans="1:30" x14ac:dyDescent="0.25">
      <c r="A3308" t="s">
        <v>33</v>
      </c>
      <c r="D3308" t="s">
        <v>6953</v>
      </c>
      <c r="E3308" t="s">
        <v>2859</v>
      </c>
      <c r="F3308" t="s">
        <v>78</v>
      </c>
      <c r="G3308" t="s">
        <v>7499</v>
      </c>
      <c r="H3308" t="s">
        <v>280</v>
      </c>
      <c r="I3308" t="s">
        <v>281</v>
      </c>
      <c r="J3308" t="s">
        <v>282</v>
      </c>
      <c r="K3308" t="s">
        <v>283</v>
      </c>
      <c r="L3308" t="s">
        <v>7500</v>
      </c>
      <c r="N3308" t="s">
        <v>7501</v>
      </c>
      <c r="O3308" t="s">
        <v>284</v>
      </c>
      <c r="Q3308" t="s">
        <v>285</v>
      </c>
      <c r="R3308" t="s">
        <v>7520</v>
      </c>
      <c r="S3308" t="s">
        <v>6958</v>
      </c>
      <c r="V3308" t="s">
        <v>6959</v>
      </c>
      <c r="W3308" t="s">
        <v>6981</v>
      </c>
      <c r="AD3308" t="s">
        <v>7521</v>
      </c>
    </row>
    <row r="3309" spans="1:30" x14ac:dyDescent="0.25">
      <c r="A3309" t="s">
        <v>33</v>
      </c>
      <c r="D3309" t="s">
        <v>6953</v>
      </c>
      <c r="E3309" t="s">
        <v>2859</v>
      </c>
      <c r="F3309" t="s">
        <v>78</v>
      </c>
      <c r="G3309" t="s">
        <v>7522</v>
      </c>
      <c r="H3309" t="s">
        <v>143</v>
      </c>
      <c r="I3309" t="s">
        <v>276</v>
      </c>
      <c r="J3309" t="s">
        <v>145</v>
      </c>
      <c r="K3309" t="s">
        <v>146</v>
      </c>
      <c r="L3309" t="s">
        <v>7523</v>
      </c>
      <c r="N3309" t="s">
        <v>7524</v>
      </c>
      <c r="O3309" t="s">
        <v>277</v>
      </c>
      <c r="R3309" t="s">
        <v>7525</v>
      </c>
      <c r="S3309" t="s">
        <v>6958</v>
      </c>
      <c r="V3309" t="s">
        <v>6959</v>
      </c>
      <c r="W3309" t="s">
        <v>6981</v>
      </c>
      <c r="X3309" t="s">
        <v>270</v>
      </c>
      <c r="AD3309" t="s">
        <v>7526</v>
      </c>
    </row>
    <row r="3310" spans="1:30" x14ac:dyDescent="0.25">
      <c r="A3310" t="s">
        <v>33</v>
      </c>
      <c r="D3310" t="s">
        <v>6953</v>
      </c>
      <c r="E3310" t="s">
        <v>2859</v>
      </c>
      <c r="F3310" t="s">
        <v>78</v>
      </c>
      <c r="G3310" t="s">
        <v>7522</v>
      </c>
      <c r="H3310" t="s">
        <v>143</v>
      </c>
      <c r="I3310" t="s">
        <v>272</v>
      </c>
      <c r="J3310" t="s">
        <v>145</v>
      </c>
      <c r="K3310" t="s">
        <v>146</v>
      </c>
      <c r="L3310" t="s">
        <v>7523</v>
      </c>
      <c r="N3310" t="s">
        <v>7524</v>
      </c>
      <c r="O3310" t="s">
        <v>273</v>
      </c>
      <c r="R3310" t="s">
        <v>7527</v>
      </c>
      <c r="S3310" t="s">
        <v>6958</v>
      </c>
      <c r="V3310" t="s">
        <v>6959</v>
      </c>
      <c r="W3310" t="s">
        <v>6981</v>
      </c>
      <c r="X3310" t="s">
        <v>270</v>
      </c>
      <c r="AD3310" t="s">
        <v>7528</v>
      </c>
    </row>
    <row r="3311" spans="1:30" x14ac:dyDescent="0.25">
      <c r="A3311" t="s">
        <v>33</v>
      </c>
      <c r="D3311" t="s">
        <v>6953</v>
      </c>
      <c r="E3311" t="s">
        <v>2859</v>
      </c>
      <c r="F3311" t="s">
        <v>78</v>
      </c>
      <c r="G3311" t="s">
        <v>7522</v>
      </c>
      <c r="H3311" t="s">
        <v>143</v>
      </c>
      <c r="I3311" t="s">
        <v>267</v>
      </c>
      <c r="J3311" t="s">
        <v>145</v>
      </c>
      <c r="K3311" t="s">
        <v>146</v>
      </c>
      <c r="L3311" t="s">
        <v>7523</v>
      </c>
      <c r="N3311" t="s">
        <v>7524</v>
      </c>
      <c r="O3311" t="s">
        <v>268</v>
      </c>
      <c r="R3311" t="s">
        <v>7529</v>
      </c>
      <c r="S3311" t="s">
        <v>6958</v>
      </c>
      <c r="V3311" t="s">
        <v>6959</v>
      </c>
      <c r="W3311" t="s">
        <v>6981</v>
      </c>
      <c r="X3311" t="s">
        <v>270</v>
      </c>
      <c r="AD3311" t="s">
        <v>7530</v>
      </c>
    </row>
    <row r="3312" spans="1:30" x14ac:dyDescent="0.25">
      <c r="A3312" t="s">
        <v>33</v>
      </c>
      <c r="D3312" t="s">
        <v>6953</v>
      </c>
      <c r="E3312" t="s">
        <v>2859</v>
      </c>
      <c r="F3312" t="s">
        <v>78</v>
      </c>
      <c r="G3312" t="s">
        <v>7522</v>
      </c>
      <c r="H3312" t="s">
        <v>143</v>
      </c>
      <c r="I3312" t="s">
        <v>295</v>
      </c>
      <c r="J3312" t="s">
        <v>745</v>
      </c>
      <c r="K3312" t="s">
        <v>262</v>
      </c>
      <c r="L3312" t="s">
        <v>7523</v>
      </c>
      <c r="M3312" t="s">
        <v>82</v>
      </c>
      <c r="N3312" t="s">
        <v>7524</v>
      </c>
      <c r="O3312" t="s">
        <v>296</v>
      </c>
      <c r="R3312" t="s">
        <v>7531</v>
      </c>
      <c r="S3312" t="s">
        <v>6958</v>
      </c>
      <c r="V3312" t="s">
        <v>6959</v>
      </c>
      <c r="W3312" t="s">
        <v>6981</v>
      </c>
      <c r="AD3312" t="s">
        <v>7532</v>
      </c>
    </row>
    <row r="3313" spans="1:30" x14ac:dyDescent="0.25">
      <c r="A3313" t="s">
        <v>33</v>
      </c>
      <c r="D3313" t="s">
        <v>6953</v>
      </c>
      <c r="E3313" t="s">
        <v>2859</v>
      </c>
      <c r="F3313" t="s">
        <v>78</v>
      </c>
      <c r="G3313" t="s">
        <v>7522</v>
      </c>
      <c r="H3313" t="s">
        <v>143</v>
      </c>
      <c r="I3313" t="s">
        <v>299</v>
      </c>
      <c r="J3313" t="s">
        <v>145</v>
      </c>
      <c r="K3313" t="s">
        <v>146</v>
      </c>
      <c r="L3313" t="s">
        <v>7523</v>
      </c>
      <c r="M3313" t="s">
        <v>82</v>
      </c>
      <c r="N3313" t="s">
        <v>7524</v>
      </c>
      <c r="O3313" t="s">
        <v>300</v>
      </c>
      <c r="R3313" t="s">
        <v>7533</v>
      </c>
      <c r="S3313" t="s">
        <v>6958</v>
      </c>
      <c r="V3313" t="s">
        <v>6959</v>
      </c>
      <c r="W3313" t="s">
        <v>6981</v>
      </c>
      <c r="AD3313" t="s">
        <v>7534</v>
      </c>
    </row>
    <row r="3314" spans="1:30" x14ac:dyDescent="0.25">
      <c r="A3314" t="s">
        <v>33</v>
      </c>
      <c r="D3314" t="s">
        <v>6953</v>
      </c>
      <c r="E3314" t="s">
        <v>2859</v>
      </c>
      <c r="F3314" t="s">
        <v>78</v>
      </c>
      <c r="G3314" t="s">
        <v>7522</v>
      </c>
      <c r="H3314" t="s">
        <v>38</v>
      </c>
      <c r="I3314" t="s">
        <v>257</v>
      </c>
      <c r="J3314" t="s">
        <v>40</v>
      </c>
      <c r="K3314" t="s">
        <v>41</v>
      </c>
      <c r="L3314" t="s">
        <v>7523</v>
      </c>
      <c r="M3314" t="s">
        <v>82</v>
      </c>
      <c r="N3314" t="s">
        <v>7524</v>
      </c>
      <c r="O3314" t="s">
        <v>258</v>
      </c>
      <c r="R3314" t="s">
        <v>7535</v>
      </c>
      <c r="S3314" t="s">
        <v>6958</v>
      </c>
      <c r="V3314" t="s">
        <v>6959</v>
      </c>
      <c r="W3314" t="s">
        <v>6981</v>
      </c>
      <c r="AD3314" t="s">
        <v>7536</v>
      </c>
    </row>
    <row r="3315" spans="1:30" x14ac:dyDescent="0.25">
      <c r="A3315" t="s">
        <v>33</v>
      </c>
      <c r="D3315" t="s">
        <v>6953</v>
      </c>
      <c r="E3315" t="s">
        <v>2859</v>
      </c>
      <c r="F3315" t="s">
        <v>78</v>
      </c>
      <c r="G3315" t="s">
        <v>7522</v>
      </c>
      <c r="H3315" t="s">
        <v>38</v>
      </c>
      <c r="I3315" t="s">
        <v>250</v>
      </c>
      <c r="J3315" t="s">
        <v>40</v>
      </c>
      <c r="K3315" t="s">
        <v>41</v>
      </c>
      <c r="L3315" t="s">
        <v>7523</v>
      </c>
      <c r="M3315" t="s">
        <v>176</v>
      </c>
      <c r="N3315" t="s">
        <v>7524</v>
      </c>
      <c r="O3315" t="s">
        <v>254</v>
      </c>
      <c r="R3315" t="s">
        <v>7537</v>
      </c>
      <c r="S3315" t="s">
        <v>6958</v>
      </c>
      <c r="V3315" t="s">
        <v>6959</v>
      </c>
      <c r="W3315" t="s">
        <v>6981</v>
      </c>
      <c r="AD3315" t="s">
        <v>7538</v>
      </c>
    </row>
    <row r="3316" spans="1:30" x14ac:dyDescent="0.25">
      <c r="A3316" t="s">
        <v>33</v>
      </c>
      <c r="D3316" t="s">
        <v>6953</v>
      </c>
      <c r="E3316" t="s">
        <v>2859</v>
      </c>
      <c r="F3316" t="s">
        <v>78</v>
      </c>
      <c r="G3316" t="s">
        <v>7522</v>
      </c>
      <c r="H3316" t="s">
        <v>143</v>
      </c>
      <c r="I3316" t="s">
        <v>257</v>
      </c>
      <c r="J3316" t="s">
        <v>145</v>
      </c>
      <c r="K3316" t="s">
        <v>146</v>
      </c>
      <c r="L3316" t="s">
        <v>7523</v>
      </c>
      <c r="M3316" t="s">
        <v>82</v>
      </c>
      <c r="N3316" t="s">
        <v>7524</v>
      </c>
      <c r="O3316" t="s">
        <v>292</v>
      </c>
      <c r="R3316" t="s">
        <v>7539</v>
      </c>
      <c r="S3316" t="s">
        <v>6958</v>
      </c>
      <c r="V3316" t="s">
        <v>6959</v>
      </c>
      <c r="W3316" t="s">
        <v>6981</v>
      </c>
      <c r="AD3316" t="s">
        <v>7540</v>
      </c>
    </row>
    <row r="3317" spans="1:30" x14ac:dyDescent="0.25">
      <c r="A3317" t="s">
        <v>33</v>
      </c>
      <c r="D3317" t="s">
        <v>6953</v>
      </c>
      <c r="E3317" t="s">
        <v>2859</v>
      </c>
      <c r="F3317" t="s">
        <v>78</v>
      </c>
      <c r="G3317" t="s">
        <v>7522</v>
      </c>
      <c r="H3317" t="s">
        <v>143</v>
      </c>
      <c r="I3317" t="s">
        <v>261</v>
      </c>
      <c r="J3317" t="s">
        <v>145</v>
      </c>
      <c r="K3317" t="s">
        <v>262</v>
      </c>
      <c r="L3317" t="s">
        <v>7523</v>
      </c>
      <c r="M3317" t="s">
        <v>176</v>
      </c>
      <c r="N3317" t="s">
        <v>7524</v>
      </c>
      <c r="O3317" t="s">
        <v>263</v>
      </c>
      <c r="R3317" t="s">
        <v>7541</v>
      </c>
      <c r="S3317" t="s">
        <v>6958</v>
      </c>
      <c r="V3317" t="s">
        <v>6959</v>
      </c>
      <c r="W3317" t="s">
        <v>6981</v>
      </c>
      <c r="AD3317" t="s">
        <v>7542</v>
      </c>
    </row>
    <row r="3318" spans="1:30" x14ac:dyDescent="0.25">
      <c r="A3318" t="s">
        <v>33</v>
      </c>
      <c r="D3318" t="s">
        <v>6953</v>
      </c>
      <c r="E3318" t="s">
        <v>2859</v>
      </c>
      <c r="F3318" t="s">
        <v>78</v>
      </c>
      <c r="G3318" t="s">
        <v>7522</v>
      </c>
      <c r="H3318" t="s">
        <v>280</v>
      </c>
      <c r="I3318" t="s">
        <v>281</v>
      </c>
      <c r="J3318" t="s">
        <v>282</v>
      </c>
      <c r="K3318" t="s">
        <v>283</v>
      </c>
      <c r="L3318" t="s">
        <v>7523</v>
      </c>
      <c r="N3318" t="s">
        <v>7524</v>
      </c>
      <c r="O3318" t="s">
        <v>284</v>
      </c>
      <c r="Q3318" t="s">
        <v>285</v>
      </c>
      <c r="R3318" t="s">
        <v>7543</v>
      </c>
      <c r="S3318" t="s">
        <v>6958</v>
      </c>
      <c r="V3318" t="s">
        <v>6959</v>
      </c>
      <c r="W3318" t="s">
        <v>6981</v>
      </c>
      <c r="AD3318" t="s">
        <v>7544</v>
      </c>
    </row>
    <row r="3319" spans="1:30" x14ac:dyDescent="0.25">
      <c r="A3319" t="s">
        <v>33</v>
      </c>
      <c r="D3319" t="s">
        <v>6953</v>
      </c>
      <c r="E3319" t="s">
        <v>2859</v>
      </c>
      <c r="F3319" t="s">
        <v>87</v>
      </c>
      <c r="G3319" t="s">
        <v>7156</v>
      </c>
      <c r="H3319" t="s">
        <v>38</v>
      </c>
      <c r="I3319" t="s">
        <v>106</v>
      </c>
      <c r="J3319" t="s">
        <v>40</v>
      </c>
      <c r="K3319" t="s">
        <v>41</v>
      </c>
      <c r="L3319" t="s">
        <v>7157</v>
      </c>
      <c r="M3319" t="s">
        <v>176</v>
      </c>
      <c r="N3319" t="s">
        <v>7158</v>
      </c>
      <c r="O3319" t="s">
        <v>109</v>
      </c>
      <c r="R3319" t="s">
        <v>7545</v>
      </c>
      <c r="S3319" t="s">
        <v>6958</v>
      </c>
      <c r="V3319" t="s">
        <v>6959</v>
      </c>
      <c r="W3319" t="s">
        <v>6966</v>
      </c>
      <c r="Y3319">
        <v>0</v>
      </c>
      <c r="Z3319">
        <v>100</v>
      </c>
      <c r="AD3319" t="s">
        <v>7546</v>
      </c>
    </row>
    <row r="3320" spans="1:30" x14ac:dyDescent="0.25">
      <c r="A3320" t="s">
        <v>33</v>
      </c>
      <c r="B3320" t="s">
        <v>2319</v>
      </c>
      <c r="D3320" t="s">
        <v>6953</v>
      </c>
      <c r="E3320" t="s">
        <v>2893</v>
      </c>
      <c r="F3320" t="s">
        <v>866</v>
      </c>
      <c r="G3320" t="s">
        <v>7018</v>
      </c>
      <c r="H3320" t="s">
        <v>166</v>
      </c>
      <c r="I3320" t="s">
        <v>281</v>
      </c>
      <c r="J3320" t="s">
        <v>167</v>
      </c>
      <c r="K3320" t="s">
        <v>41</v>
      </c>
      <c r="L3320" t="s">
        <v>7019</v>
      </c>
      <c r="N3320" t="s">
        <v>7020</v>
      </c>
      <c r="O3320" t="s">
        <v>858</v>
      </c>
      <c r="Q3320" t="s">
        <v>2536</v>
      </c>
      <c r="R3320" t="s">
        <v>7547</v>
      </c>
      <c r="S3320" t="s">
        <v>6958</v>
      </c>
      <c r="V3320" t="s">
        <v>6959</v>
      </c>
      <c r="W3320" t="s">
        <v>6999</v>
      </c>
      <c r="AD3320" t="s">
        <v>7548</v>
      </c>
    </row>
    <row r="3321" spans="1:30" x14ac:dyDescent="0.25">
      <c r="A3321" t="s">
        <v>33</v>
      </c>
      <c r="D3321" t="s">
        <v>6953</v>
      </c>
      <c r="E3321" t="s">
        <v>2893</v>
      </c>
      <c r="F3321" t="s">
        <v>866</v>
      </c>
      <c r="G3321" t="s">
        <v>7022</v>
      </c>
      <c r="H3321" t="s">
        <v>166</v>
      </c>
      <c r="I3321" t="s">
        <v>281</v>
      </c>
      <c r="J3321" t="s">
        <v>167</v>
      </c>
      <c r="K3321" t="s">
        <v>41</v>
      </c>
      <c r="L3321" t="s">
        <v>7023</v>
      </c>
      <c r="N3321" t="s">
        <v>7020</v>
      </c>
      <c r="O3321" t="s">
        <v>858</v>
      </c>
      <c r="Q3321" t="s">
        <v>2536</v>
      </c>
      <c r="R3321" t="s">
        <v>7549</v>
      </c>
      <c r="S3321" t="s">
        <v>6958</v>
      </c>
      <c r="V3321" t="s">
        <v>6959</v>
      </c>
      <c r="W3321" t="s">
        <v>6999</v>
      </c>
      <c r="AD3321" t="s">
        <v>7548</v>
      </c>
    </row>
    <row r="3322" spans="1:30" x14ac:dyDescent="0.25">
      <c r="A3322" t="s">
        <v>33</v>
      </c>
      <c r="B3322" t="s">
        <v>2319</v>
      </c>
      <c r="D3322" t="s">
        <v>6953</v>
      </c>
      <c r="E3322" t="s">
        <v>2859</v>
      </c>
      <c r="F3322" t="s">
        <v>866</v>
      </c>
      <c r="G3322" t="s">
        <v>7024</v>
      </c>
      <c r="H3322" t="s">
        <v>166</v>
      </c>
      <c r="I3322" t="s">
        <v>281</v>
      </c>
      <c r="J3322" t="s">
        <v>167</v>
      </c>
      <c r="K3322" t="s">
        <v>41</v>
      </c>
      <c r="L3322" t="s">
        <v>7025</v>
      </c>
      <c r="N3322" t="s">
        <v>3406</v>
      </c>
      <c r="O3322" t="s">
        <v>858</v>
      </c>
      <c r="Q3322" t="s">
        <v>2536</v>
      </c>
      <c r="R3322" t="s">
        <v>7550</v>
      </c>
      <c r="S3322" t="s">
        <v>6958</v>
      </c>
      <c r="V3322" t="s">
        <v>6959</v>
      </c>
      <c r="W3322" t="s">
        <v>6981</v>
      </c>
      <c r="AD3322" t="s">
        <v>3425</v>
      </c>
    </row>
    <row r="3323" spans="1:30" x14ac:dyDescent="0.25">
      <c r="A3323" t="s">
        <v>33</v>
      </c>
      <c r="D3323" t="s">
        <v>6953</v>
      </c>
      <c r="E3323" t="s">
        <v>2859</v>
      </c>
      <c r="F3323" t="s">
        <v>866</v>
      </c>
      <c r="G3323" t="s">
        <v>7027</v>
      </c>
      <c r="H3323" t="s">
        <v>166</v>
      </c>
      <c r="I3323" t="s">
        <v>281</v>
      </c>
      <c r="J3323" t="s">
        <v>167</v>
      </c>
      <c r="K3323" t="s">
        <v>41</v>
      </c>
      <c r="L3323" t="s">
        <v>7028</v>
      </c>
      <c r="N3323" t="s">
        <v>3406</v>
      </c>
      <c r="O3323" t="s">
        <v>858</v>
      </c>
      <c r="Q3323" t="s">
        <v>2536</v>
      </c>
      <c r="R3323" t="s">
        <v>7551</v>
      </c>
      <c r="S3323" t="s">
        <v>6958</v>
      </c>
      <c r="V3323" t="s">
        <v>6959</v>
      </c>
      <c r="W3323" t="s">
        <v>6981</v>
      </c>
      <c r="AD3323" t="s">
        <v>3425</v>
      </c>
    </row>
    <row r="3324" spans="1:30" x14ac:dyDescent="0.25">
      <c r="A3324" t="s">
        <v>33</v>
      </c>
      <c r="D3324" t="s">
        <v>6953</v>
      </c>
      <c r="E3324" t="s">
        <v>2859</v>
      </c>
      <c r="F3324" t="s">
        <v>78</v>
      </c>
      <c r="G3324" t="s">
        <v>7552</v>
      </c>
      <c r="H3324" t="s">
        <v>143</v>
      </c>
      <c r="I3324" t="s">
        <v>276</v>
      </c>
      <c r="J3324" t="s">
        <v>145</v>
      </c>
      <c r="K3324" t="s">
        <v>146</v>
      </c>
      <c r="L3324" t="s">
        <v>7553</v>
      </c>
      <c r="N3324" t="s">
        <v>7554</v>
      </c>
      <c r="O3324" t="s">
        <v>277</v>
      </c>
      <c r="R3324" t="s">
        <v>7555</v>
      </c>
      <c r="S3324" t="s">
        <v>6958</v>
      </c>
      <c r="V3324" t="s">
        <v>6959</v>
      </c>
      <c r="W3324" t="s">
        <v>6966</v>
      </c>
      <c r="X3324" t="s">
        <v>270</v>
      </c>
      <c r="AD3324" t="s">
        <v>7556</v>
      </c>
    </row>
    <row r="3325" spans="1:30" x14ac:dyDescent="0.25">
      <c r="A3325" t="s">
        <v>33</v>
      </c>
      <c r="D3325" t="s">
        <v>6953</v>
      </c>
      <c r="E3325" t="s">
        <v>2859</v>
      </c>
      <c r="F3325" t="s">
        <v>78</v>
      </c>
      <c r="G3325" t="s">
        <v>7552</v>
      </c>
      <c r="H3325" t="s">
        <v>143</v>
      </c>
      <c r="I3325" t="s">
        <v>272</v>
      </c>
      <c r="J3325" t="s">
        <v>145</v>
      </c>
      <c r="K3325" t="s">
        <v>146</v>
      </c>
      <c r="L3325" t="s">
        <v>7553</v>
      </c>
      <c r="N3325" t="s">
        <v>7554</v>
      </c>
      <c r="O3325" t="s">
        <v>273</v>
      </c>
      <c r="R3325" t="s">
        <v>7557</v>
      </c>
      <c r="S3325" t="s">
        <v>6958</v>
      </c>
      <c r="V3325" t="s">
        <v>6959</v>
      </c>
      <c r="W3325" t="s">
        <v>6966</v>
      </c>
      <c r="X3325" t="s">
        <v>270</v>
      </c>
      <c r="AD3325" t="s">
        <v>7558</v>
      </c>
    </row>
    <row r="3326" spans="1:30" x14ac:dyDescent="0.25">
      <c r="A3326" t="s">
        <v>33</v>
      </c>
      <c r="D3326" t="s">
        <v>6953</v>
      </c>
      <c r="E3326" t="s">
        <v>2859</v>
      </c>
      <c r="F3326" t="s">
        <v>78</v>
      </c>
      <c r="G3326" t="s">
        <v>7552</v>
      </c>
      <c r="H3326" t="s">
        <v>143</v>
      </c>
      <c r="I3326" t="s">
        <v>267</v>
      </c>
      <c r="J3326" t="s">
        <v>145</v>
      </c>
      <c r="K3326" t="s">
        <v>146</v>
      </c>
      <c r="L3326" t="s">
        <v>7553</v>
      </c>
      <c r="N3326" t="s">
        <v>7554</v>
      </c>
      <c r="O3326" t="s">
        <v>268</v>
      </c>
      <c r="R3326" t="s">
        <v>7559</v>
      </c>
      <c r="S3326" t="s">
        <v>6958</v>
      </c>
      <c r="V3326" t="s">
        <v>6959</v>
      </c>
      <c r="W3326" t="s">
        <v>6966</v>
      </c>
      <c r="X3326" t="s">
        <v>270</v>
      </c>
      <c r="AD3326" t="s">
        <v>7560</v>
      </c>
    </row>
    <row r="3327" spans="1:30" x14ac:dyDescent="0.25">
      <c r="A3327" t="s">
        <v>33</v>
      </c>
      <c r="D3327" t="s">
        <v>6953</v>
      </c>
      <c r="E3327" t="s">
        <v>2859</v>
      </c>
      <c r="F3327" t="s">
        <v>78</v>
      </c>
      <c r="G3327" t="s">
        <v>7552</v>
      </c>
      <c r="H3327" t="s">
        <v>143</v>
      </c>
      <c r="I3327" t="s">
        <v>295</v>
      </c>
      <c r="J3327" t="s">
        <v>145</v>
      </c>
      <c r="K3327" t="s">
        <v>146</v>
      </c>
      <c r="L3327" t="s">
        <v>7553</v>
      </c>
      <c r="M3327" t="s">
        <v>82</v>
      </c>
      <c r="N3327" t="s">
        <v>7554</v>
      </c>
      <c r="O3327" t="s">
        <v>296</v>
      </c>
      <c r="R3327" t="s">
        <v>7561</v>
      </c>
      <c r="S3327" t="s">
        <v>6958</v>
      </c>
      <c r="V3327" t="s">
        <v>6959</v>
      </c>
      <c r="W3327" t="s">
        <v>6966</v>
      </c>
      <c r="AD3327" t="s">
        <v>7562</v>
      </c>
    </row>
    <row r="3328" spans="1:30" x14ac:dyDescent="0.25">
      <c r="A3328" t="s">
        <v>33</v>
      </c>
      <c r="D3328" t="s">
        <v>6953</v>
      </c>
      <c r="E3328" t="s">
        <v>2859</v>
      </c>
      <c r="F3328" t="s">
        <v>78</v>
      </c>
      <c r="G3328" t="s">
        <v>7552</v>
      </c>
      <c r="H3328" t="s">
        <v>143</v>
      </c>
      <c r="I3328" t="s">
        <v>299</v>
      </c>
      <c r="J3328" t="s">
        <v>145</v>
      </c>
      <c r="K3328" t="s">
        <v>146</v>
      </c>
      <c r="L3328" t="s">
        <v>7553</v>
      </c>
      <c r="M3328" t="s">
        <v>82</v>
      </c>
      <c r="N3328" t="s">
        <v>7554</v>
      </c>
      <c r="O3328" t="s">
        <v>300</v>
      </c>
      <c r="R3328" t="s">
        <v>7563</v>
      </c>
      <c r="S3328" t="s">
        <v>6958</v>
      </c>
      <c r="V3328" t="s">
        <v>6959</v>
      </c>
      <c r="W3328" t="s">
        <v>6966</v>
      </c>
      <c r="AD3328" t="s">
        <v>7564</v>
      </c>
    </row>
    <row r="3329" spans="1:30" x14ac:dyDescent="0.25">
      <c r="A3329" t="s">
        <v>33</v>
      </c>
      <c r="D3329" t="s">
        <v>6953</v>
      </c>
      <c r="E3329" t="s">
        <v>2859</v>
      </c>
      <c r="F3329" t="s">
        <v>78</v>
      </c>
      <c r="G3329" t="s">
        <v>7552</v>
      </c>
      <c r="H3329" t="s">
        <v>166</v>
      </c>
      <c r="I3329" t="s">
        <v>288</v>
      </c>
      <c r="J3329" t="s">
        <v>167</v>
      </c>
      <c r="K3329" t="s">
        <v>41</v>
      </c>
      <c r="L3329" t="s">
        <v>7553</v>
      </c>
      <c r="N3329" t="s">
        <v>7554</v>
      </c>
      <c r="O3329" t="s">
        <v>289</v>
      </c>
      <c r="Q3329" t="s">
        <v>285</v>
      </c>
      <c r="R3329" t="s">
        <v>7565</v>
      </c>
      <c r="S3329" t="s">
        <v>6958</v>
      </c>
      <c r="V3329" t="s">
        <v>6959</v>
      </c>
      <c r="W3329" t="s">
        <v>6966</v>
      </c>
      <c r="AD3329" t="s">
        <v>7566</v>
      </c>
    </row>
    <row r="3330" spans="1:30" x14ac:dyDescent="0.25">
      <c r="A3330" t="s">
        <v>33</v>
      </c>
      <c r="D3330" t="s">
        <v>6953</v>
      </c>
      <c r="E3330" t="s">
        <v>2859</v>
      </c>
      <c r="F3330" t="s">
        <v>78</v>
      </c>
      <c r="G3330" t="s">
        <v>7552</v>
      </c>
      <c r="H3330" t="s">
        <v>38</v>
      </c>
      <c r="I3330" t="s">
        <v>257</v>
      </c>
      <c r="J3330" t="s">
        <v>40</v>
      </c>
      <c r="K3330" t="s">
        <v>41</v>
      </c>
      <c r="L3330" t="s">
        <v>7553</v>
      </c>
      <c r="M3330" t="s">
        <v>82</v>
      </c>
      <c r="N3330" t="s">
        <v>7554</v>
      </c>
      <c r="O3330" t="s">
        <v>258</v>
      </c>
      <c r="R3330" t="s">
        <v>7567</v>
      </c>
      <c r="S3330" t="s">
        <v>6958</v>
      </c>
      <c r="V3330" t="s">
        <v>6959</v>
      </c>
      <c r="W3330" t="s">
        <v>6966</v>
      </c>
      <c r="AD3330" t="s">
        <v>7568</v>
      </c>
    </row>
    <row r="3331" spans="1:30" x14ac:dyDescent="0.25">
      <c r="A3331" t="s">
        <v>33</v>
      </c>
      <c r="D3331" t="s">
        <v>6953</v>
      </c>
      <c r="E3331" t="s">
        <v>2859</v>
      </c>
      <c r="F3331" t="s">
        <v>78</v>
      </c>
      <c r="G3331" t="s">
        <v>7552</v>
      </c>
      <c r="H3331" t="s">
        <v>38</v>
      </c>
      <c r="I3331" t="s">
        <v>250</v>
      </c>
      <c r="J3331" t="s">
        <v>40</v>
      </c>
      <c r="K3331" t="s">
        <v>41</v>
      </c>
      <c r="L3331" t="s">
        <v>7553</v>
      </c>
      <c r="M3331" t="s">
        <v>252</v>
      </c>
      <c r="N3331" t="s">
        <v>7554</v>
      </c>
      <c r="O3331" t="s">
        <v>254</v>
      </c>
      <c r="R3331" t="s">
        <v>7569</v>
      </c>
      <c r="S3331" t="s">
        <v>6958</v>
      </c>
      <c r="V3331" t="s">
        <v>6959</v>
      </c>
      <c r="W3331" t="s">
        <v>6966</v>
      </c>
      <c r="AD3331" t="s">
        <v>7570</v>
      </c>
    </row>
    <row r="3332" spans="1:30" x14ac:dyDescent="0.25">
      <c r="A3332" t="s">
        <v>33</v>
      </c>
      <c r="D3332" t="s">
        <v>6953</v>
      </c>
      <c r="E3332" t="s">
        <v>2859</v>
      </c>
      <c r="F3332" t="s">
        <v>78</v>
      </c>
      <c r="G3332" t="s">
        <v>7552</v>
      </c>
      <c r="H3332" t="s">
        <v>143</v>
      </c>
      <c r="I3332" t="s">
        <v>257</v>
      </c>
      <c r="J3332" t="s">
        <v>145</v>
      </c>
      <c r="K3332" t="s">
        <v>146</v>
      </c>
      <c r="L3332" t="s">
        <v>7553</v>
      </c>
      <c r="M3332" t="s">
        <v>82</v>
      </c>
      <c r="N3332" t="s">
        <v>7554</v>
      </c>
      <c r="O3332" t="s">
        <v>292</v>
      </c>
      <c r="R3332" t="s">
        <v>7571</v>
      </c>
      <c r="S3332" t="s">
        <v>6958</v>
      </c>
      <c r="V3332" t="s">
        <v>6959</v>
      </c>
      <c r="W3332" t="s">
        <v>6966</v>
      </c>
      <c r="AD3332" t="s">
        <v>7572</v>
      </c>
    </row>
    <row r="3333" spans="1:30" x14ac:dyDescent="0.25">
      <c r="A3333" t="s">
        <v>33</v>
      </c>
      <c r="D3333" t="s">
        <v>6953</v>
      </c>
      <c r="E3333" t="s">
        <v>2859</v>
      </c>
      <c r="F3333" t="s">
        <v>78</v>
      </c>
      <c r="G3333" t="s">
        <v>7552</v>
      </c>
      <c r="H3333" t="s">
        <v>143</v>
      </c>
      <c r="I3333" t="s">
        <v>261</v>
      </c>
      <c r="J3333" t="s">
        <v>145</v>
      </c>
      <c r="K3333" t="s">
        <v>262</v>
      </c>
      <c r="L3333" t="s">
        <v>7553</v>
      </c>
      <c r="M3333" t="s">
        <v>252</v>
      </c>
      <c r="N3333" t="s">
        <v>7554</v>
      </c>
      <c r="O3333" t="s">
        <v>263</v>
      </c>
      <c r="R3333" t="s">
        <v>7573</v>
      </c>
      <c r="S3333" t="s">
        <v>6958</v>
      </c>
      <c r="V3333" t="s">
        <v>6959</v>
      </c>
      <c r="W3333" t="s">
        <v>6966</v>
      </c>
      <c r="AD3333" t="s">
        <v>7574</v>
      </c>
    </row>
    <row r="3334" spans="1:30" x14ac:dyDescent="0.25">
      <c r="A3334" t="s">
        <v>33</v>
      </c>
      <c r="D3334" t="s">
        <v>6953</v>
      </c>
      <c r="E3334" t="s">
        <v>2859</v>
      </c>
      <c r="F3334" t="s">
        <v>78</v>
      </c>
      <c r="G3334" t="s">
        <v>7552</v>
      </c>
      <c r="H3334" t="s">
        <v>280</v>
      </c>
      <c r="I3334" t="s">
        <v>281</v>
      </c>
      <c r="J3334" t="s">
        <v>282</v>
      </c>
      <c r="K3334" t="s">
        <v>283</v>
      </c>
      <c r="L3334" t="s">
        <v>7553</v>
      </c>
      <c r="N3334" t="s">
        <v>7554</v>
      </c>
      <c r="O3334" t="s">
        <v>284</v>
      </c>
      <c r="Q3334" t="s">
        <v>285</v>
      </c>
      <c r="R3334" t="s">
        <v>7575</v>
      </c>
      <c r="S3334" t="s">
        <v>6958</v>
      </c>
      <c r="V3334" t="s">
        <v>6959</v>
      </c>
      <c r="W3334" t="s">
        <v>6966</v>
      </c>
      <c r="AD3334" t="s">
        <v>7576</v>
      </c>
    </row>
    <row r="3335" spans="1:30" x14ac:dyDescent="0.25">
      <c r="A3335" t="s">
        <v>33</v>
      </c>
      <c r="D3335" t="s">
        <v>6953</v>
      </c>
      <c r="E3335" t="s">
        <v>2859</v>
      </c>
      <c r="F3335" t="s">
        <v>78</v>
      </c>
      <c r="G3335" t="s">
        <v>7577</v>
      </c>
      <c r="H3335" t="s">
        <v>143</v>
      </c>
      <c r="I3335" t="s">
        <v>276</v>
      </c>
      <c r="J3335" t="s">
        <v>145</v>
      </c>
      <c r="K3335" t="s">
        <v>146</v>
      </c>
      <c r="L3335" t="s">
        <v>7578</v>
      </c>
      <c r="N3335" t="s">
        <v>7579</v>
      </c>
      <c r="O3335" t="s">
        <v>277</v>
      </c>
      <c r="R3335" t="s">
        <v>7580</v>
      </c>
      <c r="S3335" t="s">
        <v>6958</v>
      </c>
      <c r="V3335" t="s">
        <v>6959</v>
      </c>
      <c r="W3335" t="s">
        <v>6981</v>
      </c>
      <c r="X3335" t="s">
        <v>270</v>
      </c>
      <c r="AD3335" t="s">
        <v>7581</v>
      </c>
    </row>
    <row r="3336" spans="1:30" x14ac:dyDescent="0.25">
      <c r="A3336" t="s">
        <v>33</v>
      </c>
      <c r="D3336" t="s">
        <v>6953</v>
      </c>
      <c r="E3336" t="s">
        <v>2859</v>
      </c>
      <c r="F3336" t="s">
        <v>78</v>
      </c>
      <c r="G3336" t="s">
        <v>7577</v>
      </c>
      <c r="H3336" t="s">
        <v>143</v>
      </c>
      <c r="I3336" t="s">
        <v>272</v>
      </c>
      <c r="J3336" t="s">
        <v>145</v>
      </c>
      <c r="K3336" t="s">
        <v>146</v>
      </c>
      <c r="L3336" t="s">
        <v>7578</v>
      </c>
      <c r="N3336" t="s">
        <v>7579</v>
      </c>
      <c r="O3336" t="s">
        <v>273</v>
      </c>
      <c r="R3336" t="s">
        <v>7582</v>
      </c>
      <c r="S3336" t="s">
        <v>6958</v>
      </c>
      <c r="V3336" t="s">
        <v>6959</v>
      </c>
      <c r="W3336" t="s">
        <v>6981</v>
      </c>
      <c r="X3336" t="s">
        <v>270</v>
      </c>
      <c r="AD3336" t="s">
        <v>7583</v>
      </c>
    </row>
    <row r="3337" spans="1:30" x14ac:dyDescent="0.25">
      <c r="A3337" t="s">
        <v>33</v>
      </c>
      <c r="D3337" t="s">
        <v>6953</v>
      </c>
      <c r="E3337" t="s">
        <v>2859</v>
      </c>
      <c r="F3337" t="s">
        <v>78</v>
      </c>
      <c r="G3337" t="s">
        <v>7577</v>
      </c>
      <c r="H3337" t="s">
        <v>143</v>
      </c>
      <c r="I3337" t="s">
        <v>267</v>
      </c>
      <c r="J3337" t="s">
        <v>145</v>
      </c>
      <c r="K3337" t="s">
        <v>146</v>
      </c>
      <c r="L3337" t="s">
        <v>7578</v>
      </c>
      <c r="N3337" t="s">
        <v>7579</v>
      </c>
      <c r="O3337" t="s">
        <v>268</v>
      </c>
      <c r="R3337" t="s">
        <v>7584</v>
      </c>
      <c r="S3337" t="s">
        <v>6958</v>
      </c>
      <c r="V3337" t="s">
        <v>6959</v>
      </c>
      <c r="W3337" t="s">
        <v>6981</v>
      </c>
      <c r="X3337" t="s">
        <v>270</v>
      </c>
      <c r="AD3337" t="s">
        <v>7585</v>
      </c>
    </row>
    <row r="3338" spans="1:30" x14ac:dyDescent="0.25">
      <c r="A3338" t="s">
        <v>33</v>
      </c>
      <c r="D3338" t="s">
        <v>6953</v>
      </c>
      <c r="E3338" t="s">
        <v>2859</v>
      </c>
      <c r="F3338" t="s">
        <v>78</v>
      </c>
      <c r="G3338" t="s">
        <v>7577</v>
      </c>
      <c r="H3338" t="s">
        <v>143</v>
      </c>
      <c r="I3338" t="s">
        <v>295</v>
      </c>
      <c r="J3338" t="s">
        <v>145</v>
      </c>
      <c r="K3338" t="s">
        <v>146</v>
      </c>
      <c r="L3338" t="s">
        <v>7578</v>
      </c>
      <c r="M3338" t="s">
        <v>82</v>
      </c>
      <c r="N3338" t="s">
        <v>7579</v>
      </c>
      <c r="O3338" t="s">
        <v>296</v>
      </c>
      <c r="R3338" t="s">
        <v>7586</v>
      </c>
      <c r="S3338" t="s">
        <v>6958</v>
      </c>
      <c r="V3338" t="s">
        <v>6959</v>
      </c>
      <c r="W3338" t="s">
        <v>6981</v>
      </c>
      <c r="AD3338" t="s">
        <v>7587</v>
      </c>
    </row>
    <row r="3339" spans="1:30" x14ac:dyDescent="0.25">
      <c r="A3339" t="s">
        <v>33</v>
      </c>
      <c r="D3339" t="s">
        <v>6953</v>
      </c>
      <c r="E3339" t="s">
        <v>2859</v>
      </c>
      <c r="F3339" t="s">
        <v>78</v>
      </c>
      <c r="G3339" t="s">
        <v>7577</v>
      </c>
      <c r="H3339" t="s">
        <v>143</v>
      </c>
      <c r="I3339" t="s">
        <v>299</v>
      </c>
      <c r="J3339" t="s">
        <v>145</v>
      </c>
      <c r="K3339" t="s">
        <v>146</v>
      </c>
      <c r="L3339" t="s">
        <v>7578</v>
      </c>
      <c r="M3339" t="s">
        <v>82</v>
      </c>
      <c r="N3339" t="s">
        <v>7579</v>
      </c>
      <c r="O3339" t="s">
        <v>300</v>
      </c>
      <c r="R3339" t="s">
        <v>7588</v>
      </c>
      <c r="S3339" t="s">
        <v>6958</v>
      </c>
      <c r="V3339" t="s">
        <v>6959</v>
      </c>
      <c r="W3339" t="s">
        <v>6981</v>
      </c>
      <c r="AD3339" t="s">
        <v>7589</v>
      </c>
    </row>
    <row r="3340" spans="1:30" x14ac:dyDescent="0.25">
      <c r="A3340" t="s">
        <v>33</v>
      </c>
      <c r="D3340" t="s">
        <v>6953</v>
      </c>
      <c r="E3340" t="s">
        <v>2859</v>
      </c>
      <c r="F3340" t="s">
        <v>78</v>
      </c>
      <c r="G3340" t="s">
        <v>7577</v>
      </c>
      <c r="H3340" t="s">
        <v>38</v>
      </c>
      <c r="I3340" t="s">
        <v>257</v>
      </c>
      <c r="J3340" t="s">
        <v>40</v>
      </c>
      <c r="K3340" t="s">
        <v>41</v>
      </c>
      <c r="L3340" t="s">
        <v>7578</v>
      </c>
      <c r="M3340" t="s">
        <v>82</v>
      </c>
      <c r="N3340" t="s">
        <v>7579</v>
      </c>
      <c r="O3340" t="s">
        <v>258</v>
      </c>
      <c r="R3340" t="s">
        <v>7590</v>
      </c>
      <c r="S3340" t="s">
        <v>6958</v>
      </c>
      <c r="V3340" t="s">
        <v>6959</v>
      </c>
      <c r="W3340" t="s">
        <v>6981</v>
      </c>
      <c r="AD3340" t="s">
        <v>7591</v>
      </c>
    </row>
    <row r="3341" spans="1:30" x14ac:dyDescent="0.25">
      <c r="A3341" t="s">
        <v>33</v>
      </c>
      <c r="D3341" t="s">
        <v>6953</v>
      </c>
      <c r="E3341" t="s">
        <v>2859</v>
      </c>
      <c r="F3341" t="s">
        <v>78</v>
      </c>
      <c r="G3341" t="s">
        <v>7577</v>
      </c>
      <c r="H3341" t="s">
        <v>38</v>
      </c>
      <c r="I3341" t="s">
        <v>250</v>
      </c>
      <c r="J3341" t="s">
        <v>40</v>
      </c>
      <c r="K3341" t="s">
        <v>41</v>
      </c>
      <c r="L3341" t="s">
        <v>7578</v>
      </c>
      <c r="M3341" t="s">
        <v>252</v>
      </c>
      <c r="N3341" t="s">
        <v>7579</v>
      </c>
      <c r="O3341" t="s">
        <v>254</v>
      </c>
      <c r="R3341" t="s">
        <v>7592</v>
      </c>
      <c r="S3341" t="s">
        <v>6958</v>
      </c>
      <c r="V3341" t="s">
        <v>6959</v>
      </c>
      <c r="W3341" t="s">
        <v>6981</v>
      </c>
      <c r="AD3341" t="s">
        <v>7593</v>
      </c>
    </row>
    <row r="3342" spans="1:30" x14ac:dyDescent="0.25">
      <c r="A3342" t="s">
        <v>33</v>
      </c>
      <c r="D3342" t="s">
        <v>6953</v>
      </c>
      <c r="E3342" t="s">
        <v>2859</v>
      </c>
      <c r="F3342" t="s">
        <v>78</v>
      </c>
      <c r="G3342" t="s">
        <v>7577</v>
      </c>
      <c r="H3342" t="s">
        <v>143</v>
      </c>
      <c r="I3342" t="s">
        <v>257</v>
      </c>
      <c r="J3342" t="s">
        <v>145</v>
      </c>
      <c r="K3342" t="s">
        <v>146</v>
      </c>
      <c r="L3342" t="s">
        <v>7578</v>
      </c>
      <c r="M3342" t="s">
        <v>82</v>
      </c>
      <c r="N3342" t="s">
        <v>7579</v>
      </c>
      <c r="O3342" t="s">
        <v>292</v>
      </c>
      <c r="R3342" t="s">
        <v>7594</v>
      </c>
      <c r="S3342" t="s">
        <v>6958</v>
      </c>
      <c r="V3342" t="s">
        <v>6959</v>
      </c>
      <c r="W3342" t="s">
        <v>6981</v>
      </c>
      <c r="AD3342" t="s">
        <v>7595</v>
      </c>
    </row>
    <row r="3343" spans="1:30" x14ac:dyDescent="0.25">
      <c r="A3343" t="s">
        <v>33</v>
      </c>
      <c r="D3343" t="s">
        <v>6953</v>
      </c>
      <c r="E3343" t="s">
        <v>2859</v>
      </c>
      <c r="F3343" t="s">
        <v>78</v>
      </c>
      <c r="G3343" t="s">
        <v>7577</v>
      </c>
      <c r="H3343" t="s">
        <v>143</v>
      </c>
      <c r="I3343" t="s">
        <v>261</v>
      </c>
      <c r="J3343" t="s">
        <v>145</v>
      </c>
      <c r="K3343" t="s">
        <v>262</v>
      </c>
      <c r="L3343" t="s">
        <v>7578</v>
      </c>
      <c r="M3343" t="s">
        <v>252</v>
      </c>
      <c r="N3343" t="s">
        <v>7579</v>
      </c>
      <c r="O3343" t="s">
        <v>263</v>
      </c>
      <c r="R3343" t="s">
        <v>7596</v>
      </c>
      <c r="S3343" t="s">
        <v>6958</v>
      </c>
      <c r="V3343" t="s">
        <v>6959</v>
      </c>
      <c r="W3343" t="s">
        <v>6981</v>
      </c>
      <c r="AD3343" t="s">
        <v>7597</v>
      </c>
    </row>
    <row r="3344" spans="1:30" x14ac:dyDescent="0.25">
      <c r="A3344" t="s">
        <v>33</v>
      </c>
      <c r="D3344" t="s">
        <v>6953</v>
      </c>
      <c r="E3344" t="s">
        <v>2859</v>
      </c>
      <c r="F3344" t="s">
        <v>78</v>
      </c>
      <c r="G3344" t="s">
        <v>7577</v>
      </c>
      <c r="H3344" t="s">
        <v>280</v>
      </c>
      <c r="I3344" t="s">
        <v>281</v>
      </c>
      <c r="J3344" t="s">
        <v>282</v>
      </c>
      <c r="K3344" t="s">
        <v>283</v>
      </c>
      <c r="L3344" t="s">
        <v>7578</v>
      </c>
      <c r="N3344" t="s">
        <v>7579</v>
      </c>
      <c r="O3344" t="s">
        <v>284</v>
      </c>
      <c r="Q3344" t="s">
        <v>285</v>
      </c>
      <c r="R3344" t="s">
        <v>7598</v>
      </c>
      <c r="S3344" t="s">
        <v>6958</v>
      </c>
      <c r="V3344" t="s">
        <v>6959</v>
      </c>
      <c r="W3344" t="s">
        <v>6981</v>
      </c>
      <c r="AD3344" t="s">
        <v>7599</v>
      </c>
    </row>
    <row r="3345" spans="1:30" x14ac:dyDescent="0.25">
      <c r="A3345" t="s">
        <v>33</v>
      </c>
      <c r="D3345" t="s">
        <v>6953</v>
      </c>
      <c r="E3345" t="s">
        <v>2859</v>
      </c>
      <c r="F3345" t="s">
        <v>78</v>
      </c>
      <c r="G3345" t="s">
        <v>7600</v>
      </c>
      <c r="H3345" t="s">
        <v>143</v>
      </c>
      <c r="I3345" t="s">
        <v>276</v>
      </c>
      <c r="J3345" t="s">
        <v>145</v>
      </c>
      <c r="K3345" t="s">
        <v>146</v>
      </c>
      <c r="L3345" t="s">
        <v>7601</v>
      </c>
      <c r="N3345" t="s">
        <v>7602</v>
      </c>
      <c r="O3345" t="s">
        <v>277</v>
      </c>
      <c r="R3345" t="s">
        <v>7603</v>
      </c>
      <c r="S3345" t="s">
        <v>6958</v>
      </c>
      <c r="V3345" t="s">
        <v>6959</v>
      </c>
      <c r="W3345" t="s">
        <v>6981</v>
      </c>
      <c r="X3345" t="s">
        <v>270</v>
      </c>
      <c r="AD3345" t="s">
        <v>7604</v>
      </c>
    </row>
    <row r="3346" spans="1:30" x14ac:dyDescent="0.25">
      <c r="A3346" t="s">
        <v>33</v>
      </c>
      <c r="D3346" t="s">
        <v>6953</v>
      </c>
      <c r="E3346" t="s">
        <v>2859</v>
      </c>
      <c r="F3346" t="s">
        <v>78</v>
      </c>
      <c r="G3346" t="s">
        <v>7600</v>
      </c>
      <c r="H3346" t="s">
        <v>143</v>
      </c>
      <c r="I3346" t="s">
        <v>272</v>
      </c>
      <c r="J3346" t="s">
        <v>145</v>
      </c>
      <c r="K3346" t="s">
        <v>146</v>
      </c>
      <c r="L3346" t="s">
        <v>7601</v>
      </c>
      <c r="N3346" t="s">
        <v>7602</v>
      </c>
      <c r="O3346" t="s">
        <v>273</v>
      </c>
      <c r="R3346" t="s">
        <v>7605</v>
      </c>
      <c r="S3346" t="s">
        <v>6958</v>
      </c>
      <c r="V3346" t="s">
        <v>6959</v>
      </c>
      <c r="W3346" t="s">
        <v>6981</v>
      </c>
      <c r="X3346" t="s">
        <v>270</v>
      </c>
      <c r="AD3346" t="s">
        <v>7606</v>
      </c>
    </row>
    <row r="3347" spans="1:30" x14ac:dyDescent="0.25">
      <c r="A3347" t="s">
        <v>33</v>
      </c>
      <c r="D3347" t="s">
        <v>6953</v>
      </c>
      <c r="E3347" t="s">
        <v>2859</v>
      </c>
      <c r="F3347" t="s">
        <v>78</v>
      </c>
      <c r="G3347" t="s">
        <v>7600</v>
      </c>
      <c r="H3347" t="s">
        <v>143</v>
      </c>
      <c r="I3347" t="s">
        <v>267</v>
      </c>
      <c r="J3347" t="s">
        <v>145</v>
      </c>
      <c r="K3347" t="s">
        <v>146</v>
      </c>
      <c r="L3347" t="s">
        <v>7601</v>
      </c>
      <c r="N3347" t="s">
        <v>7602</v>
      </c>
      <c r="O3347" t="s">
        <v>268</v>
      </c>
      <c r="R3347" t="s">
        <v>7607</v>
      </c>
      <c r="S3347" t="s">
        <v>6958</v>
      </c>
      <c r="V3347" t="s">
        <v>6959</v>
      </c>
      <c r="W3347" t="s">
        <v>6981</v>
      </c>
      <c r="X3347" t="s">
        <v>270</v>
      </c>
      <c r="AD3347" t="s">
        <v>7608</v>
      </c>
    </row>
    <row r="3348" spans="1:30" x14ac:dyDescent="0.25">
      <c r="A3348" t="s">
        <v>33</v>
      </c>
      <c r="D3348" t="s">
        <v>6953</v>
      </c>
      <c r="E3348" t="s">
        <v>2859</v>
      </c>
      <c r="F3348" t="s">
        <v>78</v>
      </c>
      <c r="G3348" t="s">
        <v>7600</v>
      </c>
      <c r="H3348" t="s">
        <v>143</v>
      </c>
      <c r="I3348" t="s">
        <v>295</v>
      </c>
      <c r="J3348" t="s">
        <v>145</v>
      </c>
      <c r="K3348" t="s">
        <v>146</v>
      </c>
      <c r="L3348" t="s">
        <v>7601</v>
      </c>
      <c r="M3348" t="s">
        <v>82</v>
      </c>
      <c r="N3348" t="s">
        <v>7602</v>
      </c>
      <c r="O3348" t="s">
        <v>296</v>
      </c>
      <c r="R3348" t="s">
        <v>7609</v>
      </c>
      <c r="S3348" t="s">
        <v>6958</v>
      </c>
      <c r="V3348" t="s">
        <v>6959</v>
      </c>
      <c r="W3348" t="s">
        <v>6981</v>
      </c>
      <c r="AD3348" t="s">
        <v>7610</v>
      </c>
    </row>
    <row r="3349" spans="1:30" x14ac:dyDescent="0.25">
      <c r="A3349" t="s">
        <v>33</v>
      </c>
      <c r="D3349" t="s">
        <v>6953</v>
      </c>
      <c r="E3349" t="s">
        <v>2859</v>
      </c>
      <c r="F3349" t="s">
        <v>78</v>
      </c>
      <c r="G3349" t="s">
        <v>7600</v>
      </c>
      <c r="H3349" t="s">
        <v>143</v>
      </c>
      <c r="I3349" t="s">
        <v>299</v>
      </c>
      <c r="J3349" t="s">
        <v>145</v>
      </c>
      <c r="K3349" t="s">
        <v>146</v>
      </c>
      <c r="L3349" t="s">
        <v>7601</v>
      </c>
      <c r="M3349" t="s">
        <v>82</v>
      </c>
      <c r="N3349" t="s">
        <v>7602</v>
      </c>
      <c r="O3349" t="s">
        <v>300</v>
      </c>
      <c r="R3349" t="s">
        <v>7611</v>
      </c>
      <c r="S3349" t="s">
        <v>6958</v>
      </c>
      <c r="V3349" t="s">
        <v>6959</v>
      </c>
      <c r="W3349" t="s">
        <v>6981</v>
      </c>
      <c r="AD3349" t="s">
        <v>7612</v>
      </c>
    </row>
    <row r="3350" spans="1:30" x14ac:dyDescent="0.25">
      <c r="A3350" t="s">
        <v>33</v>
      </c>
      <c r="D3350" t="s">
        <v>6953</v>
      </c>
      <c r="E3350" t="s">
        <v>2859</v>
      </c>
      <c r="F3350" t="s">
        <v>78</v>
      </c>
      <c r="G3350" t="s">
        <v>7600</v>
      </c>
      <c r="H3350" t="s">
        <v>166</v>
      </c>
      <c r="I3350" t="s">
        <v>288</v>
      </c>
      <c r="J3350" t="s">
        <v>167</v>
      </c>
      <c r="K3350" t="s">
        <v>41</v>
      </c>
      <c r="L3350" t="s">
        <v>7601</v>
      </c>
      <c r="N3350" t="s">
        <v>7602</v>
      </c>
      <c r="O3350" t="s">
        <v>289</v>
      </c>
      <c r="Q3350" t="s">
        <v>285</v>
      </c>
      <c r="R3350" t="s">
        <v>7613</v>
      </c>
      <c r="S3350" t="s">
        <v>6958</v>
      </c>
      <c r="V3350" t="s">
        <v>6959</v>
      </c>
      <c r="W3350" t="s">
        <v>6981</v>
      </c>
      <c r="AD3350" t="s">
        <v>7614</v>
      </c>
    </row>
    <row r="3351" spans="1:30" x14ac:dyDescent="0.25">
      <c r="A3351" t="s">
        <v>33</v>
      </c>
      <c r="D3351" t="s">
        <v>6953</v>
      </c>
      <c r="E3351" t="s">
        <v>2859</v>
      </c>
      <c r="F3351" t="s">
        <v>78</v>
      </c>
      <c r="G3351" t="s">
        <v>7600</v>
      </c>
      <c r="H3351" t="s">
        <v>38</v>
      </c>
      <c r="I3351" t="s">
        <v>257</v>
      </c>
      <c r="J3351" t="s">
        <v>40</v>
      </c>
      <c r="K3351" t="s">
        <v>41</v>
      </c>
      <c r="L3351" t="s">
        <v>7601</v>
      </c>
      <c r="M3351" t="s">
        <v>82</v>
      </c>
      <c r="N3351" t="s">
        <v>7602</v>
      </c>
      <c r="O3351" t="s">
        <v>258</v>
      </c>
      <c r="R3351" t="s">
        <v>7615</v>
      </c>
      <c r="S3351" t="s">
        <v>6958</v>
      </c>
      <c r="V3351" t="s">
        <v>6959</v>
      </c>
      <c r="W3351" t="s">
        <v>6981</v>
      </c>
      <c r="AD3351" t="s">
        <v>7616</v>
      </c>
    </row>
    <row r="3352" spans="1:30" x14ac:dyDescent="0.25">
      <c r="A3352" t="s">
        <v>33</v>
      </c>
      <c r="D3352" t="s">
        <v>6953</v>
      </c>
      <c r="E3352" t="s">
        <v>2859</v>
      </c>
      <c r="F3352" t="s">
        <v>78</v>
      </c>
      <c r="G3352" t="s">
        <v>7600</v>
      </c>
      <c r="H3352" t="s">
        <v>38</v>
      </c>
      <c r="I3352" t="s">
        <v>250</v>
      </c>
      <c r="J3352" t="s">
        <v>40</v>
      </c>
      <c r="K3352" t="s">
        <v>41</v>
      </c>
      <c r="L3352" t="s">
        <v>7601</v>
      </c>
      <c r="M3352" t="s">
        <v>252</v>
      </c>
      <c r="N3352" t="s">
        <v>7602</v>
      </c>
      <c r="O3352" t="s">
        <v>254</v>
      </c>
      <c r="R3352" t="s">
        <v>7617</v>
      </c>
      <c r="S3352" t="s">
        <v>6958</v>
      </c>
      <c r="V3352" t="s">
        <v>6959</v>
      </c>
      <c r="W3352" t="s">
        <v>6981</v>
      </c>
      <c r="AD3352" t="s">
        <v>7618</v>
      </c>
    </row>
    <row r="3353" spans="1:30" x14ac:dyDescent="0.25">
      <c r="A3353" t="s">
        <v>33</v>
      </c>
      <c r="D3353" t="s">
        <v>6953</v>
      </c>
      <c r="E3353" t="s">
        <v>2859</v>
      </c>
      <c r="F3353" t="s">
        <v>78</v>
      </c>
      <c r="G3353" t="s">
        <v>7600</v>
      </c>
      <c r="H3353" t="s">
        <v>143</v>
      </c>
      <c r="I3353" t="s">
        <v>257</v>
      </c>
      <c r="J3353" t="s">
        <v>145</v>
      </c>
      <c r="K3353" t="s">
        <v>146</v>
      </c>
      <c r="L3353" t="s">
        <v>7601</v>
      </c>
      <c r="M3353" t="s">
        <v>82</v>
      </c>
      <c r="N3353" t="s">
        <v>7602</v>
      </c>
      <c r="O3353" t="s">
        <v>292</v>
      </c>
      <c r="R3353" t="s">
        <v>7619</v>
      </c>
      <c r="S3353" t="s">
        <v>6958</v>
      </c>
      <c r="V3353" t="s">
        <v>6959</v>
      </c>
      <c r="W3353" t="s">
        <v>6981</v>
      </c>
      <c r="AD3353" t="s">
        <v>7620</v>
      </c>
    </row>
    <row r="3354" spans="1:30" x14ac:dyDescent="0.25">
      <c r="A3354" t="s">
        <v>33</v>
      </c>
      <c r="D3354" t="s">
        <v>6953</v>
      </c>
      <c r="E3354" t="s">
        <v>2859</v>
      </c>
      <c r="F3354" t="s">
        <v>78</v>
      </c>
      <c r="G3354" t="s">
        <v>7600</v>
      </c>
      <c r="H3354" t="s">
        <v>143</v>
      </c>
      <c r="I3354" t="s">
        <v>261</v>
      </c>
      <c r="J3354" t="s">
        <v>145</v>
      </c>
      <c r="K3354" t="s">
        <v>262</v>
      </c>
      <c r="L3354" t="s">
        <v>7601</v>
      </c>
      <c r="M3354" t="s">
        <v>252</v>
      </c>
      <c r="N3354" t="s">
        <v>7602</v>
      </c>
      <c r="O3354" t="s">
        <v>263</v>
      </c>
      <c r="R3354" t="s">
        <v>7621</v>
      </c>
      <c r="S3354" t="s">
        <v>6958</v>
      </c>
      <c r="V3354" t="s">
        <v>6959</v>
      </c>
      <c r="W3354" t="s">
        <v>6981</v>
      </c>
      <c r="AD3354" t="s">
        <v>7622</v>
      </c>
    </row>
    <row r="3355" spans="1:30" x14ac:dyDescent="0.25">
      <c r="A3355" t="s">
        <v>33</v>
      </c>
      <c r="D3355" t="s">
        <v>6953</v>
      </c>
      <c r="E3355" t="s">
        <v>2859</v>
      </c>
      <c r="F3355" t="s">
        <v>78</v>
      </c>
      <c r="G3355" t="s">
        <v>7600</v>
      </c>
      <c r="H3355" t="s">
        <v>280</v>
      </c>
      <c r="I3355" t="s">
        <v>281</v>
      </c>
      <c r="J3355" t="s">
        <v>282</v>
      </c>
      <c r="K3355" t="s">
        <v>283</v>
      </c>
      <c r="L3355" t="s">
        <v>7601</v>
      </c>
      <c r="N3355" t="s">
        <v>7602</v>
      </c>
      <c r="O3355" t="s">
        <v>284</v>
      </c>
      <c r="Q3355" t="s">
        <v>285</v>
      </c>
      <c r="R3355" t="s">
        <v>7623</v>
      </c>
      <c r="S3355" t="s">
        <v>6958</v>
      </c>
      <c r="V3355" t="s">
        <v>6959</v>
      </c>
      <c r="W3355" t="s">
        <v>6981</v>
      </c>
      <c r="AD3355" t="s">
        <v>7624</v>
      </c>
    </row>
    <row r="3356" spans="1:30" x14ac:dyDescent="0.25">
      <c r="A3356" t="s">
        <v>33</v>
      </c>
      <c r="D3356" t="s">
        <v>6953</v>
      </c>
      <c r="E3356" t="s">
        <v>2859</v>
      </c>
      <c r="F3356" t="s">
        <v>78</v>
      </c>
      <c r="G3356" t="s">
        <v>7625</v>
      </c>
      <c r="H3356" t="s">
        <v>143</v>
      </c>
      <c r="I3356" t="s">
        <v>276</v>
      </c>
      <c r="J3356" t="s">
        <v>145</v>
      </c>
      <c r="K3356" t="s">
        <v>146</v>
      </c>
      <c r="L3356" t="s">
        <v>7626</v>
      </c>
      <c r="N3356" t="s">
        <v>7627</v>
      </c>
      <c r="O3356" t="s">
        <v>277</v>
      </c>
      <c r="R3356" t="s">
        <v>7628</v>
      </c>
      <c r="S3356" t="s">
        <v>6958</v>
      </c>
      <c r="V3356" t="s">
        <v>6959</v>
      </c>
      <c r="W3356" t="s">
        <v>6981</v>
      </c>
      <c r="X3356" t="s">
        <v>270</v>
      </c>
      <c r="AD3356" t="s">
        <v>7629</v>
      </c>
    </row>
    <row r="3357" spans="1:30" x14ac:dyDescent="0.25">
      <c r="A3357" t="s">
        <v>33</v>
      </c>
      <c r="D3357" t="s">
        <v>6953</v>
      </c>
      <c r="E3357" t="s">
        <v>2859</v>
      </c>
      <c r="F3357" t="s">
        <v>78</v>
      </c>
      <c r="G3357" t="s">
        <v>7625</v>
      </c>
      <c r="H3357" t="s">
        <v>143</v>
      </c>
      <c r="I3357" t="s">
        <v>272</v>
      </c>
      <c r="J3357" t="s">
        <v>145</v>
      </c>
      <c r="K3357" t="s">
        <v>146</v>
      </c>
      <c r="L3357" t="s">
        <v>7626</v>
      </c>
      <c r="N3357" t="s">
        <v>7627</v>
      </c>
      <c r="O3357" t="s">
        <v>273</v>
      </c>
      <c r="R3357" t="s">
        <v>7630</v>
      </c>
      <c r="S3357" t="s">
        <v>6958</v>
      </c>
      <c r="V3357" t="s">
        <v>6959</v>
      </c>
      <c r="W3357" t="s">
        <v>6981</v>
      </c>
      <c r="X3357" t="s">
        <v>270</v>
      </c>
      <c r="AD3357" t="s">
        <v>7631</v>
      </c>
    </row>
    <row r="3358" spans="1:30" x14ac:dyDescent="0.25">
      <c r="A3358" t="s">
        <v>33</v>
      </c>
      <c r="D3358" t="s">
        <v>6953</v>
      </c>
      <c r="E3358" t="s">
        <v>2859</v>
      </c>
      <c r="F3358" t="s">
        <v>78</v>
      </c>
      <c r="G3358" t="s">
        <v>7625</v>
      </c>
      <c r="H3358" t="s">
        <v>143</v>
      </c>
      <c r="I3358" t="s">
        <v>267</v>
      </c>
      <c r="J3358" t="s">
        <v>145</v>
      </c>
      <c r="K3358" t="s">
        <v>146</v>
      </c>
      <c r="L3358" t="s">
        <v>7626</v>
      </c>
      <c r="N3358" t="s">
        <v>7627</v>
      </c>
      <c r="O3358" t="s">
        <v>268</v>
      </c>
      <c r="R3358" t="s">
        <v>7632</v>
      </c>
      <c r="S3358" t="s">
        <v>6958</v>
      </c>
      <c r="V3358" t="s">
        <v>6959</v>
      </c>
      <c r="W3358" t="s">
        <v>6981</v>
      </c>
      <c r="X3358" t="s">
        <v>270</v>
      </c>
      <c r="AD3358" t="s">
        <v>7633</v>
      </c>
    </row>
    <row r="3359" spans="1:30" x14ac:dyDescent="0.25">
      <c r="A3359" t="s">
        <v>33</v>
      </c>
      <c r="D3359" t="s">
        <v>6953</v>
      </c>
      <c r="E3359" t="s">
        <v>2859</v>
      </c>
      <c r="F3359" t="s">
        <v>78</v>
      </c>
      <c r="G3359" t="s">
        <v>7625</v>
      </c>
      <c r="H3359" t="s">
        <v>143</v>
      </c>
      <c r="I3359" t="s">
        <v>295</v>
      </c>
      <c r="J3359" t="s">
        <v>145</v>
      </c>
      <c r="K3359" t="s">
        <v>146</v>
      </c>
      <c r="L3359" t="s">
        <v>7626</v>
      </c>
      <c r="M3359" t="s">
        <v>82</v>
      </c>
      <c r="N3359" t="s">
        <v>7627</v>
      </c>
      <c r="O3359" t="s">
        <v>296</v>
      </c>
      <c r="R3359" t="s">
        <v>7634</v>
      </c>
      <c r="S3359" t="s">
        <v>6958</v>
      </c>
      <c r="V3359" t="s">
        <v>6959</v>
      </c>
      <c r="W3359" t="s">
        <v>6981</v>
      </c>
      <c r="AD3359" t="s">
        <v>7635</v>
      </c>
    </row>
    <row r="3360" spans="1:30" x14ac:dyDescent="0.25">
      <c r="A3360" t="s">
        <v>33</v>
      </c>
      <c r="D3360" t="s">
        <v>6953</v>
      </c>
      <c r="E3360" t="s">
        <v>2859</v>
      </c>
      <c r="F3360" t="s">
        <v>78</v>
      </c>
      <c r="G3360" t="s">
        <v>7625</v>
      </c>
      <c r="H3360" t="s">
        <v>143</v>
      </c>
      <c r="I3360" t="s">
        <v>299</v>
      </c>
      <c r="J3360" t="s">
        <v>145</v>
      </c>
      <c r="K3360" t="s">
        <v>146</v>
      </c>
      <c r="L3360" t="s">
        <v>7626</v>
      </c>
      <c r="M3360" t="s">
        <v>82</v>
      </c>
      <c r="N3360" t="s">
        <v>7627</v>
      </c>
      <c r="O3360" t="s">
        <v>300</v>
      </c>
      <c r="R3360" t="s">
        <v>7636</v>
      </c>
      <c r="S3360" t="s">
        <v>6958</v>
      </c>
      <c r="V3360" t="s">
        <v>6959</v>
      </c>
      <c r="W3360" t="s">
        <v>6981</v>
      </c>
      <c r="AD3360" t="s">
        <v>7637</v>
      </c>
    </row>
    <row r="3361" spans="1:30" x14ac:dyDescent="0.25">
      <c r="A3361" t="s">
        <v>33</v>
      </c>
      <c r="D3361" t="s">
        <v>6953</v>
      </c>
      <c r="E3361" t="s">
        <v>2859</v>
      </c>
      <c r="F3361" t="s">
        <v>78</v>
      </c>
      <c r="G3361" t="s">
        <v>7625</v>
      </c>
      <c r="H3361" t="s">
        <v>166</v>
      </c>
      <c r="I3361" t="s">
        <v>288</v>
      </c>
      <c r="J3361" t="s">
        <v>167</v>
      </c>
      <c r="K3361" t="s">
        <v>41</v>
      </c>
      <c r="L3361" t="s">
        <v>7626</v>
      </c>
      <c r="N3361" t="s">
        <v>7627</v>
      </c>
      <c r="O3361" t="s">
        <v>289</v>
      </c>
      <c r="Q3361" t="s">
        <v>285</v>
      </c>
      <c r="R3361" t="s">
        <v>7638</v>
      </c>
      <c r="S3361" t="s">
        <v>6958</v>
      </c>
      <c r="V3361" t="s">
        <v>6959</v>
      </c>
      <c r="W3361" t="s">
        <v>6981</v>
      </c>
      <c r="AD3361" t="s">
        <v>7639</v>
      </c>
    </row>
    <row r="3362" spans="1:30" x14ac:dyDescent="0.25">
      <c r="A3362" t="s">
        <v>33</v>
      </c>
      <c r="D3362" t="s">
        <v>6953</v>
      </c>
      <c r="E3362" t="s">
        <v>2859</v>
      </c>
      <c r="F3362" t="s">
        <v>78</v>
      </c>
      <c r="G3362" t="s">
        <v>7625</v>
      </c>
      <c r="H3362" t="s">
        <v>38</v>
      </c>
      <c r="I3362" t="s">
        <v>257</v>
      </c>
      <c r="J3362" t="s">
        <v>40</v>
      </c>
      <c r="K3362" t="s">
        <v>41</v>
      </c>
      <c r="L3362" t="s">
        <v>7626</v>
      </c>
      <c r="M3362" t="s">
        <v>82</v>
      </c>
      <c r="N3362" t="s">
        <v>7627</v>
      </c>
      <c r="O3362" t="s">
        <v>258</v>
      </c>
      <c r="R3362" t="s">
        <v>7640</v>
      </c>
      <c r="S3362" t="s">
        <v>6958</v>
      </c>
      <c r="V3362" t="s">
        <v>6959</v>
      </c>
      <c r="W3362" t="s">
        <v>6981</v>
      </c>
      <c r="AD3362" t="s">
        <v>7641</v>
      </c>
    </row>
    <row r="3363" spans="1:30" x14ac:dyDescent="0.25">
      <c r="A3363" t="s">
        <v>33</v>
      </c>
      <c r="D3363" t="s">
        <v>6953</v>
      </c>
      <c r="E3363" t="s">
        <v>2859</v>
      </c>
      <c r="F3363" t="s">
        <v>78</v>
      </c>
      <c r="G3363" t="s">
        <v>7625</v>
      </c>
      <c r="H3363" t="s">
        <v>38</v>
      </c>
      <c r="I3363" t="s">
        <v>250</v>
      </c>
      <c r="J3363" t="s">
        <v>40</v>
      </c>
      <c r="K3363" t="s">
        <v>41</v>
      </c>
      <c r="L3363" t="s">
        <v>7626</v>
      </c>
      <c r="M3363" t="s">
        <v>252</v>
      </c>
      <c r="N3363" t="s">
        <v>7627</v>
      </c>
      <c r="O3363" t="s">
        <v>254</v>
      </c>
      <c r="R3363" t="s">
        <v>7642</v>
      </c>
      <c r="S3363" t="s">
        <v>6958</v>
      </c>
      <c r="V3363" t="s">
        <v>6959</v>
      </c>
      <c r="W3363" t="s">
        <v>6981</v>
      </c>
      <c r="AD3363" t="s">
        <v>7643</v>
      </c>
    </row>
    <row r="3364" spans="1:30" x14ac:dyDescent="0.25">
      <c r="A3364" t="s">
        <v>33</v>
      </c>
      <c r="D3364" t="s">
        <v>6953</v>
      </c>
      <c r="E3364" t="s">
        <v>2859</v>
      </c>
      <c r="F3364" t="s">
        <v>78</v>
      </c>
      <c r="G3364" t="s">
        <v>7625</v>
      </c>
      <c r="H3364" t="s">
        <v>143</v>
      </c>
      <c r="I3364" t="s">
        <v>257</v>
      </c>
      <c r="J3364" t="s">
        <v>145</v>
      </c>
      <c r="K3364" t="s">
        <v>146</v>
      </c>
      <c r="L3364" t="s">
        <v>7626</v>
      </c>
      <c r="M3364" t="s">
        <v>82</v>
      </c>
      <c r="N3364" t="s">
        <v>7627</v>
      </c>
      <c r="O3364" t="s">
        <v>292</v>
      </c>
      <c r="R3364" t="s">
        <v>7644</v>
      </c>
      <c r="S3364" t="s">
        <v>6958</v>
      </c>
      <c r="V3364" t="s">
        <v>6959</v>
      </c>
      <c r="W3364" t="s">
        <v>6981</v>
      </c>
      <c r="AD3364" t="s">
        <v>7645</v>
      </c>
    </row>
    <row r="3365" spans="1:30" x14ac:dyDescent="0.25">
      <c r="A3365" t="s">
        <v>33</v>
      </c>
      <c r="D3365" t="s">
        <v>6953</v>
      </c>
      <c r="E3365" t="s">
        <v>2859</v>
      </c>
      <c r="F3365" t="s">
        <v>78</v>
      </c>
      <c r="G3365" t="s">
        <v>7625</v>
      </c>
      <c r="H3365" t="s">
        <v>143</v>
      </c>
      <c r="I3365" t="s">
        <v>261</v>
      </c>
      <c r="J3365" t="s">
        <v>145</v>
      </c>
      <c r="K3365" t="s">
        <v>262</v>
      </c>
      <c r="L3365" t="s">
        <v>7626</v>
      </c>
      <c r="M3365" t="s">
        <v>252</v>
      </c>
      <c r="N3365" t="s">
        <v>7627</v>
      </c>
      <c r="O3365" t="s">
        <v>263</v>
      </c>
      <c r="R3365" t="s">
        <v>7646</v>
      </c>
      <c r="S3365" t="s">
        <v>6958</v>
      </c>
      <c r="V3365" t="s">
        <v>6959</v>
      </c>
      <c r="W3365" t="s">
        <v>6981</v>
      </c>
      <c r="AD3365" t="s">
        <v>7647</v>
      </c>
    </row>
    <row r="3366" spans="1:30" x14ac:dyDescent="0.25">
      <c r="A3366" t="s">
        <v>33</v>
      </c>
      <c r="D3366" t="s">
        <v>6953</v>
      </c>
      <c r="E3366" t="s">
        <v>2859</v>
      </c>
      <c r="F3366" t="s">
        <v>78</v>
      </c>
      <c r="G3366" t="s">
        <v>7625</v>
      </c>
      <c r="H3366" t="s">
        <v>280</v>
      </c>
      <c r="I3366" t="s">
        <v>281</v>
      </c>
      <c r="J3366" t="s">
        <v>282</v>
      </c>
      <c r="K3366" t="s">
        <v>283</v>
      </c>
      <c r="L3366" t="s">
        <v>7626</v>
      </c>
      <c r="N3366" t="s">
        <v>7627</v>
      </c>
      <c r="O3366" t="s">
        <v>284</v>
      </c>
      <c r="Q3366" t="s">
        <v>285</v>
      </c>
      <c r="R3366" t="s">
        <v>7648</v>
      </c>
      <c r="S3366" t="s">
        <v>6958</v>
      </c>
      <c r="V3366" t="s">
        <v>6959</v>
      </c>
      <c r="W3366" t="s">
        <v>6981</v>
      </c>
      <c r="AD3366" t="s">
        <v>7649</v>
      </c>
    </row>
    <row r="3367" spans="1:30" x14ac:dyDescent="0.25">
      <c r="A3367" t="s">
        <v>33</v>
      </c>
      <c r="D3367" t="s">
        <v>6953</v>
      </c>
      <c r="E3367" t="s">
        <v>2859</v>
      </c>
      <c r="F3367" t="s">
        <v>248</v>
      </c>
      <c r="G3367" t="s">
        <v>7650</v>
      </c>
      <c r="H3367" t="s">
        <v>143</v>
      </c>
      <c r="I3367" t="s">
        <v>276</v>
      </c>
      <c r="J3367" t="s">
        <v>145</v>
      </c>
      <c r="K3367" t="s">
        <v>146</v>
      </c>
      <c r="L3367" t="s">
        <v>7651</v>
      </c>
      <c r="N3367" t="s">
        <v>7652</v>
      </c>
      <c r="O3367" t="s">
        <v>277</v>
      </c>
      <c r="R3367" t="s">
        <v>7653</v>
      </c>
      <c r="S3367" t="s">
        <v>6958</v>
      </c>
      <c r="V3367" t="s">
        <v>6959</v>
      </c>
      <c r="W3367" t="s">
        <v>6966</v>
      </c>
      <c r="X3367" t="s">
        <v>270</v>
      </c>
      <c r="AD3367" t="s">
        <v>7654</v>
      </c>
    </row>
    <row r="3368" spans="1:30" x14ac:dyDescent="0.25">
      <c r="A3368" t="s">
        <v>33</v>
      </c>
      <c r="D3368" t="s">
        <v>6953</v>
      </c>
      <c r="E3368" t="s">
        <v>2859</v>
      </c>
      <c r="F3368" t="s">
        <v>248</v>
      </c>
      <c r="G3368" t="s">
        <v>7650</v>
      </c>
      <c r="H3368" t="s">
        <v>143</v>
      </c>
      <c r="I3368" t="s">
        <v>272</v>
      </c>
      <c r="J3368" t="s">
        <v>145</v>
      </c>
      <c r="K3368" t="s">
        <v>146</v>
      </c>
      <c r="L3368" t="s">
        <v>7651</v>
      </c>
      <c r="N3368" t="s">
        <v>7652</v>
      </c>
      <c r="O3368" t="s">
        <v>273</v>
      </c>
      <c r="R3368" t="s">
        <v>7655</v>
      </c>
      <c r="S3368" t="s">
        <v>6958</v>
      </c>
      <c r="V3368" t="s">
        <v>6959</v>
      </c>
      <c r="W3368" t="s">
        <v>6966</v>
      </c>
      <c r="X3368" t="s">
        <v>270</v>
      </c>
      <c r="AD3368" t="s">
        <v>7656</v>
      </c>
    </row>
    <row r="3369" spans="1:30" x14ac:dyDescent="0.25">
      <c r="A3369" t="s">
        <v>33</v>
      </c>
      <c r="D3369" t="s">
        <v>6953</v>
      </c>
      <c r="E3369" t="s">
        <v>2859</v>
      </c>
      <c r="F3369" t="s">
        <v>248</v>
      </c>
      <c r="G3369" t="s">
        <v>7650</v>
      </c>
      <c r="H3369" t="s">
        <v>143</v>
      </c>
      <c r="I3369" t="s">
        <v>267</v>
      </c>
      <c r="J3369" t="s">
        <v>145</v>
      </c>
      <c r="K3369" t="s">
        <v>146</v>
      </c>
      <c r="L3369" t="s">
        <v>7651</v>
      </c>
      <c r="N3369" t="s">
        <v>7652</v>
      </c>
      <c r="O3369" t="s">
        <v>268</v>
      </c>
      <c r="R3369" t="s">
        <v>7657</v>
      </c>
      <c r="S3369" t="s">
        <v>6958</v>
      </c>
      <c r="V3369" t="s">
        <v>6959</v>
      </c>
      <c r="W3369" t="s">
        <v>6966</v>
      </c>
      <c r="X3369" t="s">
        <v>270</v>
      </c>
      <c r="AD3369" t="s">
        <v>7658</v>
      </c>
    </row>
    <row r="3370" spans="1:30" x14ac:dyDescent="0.25">
      <c r="A3370" t="s">
        <v>33</v>
      </c>
      <c r="D3370" t="s">
        <v>6953</v>
      </c>
      <c r="E3370" t="s">
        <v>2859</v>
      </c>
      <c r="F3370" t="s">
        <v>248</v>
      </c>
      <c r="G3370" t="s">
        <v>7650</v>
      </c>
      <c r="H3370" t="s">
        <v>143</v>
      </c>
      <c r="I3370" t="s">
        <v>295</v>
      </c>
      <c r="J3370" t="s">
        <v>145</v>
      </c>
      <c r="K3370" t="s">
        <v>146</v>
      </c>
      <c r="L3370" t="s">
        <v>7651</v>
      </c>
      <c r="M3370" t="s">
        <v>82</v>
      </c>
      <c r="N3370" t="s">
        <v>7652</v>
      </c>
      <c r="O3370" t="s">
        <v>296</v>
      </c>
      <c r="R3370" t="s">
        <v>7659</v>
      </c>
      <c r="S3370" t="s">
        <v>6958</v>
      </c>
      <c r="V3370" t="s">
        <v>6959</v>
      </c>
      <c r="W3370" t="s">
        <v>6966</v>
      </c>
      <c r="AD3370" t="s">
        <v>7660</v>
      </c>
    </row>
    <row r="3371" spans="1:30" x14ac:dyDescent="0.25">
      <c r="A3371" t="s">
        <v>33</v>
      </c>
      <c r="D3371" t="s">
        <v>6953</v>
      </c>
      <c r="E3371" t="s">
        <v>2859</v>
      </c>
      <c r="F3371" t="s">
        <v>248</v>
      </c>
      <c r="G3371" t="s">
        <v>7650</v>
      </c>
      <c r="H3371" t="s">
        <v>143</v>
      </c>
      <c r="I3371" t="s">
        <v>299</v>
      </c>
      <c r="J3371" t="s">
        <v>145</v>
      </c>
      <c r="K3371" t="s">
        <v>146</v>
      </c>
      <c r="L3371" t="s">
        <v>7651</v>
      </c>
      <c r="M3371" t="s">
        <v>82</v>
      </c>
      <c r="N3371" t="s">
        <v>7652</v>
      </c>
      <c r="O3371" t="s">
        <v>300</v>
      </c>
      <c r="R3371" t="s">
        <v>7661</v>
      </c>
      <c r="S3371" t="s">
        <v>6958</v>
      </c>
      <c r="V3371" t="s">
        <v>6959</v>
      </c>
      <c r="W3371" t="s">
        <v>6966</v>
      </c>
      <c r="AD3371" t="s">
        <v>7662</v>
      </c>
    </row>
    <row r="3372" spans="1:30" x14ac:dyDescent="0.25">
      <c r="A3372" t="s">
        <v>33</v>
      </c>
      <c r="D3372" t="s">
        <v>6953</v>
      </c>
      <c r="E3372" t="s">
        <v>2859</v>
      </c>
      <c r="F3372" t="s">
        <v>248</v>
      </c>
      <c r="G3372" t="s">
        <v>7650</v>
      </c>
      <c r="H3372" t="s">
        <v>38</v>
      </c>
      <c r="I3372" t="s">
        <v>257</v>
      </c>
      <c r="J3372" t="s">
        <v>40</v>
      </c>
      <c r="K3372" t="s">
        <v>41</v>
      </c>
      <c r="L3372" t="s">
        <v>7651</v>
      </c>
      <c r="M3372" t="s">
        <v>82</v>
      </c>
      <c r="N3372" t="s">
        <v>7652</v>
      </c>
      <c r="O3372" t="s">
        <v>258</v>
      </c>
      <c r="R3372" t="s">
        <v>7663</v>
      </c>
      <c r="S3372" t="s">
        <v>6958</v>
      </c>
      <c r="V3372" t="s">
        <v>6959</v>
      </c>
      <c r="W3372" t="s">
        <v>6966</v>
      </c>
      <c r="AD3372" t="s">
        <v>7664</v>
      </c>
    </row>
    <row r="3373" spans="1:30" x14ac:dyDescent="0.25">
      <c r="A3373" t="s">
        <v>33</v>
      </c>
      <c r="D3373" t="s">
        <v>6953</v>
      </c>
      <c r="E3373" t="s">
        <v>2859</v>
      </c>
      <c r="F3373" t="s">
        <v>248</v>
      </c>
      <c r="G3373" t="s">
        <v>7650</v>
      </c>
      <c r="H3373" t="s">
        <v>38</v>
      </c>
      <c r="I3373" t="s">
        <v>250</v>
      </c>
      <c r="J3373" t="s">
        <v>40</v>
      </c>
      <c r="K3373" t="s">
        <v>41</v>
      </c>
      <c r="L3373" t="s">
        <v>7651</v>
      </c>
      <c r="M3373" t="s">
        <v>176</v>
      </c>
      <c r="N3373" t="s">
        <v>7652</v>
      </c>
      <c r="O3373" t="s">
        <v>254</v>
      </c>
      <c r="R3373" t="s">
        <v>7665</v>
      </c>
      <c r="S3373" t="s">
        <v>6958</v>
      </c>
      <c r="V3373" t="s">
        <v>6959</v>
      </c>
      <c r="W3373" t="s">
        <v>6966</v>
      </c>
      <c r="AD3373" t="s">
        <v>7666</v>
      </c>
    </row>
    <row r="3374" spans="1:30" x14ac:dyDescent="0.25">
      <c r="A3374" t="s">
        <v>33</v>
      </c>
      <c r="D3374" t="s">
        <v>6953</v>
      </c>
      <c r="E3374" t="s">
        <v>2859</v>
      </c>
      <c r="F3374" t="s">
        <v>248</v>
      </c>
      <c r="G3374" t="s">
        <v>7650</v>
      </c>
      <c r="H3374" t="s">
        <v>143</v>
      </c>
      <c r="I3374" t="s">
        <v>257</v>
      </c>
      <c r="J3374" t="s">
        <v>145</v>
      </c>
      <c r="K3374" t="s">
        <v>146</v>
      </c>
      <c r="L3374" t="s">
        <v>7651</v>
      </c>
      <c r="M3374" t="s">
        <v>82</v>
      </c>
      <c r="N3374" t="s">
        <v>7652</v>
      </c>
      <c r="O3374" t="s">
        <v>292</v>
      </c>
      <c r="R3374" t="s">
        <v>7667</v>
      </c>
      <c r="S3374" t="s">
        <v>6958</v>
      </c>
      <c r="V3374" t="s">
        <v>6959</v>
      </c>
      <c r="W3374" t="s">
        <v>6966</v>
      </c>
      <c r="AD3374" t="s">
        <v>7668</v>
      </c>
    </row>
    <row r="3375" spans="1:30" x14ac:dyDescent="0.25">
      <c r="A3375" t="s">
        <v>33</v>
      </c>
      <c r="D3375" t="s">
        <v>6953</v>
      </c>
      <c r="E3375" t="s">
        <v>2859</v>
      </c>
      <c r="F3375" t="s">
        <v>248</v>
      </c>
      <c r="G3375" t="s">
        <v>7650</v>
      </c>
      <c r="H3375" t="s">
        <v>143</v>
      </c>
      <c r="I3375" t="s">
        <v>261</v>
      </c>
      <c r="J3375" t="s">
        <v>145</v>
      </c>
      <c r="K3375" t="s">
        <v>146</v>
      </c>
      <c r="L3375" t="s">
        <v>7651</v>
      </c>
      <c r="M3375" t="s">
        <v>176</v>
      </c>
      <c r="N3375" t="s">
        <v>7652</v>
      </c>
      <c r="O3375" t="s">
        <v>263</v>
      </c>
      <c r="R3375" t="s">
        <v>7669</v>
      </c>
      <c r="S3375" t="s">
        <v>6958</v>
      </c>
      <c r="V3375" t="s">
        <v>6959</v>
      </c>
      <c r="W3375" t="s">
        <v>6966</v>
      </c>
      <c r="AD3375" t="s">
        <v>7670</v>
      </c>
    </row>
    <row r="3376" spans="1:30" x14ac:dyDescent="0.25">
      <c r="A3376" t="s">
        <v>33</v>
      </c>
      <c r="D3376" t="s">
        <v>6953</v>
      </c>
      <c r="E3376" t="s">
        <v>2859</v>
      </c>
      <c r="F3376" t="s">
        <v>248</v>
      </c>
      <c r="G3376" t="s">
        <v>7650</v>
      </c>
      <c r="H3376" t="s">
        <v>280</v>
      </c>
      <c r="I3376" t="s">
        <v>281</v>
      </c>
      <c r="J3376" t="s">
        <v>282</v>
      </c>
      <c r="K3376" t="s">
        <v>283</v>
      </c>
      <c r="L3376" t="s">
        <v>7651</v>
      </c>
      <c r="N3376" t="s">
        <v>7652</v>
      </c>
      <c r="O3376" t="s">
        <v>284</v>
      </c>
      <c r="Q3376" t="s">
        <v>285</v>
      </c>
      <c r="R3376" t="s">
        <v>7671</v>
      </c>
      <c r="S3376" t="s">
        <v>6958</v>
      </c>
      <c r="V3376" t="s">
        <v>6959</v>
      </c>
      <c r="W3376" t="s">
        <v>6966</v>
      </c>
      <c r="AD3376" t="s">
        <v>7672</v>
      </c>
    </row>
    <row r="3377" spans="1:30" x14ac:dyDescent="0.25">
      <c r="A3377" t="s">
        <v>33</v>
      </c>
      <c r="D3377" t="s">
        <v>6953</v>
      </c>
      <c r="E3377" t="s">
        <v>2859</v>
      </c>
      <c r="F3377" t="s">
        <v>87</v>
      </c>
      <c r="G3377" t="s">
        <v>1540</v>
      </c>
      <c r="H3377" t="s">
        <v>38</v>
      </c>
      <c r="I3377" t="s">
        <v>106</v>
      </c>
      <c r="J3377" t="s">
        <v>40</v>
      </c>
      <c r="K3377" t="s">
        <v>41</v>
      </c>
      <c r="L3377" t="s">
        <v>1541</v>
      </c>
      <c r="M3377" t="s">
        <v>252</v>
      </c>
      <c r="N3377" t="s">
        <v>6920</v>
      </c>
      <c r="O3377" t="s">
        <v>109</v>
      </c>
      <c r="R3377" t="s">
        <v>7673</v>
      </c>
      <c r="S3377" t="s">
        <v>6958</v>
      </c>
      <c r="V3377" t="s">
        <v>6959</v>
      </c>
      <c r="W3377" t="s">
        <v>6960</v>
      </c>
      <c r="AD3377" t="s">
        <v>7674</v>
      </c>
    </row>
    <row r="3378" spans="1:30" x14ac:dyDescent="0.25">
      <c r="A3378" t="s">
        <v>33</v>
      </c>
      <c r="D3378" t="s">
        <v>6953</v>
      </c>
      <c r="E3378" t="s">
        <v>2859</v>
      </c>
      <c r="F3378" t="s">
        <v>87</v>
      </c>
      <c r="G3378" t="s">
        <v>7328</v>
      </c>
      <c r="H3378" t="s">
        <v>38</v>
      </c>
      <c r="I3378" t="s">
        <v>106</v>
      </c>
      <c r="J3378" t="s">
        <v>40</v>
      </c>
      <c r="K3378" t="s">
        <v>41</v>
      </c>
      <c r="L3378" t="s">
        <v>7329</v>
      </c>
      <c r="M3378" t="s">
        <v>252</v>
      </c>
      <c r="N3378" t="s">
        <v>7330</v>
      </c>
      <c r="O3378" t="s">
        <v>109</v>
      </c>
      <c r="R3378" t="s">
        <v>7675</v>
      </c>
      <c r="S3378" t="s">
        <v>6958</v>
      </c>
      <c r="V3378" t="s">
        <v>6959</v>
      </c>
      <c r="W3378" t="s">
        <v>6960</v>
      </c>
      <c r="AD3378" t="s">
        <v>7676</v>
      </c>
    </row>
    <row r="3379" spans="1:30" x14ac:dyDescent="0.25">
      <c r="A3379" t="s">
        <v>33</v>
      </c>
      <c r="D3379" t="s">
        <v>6953</v>
      </c>
      <c r="E3379" t="s">
        <v>2859</v>
      </c>
      <c r="F3379" t="s">
        <v>87</v>
      </c>
      <c r="G3379" t="s">
        <v>7309</v>
      </c>
      <c r="H3379" t="s">
        <v>38</v>
      </c>
      <c r="I3379" t="s">
        <v>106</v>
      </c>
      <c r="J3379" t="s">
        <v>40</v>
      </c>
      <c r="K3379" t="s">
        <v>41</v>
      </c>
      <c r="L3379" t="s">
        <v>7310</v>
      </c>
      <c r="M3379" t="s">
        <v>252</v>
      </c>
      <c r="N3379" t="s">
        <v>7311</v>
      </c>
      <c r="O3379" t="s">
        <v>109</v>
      </c>
      <c r="R3379" t="s">
        <v>7677</v>
      </c>
      <c r="S3379" t="s">
        <v>6958</v>
      </c>
      <c r="V3379" t="s">
        <v>6959</v>
      </c>
      <c r="W3379" t="s">
        <v>6960</v>
      </c>
      <c r="AD3379" t="s">
        <v>7678</v>
      </c>
    </row>
    <row r="3380" spans="1:30" x14ac:dyDescent="0.25">
      <c r="A3380" t="s">
        <v>33</v>
      </c>
      <c r="D3380" t="s">
        <v>6953</v>
      </c>
      <c r="E3380" t="s">
        <v>2869</v>
      </c>
      <c r="F3380" t="s">
        <v>87</v>
      </c>
      <c r="G3380" t="s">
        <v>7679</v>
      </c>
      <c r="H3380" t="s">
        <v>153</v>
      </c>
      <c r="I3380" t="s">
        <v>90</v>
      </c>
      <c r="J3380" t="s">
        <v>154</v>
      </c>
      <c r="K3380" t="s">
        <v>155</v>
      </c>
      <c r="L3380" t="s">
        <v>7680</v>
      </c>
      <c r="N3380" t="s">
        <v>7681</v>
      </c>
      <c r="O3380" t="s">
        <v>213</v>
      </c>
      <c r="R3380" t="s">
        <v>7682</v>
      </c>
      <c r="S3380" t="s">
        <v>6958</v>
      </c>
      <c r="V3380" t="s">
        <v>6959</v>
      </c>
      <c r="W3380" t="s">
        <v>7009</v>
      </c>
      <c r="AD3380" t="s">
        <v>7683</v>
      </c>
    </row>
    <row r="3381" spans="1:30" x14ac:dyDescent="0.25">
      <c r="A3381" t="s">
        <v>33</v>
      </c>
      <c r="D3381" t="s">
        <v>6953</v>
      </c>
      <c r="E3381" t="s">
        <v>2859</v>
      </c>
      <c r="F3381" t="s">
        <v>87</v>
      </c>
      <c r="G3381" t="s">
        <v>7684</v>
      </c>
      <c r="H3381" t="s">
        <v>153</v>
      </c>
      <c r="I3381" t="s">
        <v>90</v>
      </c>
      <c r="J3381" t="s">
        <v>154</v>
      </c>
      <c r="K3381" t="s">
        <v>155</v>
      </c>
      <c r="L3381" t="s">
        <v>7685</v>
      </c>
      <c r="N3381" t="s">
        <v>7686</v>
      </c>
      <c r="O3381" t="s">
        <v>213</v>
      </c>
      <c r="R3381" t="s">
        <v>7687</v>
      </c>
      <c r="S3381" t="s">
        <v>6958</v>
      </c>
      <c r="V3381" t="s">
        <v>6959</v>
      </c>
      <c r="W3381" t="s">
        <v>6981</v>
      </c>
      <c r="AD3381" t="s">
        <v>7688</v>
      </c>
    </row>
    <row r="3382" spans="1:30" x14ac:dyDescent="0.25">
      <c r="A3382" t="s">
        <v>33</v>
      </c>
      <c r="D3382" t="s">
        <v>6953</v>
      </c>
      <c r="E3382" t="s">
        <v>2859</v>
      </c>
      <c r="F3382" t="s">
        <v>87</v>
      </c>
      <c r="G3382" t="s">
        <v>7684</v>
      </c>
      <c r="H3382" t="s">
        <v>89</v>
      </c>
      <c r="I3382" t="s">
        <v>90</v>
      </c>
      <c r="J3382" t="s">
        <v>91</v>
      </c>
      <c r="K3382" t="s">
        <v>92</v>
      </c>
      <c r="L3382" t="s">
        <v>7685</v>
      </c>
      <c r="M3382" t="s">
        <v>94</v>
      </c>
      <c r="N3382" t="s">
        <v>7686</v>
      </c>
      <c r="O3382" t="s">
        <v>96</v>
      </c>
      <c r="P3382">
        <v>1E-3</v>
      </c>
      <c r="R3382" t="s">
        <v>7689</v>
      </c>
      <c r="S3382" t="s">
        <v>6958</v>
      </c>
      <c r="V3382" t="s">
        <v>6959</v>
      </c>
      <c r="W3382" t="s">
        <v>6981</v>
      </c>
      <c r="AD3382" t="s">
        <v>7690</v>
      </c>
    </row>
    <row r="3383" spans="1:30" x14ac:dyDescent="0.25">
      <c r="A3383" t="s">
        <v>33</v>
      </c>
      <c r="D3383" t="s">
        <v>6953</v>
      </c>
      <c r="E3383" t="s">
        <v>2869</v>
      </c>
      <c r="F3383" t="s">
        <v>87</v>
      </c>
      <c r="G3383" t="s">
        <v>6903</v>
      </c>
      <c r="H3383" t="s">
        <v>153</v>
      </c>
      <c r="I3383" t="s">
        <v>144</v>
      </c>
      <c r="J3383" t="s">
        <v>154</v>
      </c>
      <c r="K3383" t="s">
        <v>155</v>
      </c>
      <c r="L3383" t="s">
        <v>6904</v>
      </c>
      <c r="N3383" t="s">
        <v>4087</v>
      </c>
      <c r="O3383" t="s">
        <v>156</v>
      </c>
      <c r="R3383" t="s">
        <v>7691</v>
      </c>
      <c r="S3383" t="s">
        <v>6958</v>
      </c>
      <c r="V3383" t="s">
        <v>6959</v>
      </c>
      <c r="W3383" t="s">
        <v>7009</v>
      </c>
      <c r="AD3383" t="s">
        <v>4873</v>
      </c>
    </row>
    <row r="3384" spans="1:30" x14ac:dyDescent="0.25">
      <c r="A3384" t="s">
        <v>33</v>
      </c>
      <c r="D3384" t="s">
        <v>6953</v>
      </c>
      <c r="E3384" t="s">
        <v>2869</v>
      </c>
      <c r="F3384" t="s">
        <v>87</v>
      </c>
      <c r="G3384" t="s">
        <v>6903</v>
      </c>
      <c r="H3384" t="s">
        <v>143</v>
      </c>
      <c r="I3384" t="s">
        <v>144</v>
      </c>
      <c r="J3384" t="s">
        <v>145</v>
      </c>
      <c r="K3384" t="s">
        <v>262</v>
      </c>
      <c r="L3384" t="s">
        <v>6904</v>
      </c>
      <c r="M3384" t="s">
        <v>252</v>
      </c>
      <c r="N3384" t="s">
        <v>4087</v>
      </c>
      <c r="O3384" t="s">
        <v>147</v>
      </c>
      <c r="R3384" t="s">
        <v>7692</v>
      </c>
      <c r="S3384" t="s">
        <v>6958</v>
      </c>
      <c r="V3384" t="s">
        <v>6959</v>
      </c>
      <c r="W3384" t="s">
        <v>7009</v>
      </c>
      <c r="AD3384" t="s">
        <v>4882</v>
      </c>
    </row>
    <row r="3385" spans="1:30" x14ac:dyDescent="0.25">
      <c r="A3385" t="s">
        <v>33</v>
      </c>
      <c r="D3385" t="s">
        <v>6953</v>
      </c>
      <c r="E3385" t="s">
        <v>2869</v>
      </c>
      <c r="F3385" t="s">
        <v>87</v>
      </c>
      <c r="G3385" t="s">
        <v>6903</v>
      </c>
      <c r="H3385" t="s">
        <v>89</v>
      </c>
      <c r="I3385" t="s">
        <v>144</v>
      </c>
      <c r="J3385" t="s">
        <v>91</v>
      </c>
      <c r="K3385" t="s">
        <v>92</v>
      </c>
      <c r="L3385" t="s">
        <v>6904</v>
      </c>
      <c r="M3385" t="s">
        <v>94</v>
      </c>
      <c r="N3385" t="s">
        <v>4087</v>
      </c>
      <c r="O3385" t="s">
        <v>150</v>
      </c>
      <c r="P3385">
        <v>1E-3</v>
      </c>
      <c r="R3385" t="s">
        <v>7693</v>
      </c>
      <c r="S3385" t="s">
        <v>6958</v>
      </c>
      <c r="V3385" t="s">
        <v>6959</v>
      </c>
      <c r="W3385" t="s">
        <v>7009</v>
      </c>
      <c r="AD3385" t="s">
        <v>4885</v>
      </c>
    </row>
    <row r="3386" spans="1:30" x14ac:dyDescent="0.25">
      <c r="A3386" t="s">
        <v>33</v>
      </c>
      <c r="D3386" t="s">
        <v>6953</v>
      </c>
      <c r="E3386" t="s">
        <v>2869</v>
      </c>
      <c r="F3386" t="s">
        <v>87</v>
      </c>
      <c r="G3386" t="s">
        <v>6903</v>
      </c>
      <c r="H3386" t="s">
        <v>153</v>
      </c>
      <c r="I3386" t="s">
        <v>180</v>
      </c>
      <c r="J3386" t="s">
        <v>154</v>
      </c>
      <c r="K3386" t="s">
        <v>155</v>
      </c>
      <c r="L3386" t="s">
        <v>6904</v>
      </c>
      <c r="N3386" t="s">
        <v>4087</v>
      </c>
      <c r="O3386" t="s">
        <v>187</v>
      </c>
      <c r="R3386" t="s">
        <v>7694</v>
      </c>
      <c r="S3386" t="s">
        <v>6958</v>
      </c>
      <c r="V3386" t="s">
        <v>6959</v>
      </c>
      <c r="W3386" t="s">
        <v>7009</v>
      </c>
      <c r="AD3386" t="s">
        <v>4888</v>
      </c>
    </row>
    <row r="3387" spans="1:30" x14ac:dyDescent="0.25">
      <c r="A3387" t="s">
        <v>33</v>
      </c>
      <c r="D3387" t="s">
        <v>6953</v>
      </c>
      <c r="E3387" t="s">
        <v>2869</v>
      </c>
      <c r="F3387" t="s">
        <v>87</v>
      </c>
      <c r="G3387" t="s">
        <v>6903</v>
      </c>
      <c r="H3387" t="s">
        <v>143</v>
      </c>
      <c r="I3387" t="s">
        <v>180</v>
      </c>
      <c r="J3387" t="s">
        <v>145</v>
      </c>
      <c r="K3387" t="s">
        <v>262</v>
      </c>
      <c r="L3387" t="s">
        <v>6904</v>
      </c>
      <c r="M3387" t="s">
        <v>252</v>
      </c>
      <c r="N3387" t="s">
        <v>4087</v>
      </c>
      <c r="O3387" t="s">
        <v>181</v>
      </c>
      <c r="R3387" t="s">
        <v>7695</v>
      </c>
      <c r="S3387" t="s">
        <v>6958</v>
      </c>
      <c r="V3387" t="s">
        <v>6959</v>
      </c>
      <c r="W3387" t="s">
        <v>7009</v>
      </c>
      <c r="AD3387" t="s">
        <v>4896</v>
      </c>
    </row>
    <row r="3388" spans="1:30" x14ac:dyDescent="0.25">
      <c r="A3388" t="s">
        <v>33</v>
      </c>
      <c r="D3388" t="s">
        <v>6953</v>
      </c>
      <c r="E3388" t="s">
        <v>2869</v>
      </c>
      <c r="F3388" t="s">
        <v>87</v>
      </c>
      <c r="G3388" t="s">
        <v>6903</v>
      </c>
      <c r="H3388" t="s">
        <v>89</v>
      </c>
      <c r="I3388" t="s">
        <v>180</v>
      </c>
      <c r="J3388" t="s">
        <v>91</v>
      </c>
      <c r="K3388" t="s">
        <v>92</v>
      </c>
      <c r="L3388" t="s">
        <v>6904</v>
      </c>
      <c r="M3388" t="s">
        <v>94</v>
      </c>
      <c r="N3388" t="s">
        <v>4087</v>
      </c>
      <c r="O3388" t="s">
        <v>184</v>
      </c>
      <c r="P3388">
        <v>1E-3</v>
      </c>
      <c r="R3388" t="s">
        <v>7696</v>
      </c>
      <c r="S3388" t="s">
        <v>6958</v>
      </c>
      <c r="V3388" t="s">
        <v>6959</v>
      </c>
      <c r="W3388" t="s">
        <v>7009</v>
      </c>
      <c r="AD3388" t="s">
        <v>4899</v>
      </c>
    </row>
    <row r="3389" spans="1:30" x14ac:dyDescent="0.25">
      <c r="A3389" t="s">
        <v>33</v>
      </c>
      <c r="D3389" t="s">
        <v>6953</v>
      </c>
      <c r="E3389" t="s">
        <v>2869</v>
      </c>
      <c r="F3389" t="s">
        <v>87</v>
      </c>
      <c r="G3389" t="s">
        <v>6903</v>
      </c>
      <c r="H3389" t="s">
        <v>38</v>
      </c>
      <c r="I3389" t="s">
        <v>106</v>
      </c>
      <c r="J3389" t="s">
        <v>40</v>
      </c>
      <c r="K3389" t="s">
        <v>41</v>
      </c>
      <c r="L3389" t="s">
        <v>6904</v>
      </c>
      <c r="M3389" t="s">
        <v>252</v>
      </c>
      <c r="N3389" t="s">
        <v>4087</v>
      </c>
      <c r="O3389" t="s">
        <v>109</v>
      </c>
      <c r="R3389" t="s">
        <v>7697</v>
      </c>
      <c r="S3389" t="s">
        <v>6958</v>
      </c>
      <c r="V3389" t="s">
        <v>6959</v>
      </c>
      <c r="W3389" t="s">
        <v>7009</v>
      </c>
      <c r="AD3389" t="s">
        <v>4902</v>
      </c>
    </row>
    <row r="3390" spans="1:30" x14ac:dyDescent="0.25">
      <c r="A3390" t="s">
        <v>33</v>
      </c>
      <c r="D3390" t="s">
        <v>6953</v>
      </c>
      <c r="E3390" t="s">
        <v>2859</v>
      </c>
      <c r="F3390" t="s">
        <v>87</v>
      </c>
      <c r="G3390" t="s">
        <v>7314</v>
      </c>
      <c r="H3390" t="s">
        <v>153</v>
      </c>
      <c r="I3390" t="s">
        <v>180</v>
      </c>
      <c r="J3390" t="s">
        <v>154</v>
      </c>
      <c r="K3390" t="s">
        <v>155</v>
      </c>
      <c r="L3390" t="s">
        <v>7315</v>
      </c>
      <c r="N3390" t="s">
        <v>7316</v>
      </c>
      <c r="O3390" t="s">
        <v>187</v>
      </c>
      <c r="R3390" t="s">
        <v>7698</v>
      </c>
      <c r="S3390" t="s">
        <v>6958</v>
      </c>
      <c r="V3390" t="s">
        <v>6959</v>
      </c>
      <c r="W3390" t="s">
        <v>6981</v>
      </c>
      <c r="AD3390" t="s">
        <v>7699</v>
      </c>
    </row>
    <row r="3391" spans="1:30" x14ac:dyDescent="0.25">
      <c r="A3391" t="s">
        <v>33</v>
      </c>
      <c r="D3391" t="s">
        <v>6953</v>
      </c>
      <c r="E3391" t="s">
        <v>2859</v>
      </c>
      <c r="F3391" t="s">
        <v>87</v>
      </c>
      <c r="G3391" t="s">
        <v>7314</v>
      </c>
      <c r="H3391" t="s">
        <v>143</v>
      </c>
      <c r="I3391" t="s">
        <v>180</v>
      </c>
      <c r="J3391" t="s">
        <v>145</v>
      </c>
      <c r="K3391" t="s">
        <v>262</v>
      </c>
      <c r="L3391" t="s">
        <v>7315</v>
      </c>
      <c r="M3391" t="s">
        <v>252</v>
      </c>
      <c r="N3391" t="s">
        <v>7316</v>
      </c>
      <c r="O3391" t="s">
        <v>181</v>
      </c>
      <c r="R3391" t="s">
        <v>7700</v>
      </c>
      <c r="S3391" t="s">
        <v>6958</v>
      </c>
      <c r="V3391" t="s">
        <v>6959</v>
      </c>
      <c r="W3391" t="s">
        <v>6981</v>
      </c>
      <c r="AD3391" t="s">
        <v>7701</v>
      </c>
    </row>
    <row r="3392" spans="1:30" x14ac:dyDescent="0.25">
      <c r="A3392" t="s">
        <v>33</v>
      </c>
      <c r="D3392" t="s">
        <v>6953</v>
      </c>
      <c r="E3392" t="s">
        <v>2859</v>
      </c>
      <c r="F3392" t="s">
        <v>87</v>
      </c>
      <c r="G3392" t="s">
        <v>7314</v>
      </c>
      <c r="H3392" t="s">
        <v>89</v>
      </c>
      <c r="I3392" t="s">
        <v>180</v>
      </c>
      <c r="J3392" t="s">
        <v>91</v>
      </c>
      <c r="K3392" t="s">
        <v>92</v>
      </c>
      <c r="L3392" t="s">
        <v>7315</v>
      </c>
      <c r="M3392" t="s">
        <v>94</v>
      </c>
      <c r="N3392" t="s">
        <v>7316</v>
      </c>
      <c r="O3392" t="s">
        <v>184</v>
      </c>
      <c r="P3392">
        <v>1E-3</v>
      </c>
      <c r="R3392" t="s">
        <v>7702</v>
      </c>
      <c r="S3392" t="s">
        <v>6958</v>
      </c>
      <c r="V3392" t="s">
        <v>6959</v>
      </c>
      <c r="W3392" t="s">
        <v>6981</v>
      </c>
      <c r="AD3392" t="s">
        <v>7703</v>
      </c>
    </row>
    <row r="3393" spans="1:30" x14ac:dyDescent="0.25">
      <c r="A3393" t="s">
        <v>33</v>
      </c>
      <c r="D3393" t="s">
        <v>6953</v>
      </c>
      <c r="E3393" t="s">
        <v>2859</v>
      </c>
      <c r="F3393" t="s">
        <v>87</v>
      </c>
      <c r="G3393" t="s">
        <v>7314</v>
      </c>
      <c r="H3393" t="s">
        <v>38</v>
      </c>
      <c r="I3393" t="s">
        <v>106</v>
      </c>
      <c r="J3393" t="s">
        <v>40</v>
      </c>
      <c r="K3393" t="s">
        <v>41</v>
      </c>
      <c r="L3393" t="s">
        <v>7315</v>
      </c>
      <c r="M3393" t="s">
        <v>252</v>
      </c>
      <c r="N3393" t="s">
        <v>7316</v>
      </c>
      <c r="O3393" t="s">
        <v>109</v>
      </c>
      <c r="R3393" t="s">
        <v>7704</v>
      </c>
      <c r="S3393" t="s">
        <v>6958</v>
      </c>
      <c r="V3393" t="s">
        <v>6959</v>
      </c>
      <c r="W3393" t="s">
        <v>6981</v>
      </c>
      <c r="AD3393" t="s">
        <v>7705</v>
      </c>
    </row>
    <row r="3394" spans="1:30" x14ac:dyDescent="0.25">
      <c r="A3394" t="s">
        <v>33</v>
      </c>
      <c r="D3394" t="s">
        <v>6953</v>
      </c>
      <c r="E3394" t="s">
        <v>2859</v>
      </c>
      <c r="F3394" t="s">
        <v>87</v>
      </c>
      <c r="G3394" t="s">
        <v>7321</v>
      </c>
      <c r="H3394" t="s">
        <v>153</v>
      </c>
      <c r="I3394" t="s">
        <v>144</v>
      </c>
      <c r="J3394" t="s">
        <v>154</v>
      </c>
      <c r="K3394" t="s">
        <v>155</v>
      </c>
      <c r="L3394" t="s">
        <v>7322</v>
      </c>
      <c r="N3394" t="s">
        <v>7323</v>
      </c>
      <c r="O3394" t="s">
        <v>156</v>
      </c>
      <c r="R3394" t="s">
        <v>7706</v>
      </c>
      <c r="S3394" t="s">
        <v>6958</v>
      </c>
      <c r="V3394" t="s">
        <v>6959</v>
      </c>
      <c r="W3394" t="s">
        <v>6981</v>
      </c>
      <c r="AD3394" t="s">
        <v>7707</v>
      </c>
    </row>
    <row r="3395" spans="1:30" x14ac:dyDescent="0.25">
      <c r="A3395" t="s">
        <v>33</v>
      </c>
      <c r="D3395" t="s">
        <v>6953</v>
      </c>
      <c r="E3395" t="s">
        <v>2859</v>
      </c>
      <c r="F3395" t="s">
        <v>87</v>
      </c>
      <c r="G3395" t="s">
        <v>7321</v>
      </c>
      <c r="H3395" t="s">
        <v>143</v>
      </c>
      <c r="I3395" t="s">
        <v>144</v>
      </c>
      <c r="J3395" t="s">
        <v>145</v>
      </c>
      <c r="K3395" t="s">
        <v>262</v>
      </c>
      <c r="L3395" t="s">
        <v>7322</v>
      </c>
      <c r="M3395" t="s">
        <v>252</v>
      </c>
      <c r="N3395" t="s">
        <v>7323</v>
      </c>
      <c r="O3395" t="s">
        <v>147</v>
      </c>
      <c r="R3395" t="s">
        <v>7708</v>
      </c>
      <c r="S3395" t="s">
        <v>6958</v>
      </c>
      <c r="V3395" t="s">
        <v>6959</v>
      </c>
      <c r="W3395" t="s">
        <v>6981</v>
      </c>
      <c r="AD3395" t="s">
        <v>7709</v>
      </c>
    </row>
    <row r="3396" spans="1:30" x14ac:dyDescent="0.25">
      <c r="A3396" t="s">
        <v>33</v>
      </c>
      <c r="D3396" t="s">
        <v>6953</v>
      </c>
      <c r="E3396" t="s">
        <v>2859</v>
      </c>
      <c r="F3396" t="s">
        <v>87</v>
      </c>
      <c r="G3396" t="s">
        <v>7321</v>
      </c>
      <c r="H3396" t="s">
        <v>89</v>
      </c>
      <c r="I3396" t="s">
        <v>144</v>
      </c>
      <c r="J3396" t="s">
        <v>91</v>
      </c>
      <c r="K3396" t="s">
        <v>92</v>
      </c>
      <c r="L3396" t="s">
        <v>7322</v>
      </c>
      <c r="M3396" t="s">
        <v>94</v>
      </c>
      <c r="N3396" t="s">
        <v>7323</v>
      </c>
      <c r="O3396" t="s">
        <v>150</v>
      </c>
      <c r="P3396">
        <v>1E-3</v>
      </c>
      <c r="R3396" t="s">
        <v>7710</v>
      </c>
      <c r="S3396" t="s">
        <v>6958</v>
      </c>
      <c r="V3396" t="s">
        <v>6959</v>
      </c>
      <c r="W3396" t="s">
        <v>6981</v>
      </c>
      <c r="AD3396" t="s">
        <v>7711</v>
      </c>
    </row>
    <row r="3397" spans="1:30" x14ac:dyDescent="0.25">
      <c r="A3397" t="s">
        <v>33</v>
      </c>
      <c r="D3397" t="s">
        <v>6953</v>
      </c>
      <c r="E3397" t="s">
        <v>2859</v>
      </c>
      <c r="F3397" t="s">
        <v>87</v>
      </c>
      <c r="G3397" t="s">
        <v>7321</v>
      </c>
      <c r="H3397" t="s">
        <v>153</v>
      </c>
      <c r="I3397" t="s">
        <v>180</v>
      </c>
      <c r="J3397" t="s">
        <v>154</v>
      </c>
      <c r="K3397" t="s">
        <v>155</v>
      </c>
      <c r="L3397" t="s">
        <v>7322</v>
      </c>
      <c r="N3397" t="s">
        <v>7323</v>
      </c>
      <c r="O3397" t="s">
        <v>187</v>
      </c>
      <c r="R3397" t="s">
        <v>7712</v>
      </c>
      <c r="S3397" t="s">
        <v>6958</v>
      </c>
      <c r="V3397" t="s">
        <v>6959</v>
      </c>
      <c r="W3397" t="s">
        <v>6981</v>
      </c>
      <c r="AD3397" t="s">
        <v>7713</v>
      </c>
    </row>
    <row r="3398" spans="1:30" x14ac:dyDescent="0.25">
      <c r="A3398" t="s">
        <v>33</v>
      </c>
      <c r="D3398" t="s">
        <v>6953</v>
      </c>
      <c r="E3398" t="s">
        <v>2859</v>
      </c>
      <c r="F3398" t="s">
        <v>87</v>
      </c>
      <c r="G3398" t="s">
        <v>7321</v>
      </c>
      <c r="H3398" t="s">
        <v>143</v>
      </c>
      <c r="I3398" t="s">
        <v>180</v>
      </c>
      <c r="J3398" t="s">
        <v>145</v>
      </c>
      <c r="K3398" t="s">
        <v>262</v>
      </c>
      <c r="L3398" t="s">
        <v>7322</v>
      </c>
      <c r="M3398" t="s">
        <v>252</v>
      </c>
      <c r="N3398" t="s">
        <v>7323</v>
      </c>
      <c r="O3398" t="s">
        <v>181</v>
      </c>
      <c r="R3398" t="s">
        <v>7714</v>
      </c>
      <c r="S3398" t="s">
        <v>6958</v>
      </c>
      <c r="V3398" t="s">
        <v>6959</v>
      </c>
      <c r="W3398" t="s">
        <v>6981</v>
      </c>
      <c r="AD3398" t="s">
        <v>7715</v>
      </c>
    </row>
    <row r="3399" spans="1:30" x14ac:dyDescent="0.25">
      <c r="A3399" t="s">
        <v>33</v>
      </c>
      <c r="D3399" t="s">
        <v>6953</v>
      </c>
      <c r="E3399" t="s">
        <v>2859</v>
      </c>
      <c r="F3399" t="s">
        <v>87</v>
      </c>
      <c r="G3399" t="s">
        <v>7321</v>
      </c>
      <c r="H3399" t="s">
        <v>89</v>
      </c>
      <c r="I3399" t="s">
        <v>180</v>
      </c>
      <c r="J3399" t="s">
        <v>91</v>
      </c>
      <c r="K3399" t="s">
        <v>92</v>
      </c>
      <c r="L3399" t="s">
        <v>7322</v>
      </c>
      <c r="M3399" t="s">
        <v>94</v>
      </c>
      <c r="N3399" t="s">
        <v>7323</v>
      </c>
      <c r="O3399" t="s">
        <v>184</v>
      </c>
      <c r="P3399">
        <v>1E-3</v>
      </c>
      <c r="R3399" t="s">
        <v>7716</v>
      </c>
      <c r="S3399" t="s">
        <v>6958</v>
      </c>
      <c r="V3399" t="s">
        <v>6959</v>
      </c>
      <c r="W3399" t="s">
        <v>6981</v>
      </c>
      <c r="AD3399" t="s">
        <v>7717</v>
      </c>
    </row>
    <row r="3400" spans="1:30" x14ac:dyDescent="0.25">
      <c r="A3400" t="s">
        <v>33</v>
      </c>
      <c r="D3400" t="s">
        <v>6953</v>
      </c>
      <c r="E3400" t="s">
        <v>2859</v>
      </c>
      <c r="F3400" t="s">
        <v>87</v>
      </c>
      <c r="G3400" t="s">
        <v>7321</v>
      </c>
      <c r="H3400" t="s">
        <v>38</v>
      </c>
      <c r="I3400" t="s">
        <v>106</v>
      </c>
      <c r="J3400" t="s">
        <v>40</v>
      </c>
      <c r="K3400" t="s">
        <v>41</v>
      </c>
      <c r="L3400" t="s">
        <v>7322</v>
      </c>
      <c r="M3400" t="s">
        <v>252</v>
      </c>
      <c r="N3400" t="s">
        <v>7323</v>
      </c>
      <c r="O3400" t="s">
        <v>109</v>
      </c>
      <c r="R3400" t="s">
        <v>7718</v>
      </c>
      <c r="S3400" t="s">
        <v>6958</v>
      </c>
      <c r="V3400" t="s">
        <v>6959</v>
      </c>
      <c r="W3400" t="s">
        <v>6981</v>
      </c>
      <c r="AD3400" t="s">
        <v>7719</v>
      </c>
    </row>
    <row r="3401" spans="1:30" x14ac:dyDescent="0.25">
      <c r="A3401" t="s">
        <v>33</v>
      </c>
      <c r="D3401" t="s">
        <v>6953</v>
      </c>
      <c r="E3401" t="s">
        <v>2859</v>
      </c>
      <c r="F3401" t="s">
        <v>87</v>
      </c>
      <c r="G3401" t="s">
        <v>6954</v>
      </c>
      <c r="H3401" t="s">
        <v>38</v>
      </c>
      <c r="I3401" t="s">
        <v>106</v>
      </c>
      <c r="J3401" t="s">
        <v>40</v>
      </c>
      <c r="K3401" t="s">
        <v>41</v>
      </c>
      <c r="L3401" t="s">
        <v>6955</v>
      </c>
      <c r="M3401" t="s">
        <v>252</v>
      </c>
      <c r="N3401" t="s">
        <v>6956</v>
      </c>
      <c r="O3401" t="s">
        <v>109</v>
      </c>
      <c r="R3401" t="s">
        <v>7720</v>
      </c>
      <c r="S3401" t="s">
        <v>6958</v>
      </c>
      <c r="V3401" t="s">
        <v>6959</v>
      </c>
      <c r="W3401" t="s">
        <v>6960</v>
      </c>
      <c r="AD3401" t="s">
        <v>7721</v>
      </c>
    </row>
    <row r="3402" spans="1:30" x14ac:dyDescent="0.25">
      <c r="A3402" t="s">
        <v>33</v>
      </c>
      <c r="D3402" t="s">
        <v>6953</v>
      </c>
      <c r="E3402" t="s">
        <v>2859</v>
      </c>
      <c r="F3402" t="s">
        <v>87</v>
      </c>
      <c r="G3402" t="s">
        <v>7385</v>
      </c>
      <c r="H3402" t="s">
        <v>153</v>
      </c>
      <c r="I3402" t="s">
        <v>144</v>
      </c>
      <c r="J3402" t="s">
        <v>154</v>
      </c>
      <c r="K3402" t="s">
        <v>155</v>
      </c>
      <c r="L3402" t="s">
        <v>7386</v>
      </c>
      <c r="N3402" t="s">
        <v>7387</v>
      </c>
      <c r="O3402" t="s">
        <v>156</v>
      </c>
      <c r="R3402" t="s">
        <v>7722</v>
      </c>
      <c r="S3402" t="s">
        <v>6958</v>
      </c>
      <c r="V3402" t="s">
        <v>6959</v>
      </c>
      <c r="W3402" t="s">
        <v>6966</v>
      </c>
      <c r="AD3402" t="s">
        <v>7723</v>
      </c>
    </row>
    <row r="3403" spans="1:30" x14ac:dyDescent="0.25">
      <c r="A3403" t="s">
        <v>33</v>
      </c>
      <c r="D3403" t="s">
        <v>6953</v>
      </c>
      <c r="E3403" t="s">
        <v>2859</v>
      </c>
      <c r="F3403" t="s">
        <v>87</v>
      </c>
      <c r="G3403" t="s">
        <v>7385</v>
      </c>
      <c r="H3403" t="s">
        <v>143</v>
      </c>
      <c r="I3403" t="s">
        <v>144</v>
      </c>
      <c r="J3403" t="s">
        <v>145</v>
      </c>
      <c r="K3403" t="s">
        <v>262</v>
      </c>
      <c r="L3403" t="s">
        <v>7386</v>
      </c>
      <c r="M3403" t="s">
        <v>252</v>
      </c>
      <c r="N3403" t="s">
        <v>7387</v>
      </c>
      <c r="O3403" t="s">
        <v>147</v>
      </c>
      <c r="R3403" t="s">
        <v>7724</v>
      </c>
      <c r="S3403" t="s">
        <v>6958</v>
      </c>
      <c r="V3403" t="s">
        <v>6959</v>
      </c>
      <c r="W3403" t="s">
        <v>6966</v>
      </c>
      <c r="AD3403" t="s">
        <v>7725</v>
      </c>
    </row>
    <row r="3404" spans="1:30" x14ac:dyDescent="0.25">
      <c r="A3404" t="s">
        <v>33</v>
      </c>
      <c r="D3404" t="s">
        <v>6953</v>
      </c>
      <c r="E3404" t="s">
        <v>2859</v>
      </c>
      <c r="F3404" t="s">
        <v>87</v>
      </c>
      <c r="G3404" t="s">
        <v>7385</v>
      </c>
      <c r="H3404" t="s">
        <v>89</v>
      </c>
      <c r="I3404" t="s">
        <v>144</v>
      </c>
      <c r="J3404" t="s">
        <v>91</v>
      </c>
      <c r="K3404" t="s">
        <v>92</v>
      </c>
      <c r="L3404" t="s">
        <v>7386</v>
      </c>
      <c r="M3404" t="s">
        <v>94</v>
      </c>
      <c r="N3404" t="s">
        <v>7387</v>
      </c>
      <c r="O3404" t="s">
        <v>150</v>
      </c>
      <c r="P3404">
        <v>1E-3</v>
      </c>
      <c r="R3404" t="s">
        <v>7726</v>
      </c>
      <c r="S3404" t="s">
        <v>6958</v>
      </c>
      <c r="V3404" t="s">
        <v>6959</v>
      </c>
      <c r="W3404" t="s">
        <v>6966</v>
      </c>
      <c r="AD3404" t="s">
        <v>7727</v>
      </c>
    </row>
    <row r="3405" spans="1:30" x14ac:dyDescent="0.25">
      <c r="A3405" t="s">
        <v>33</v>
      </c>
      <c r="D3405" t="s">
        <v>6953</v>
      </c>
      <c r="E3405" t="s">
        <v>2859</v>
      </c>
      <c r="F3405" t="s">
        <v>87</v>
      </c>
      <c r="G3405" t="s">
        <v>7385</v>
      </c>
      <c r="H3405" t="s">
        <v>153</v>
      </c>
      <c r="I3405" t="s">
        <v>180</v>
      </c>
      <c r="J3405" t="s">
        <v>154</v>
      </c>
      <c r="K3405" t="s">
        <v>155</v>
      </c>
      <c r="L3405" t="s">
        <v>7386</v>
      </c>
      <c r="N3405" t="s">
        <v>7387</v>
      </c>
      <c r="O3405" t="s">
        <v>187</v>
      </c>
      <c r="R3405" t="s">
        <v>7728</v>
      </c>
      <c r="S3405" t="s">
        <v>6958</v>
      </c>
      <c r="V3405" t="s">
        <v>6959</v>
      </c>
      <c r="W3405" t="s">
        <v>6966</v>
      </c>
      <c r="AD3405" t="s">
        <v>7729</v>
      </c>
    </row>
    <row r="3406" spans="1:30" x14ac:dyDescent="0.25">
      <c r="A3406" t="s">
        <v>33</v>
      </c>
      <c r="D3406" t="s">
        <v>6953</v>
      </c>
      <c r="E3406" t="s">
        <v>2859</v>
      </c>
      <c r="F3406" t="s">
        <v>87</v>
      </c>
      <c r="G3406" t="s">
        <v>7385</v>
      </c>
      <c r="H3406" t="s">
        <v>143</v>
      </c>
      <c r="I3406" t="s">
        <v>180</v>
      </c>
      <c r="J3406" t="s">
        <v>145</v>
      </c>
      <c r="K3406" t="s">
        <v>262</v>
      </c>
      <c r="L3406" t="s">
        <v>7386</v>
      </c>
      <c r="M3406" t="s">
        <v>252</v>
      </c>
      <c r="N3406" t="s">
        <v>7387</v>
      </c>
      <c r="O3406" t="s">
        <v>181</v>
      </c>
      <c r="R3406" t="s">
        <v>7730</v>
      </c>
      <c r="S3406" t="s">
        <v>6958</v>
      </c>
      <c r="V3406" t="s">
        <v>6959</v>
      </c>
      <c r="W3406" t="s">
        <v>6966</v>
      </c>
      <c r="AD3406" t="s">
        <v>7731</v>
      </c>
    </row>
    <row r="3407" spans="1:30" x14ac:dyDescent="0.25">
      <c r="A3407" t="s">
        <v>33</v>
      </c>
      <c r="D3407" t="s">
        <v>6953</v>
      </c>
      <c r="E3407" t="s">
        <v>2859</v>
      </c>
      <c r="F3407" t="s">
        <v>87</v>
      </c>
      <c r="G3407" t="s">
        <v>7385</v>
      </c>
      <c r="H3407" t="s">
        <v>89</v>
      </c>
      <c r="I3407" t="s">
        <v>180</v>
      </c>
      <c r="J3407" t="s">
        <v>91</v>
      </c>
      <c r="K3407" t="s">
        <v>92</v>
      </c>
      <c r="L3407" t="s">
        <v>7386</v>
      </c>
      <c r="M3407" t="s">
        <v>94</v>
      </c>
      <c r="N3407" t="s">
        <v>7387</v>
      </c>
      <c r="O3407" t="s">
        <v>184</v>
      </c>
      <c r="P3407">
        <v>1E-3</v>
      </c>
      <c r="R3407" t="s">
        <v>7732</v>
      </c>
      <c r="S3407" t="s">
        <v>6958</v>
      </c>
      <c r="V3407" t="s">
        <v>6959</v>
      </c>
      <c r="W3407" t="s">
        <v>6966</v>
      </c>
      <c r="AD3407" t="s">
        <v>7733</v>
      </c>
    </row>
    <row r="3408" spans="1:30" x14ac:dyDescent="0.25">
      <c r="A3408" t="s">
        <v>33</v>
      </c>
      <c r="D3408" t="s">
        <v>6953</v>
      </c>
      <c r="E3408" t="s">
        <v>2859</v>
      </c>
      <c r="F3408" t="s">
        <v>87</v>
      </c>
      <c r="G3408" t="s">
        <v>7385</v>
      </c>
      <c r="H3408" t="s">
        <v>38</v>
      </c>
      <c r="I3408" t="s">
        <v>106</v>
      </c>
      <c r="J3408" t="s">
        <v>40</v>
      </c>
      <c r="K3408" t="s">
        <v>41</v>
      </c>
      <c r="L3408" t="s">
        <v>7386</v>
      </c>
      <c r="M3408" t="s">
        <v>252</v>
      </c>
      <c r="N3408" t="s">
        <v>7387</v>
      </c>
      <c r="O3408" t="s">
        <v>109</v>
      </c>
      <c r="R3408" t="s">
        <v>7734</v>
      </c>
      <c r="S3408" t="s">
        <v>6958</v>
      </c>
      <c r="V3408" t="s">
        <v>6959</v>
      </c>
      <c r="W3408" t="s">
        <v>6966</v>
      </c>
      <c r="AD3408" t="s">
        <v>7735</v>
      </c>
    </row>
    <row r="3409" spans="1:30" x14ac:dyDescent="0.25">
      <c r="A3409" t="s">
        <v>33</v>
      </c>
      <c r="D3409" t="s">
        <v>6953</v>
      </c>
      <c r="E3409" t="s">
        <v>2859</v>
      </c>
      <c r="F3409" t="s">
        <v>87</v>
      </c>
      <c r="G3409" t="s">
        <v>7398</v>
      </c>
      <c r="H3409" t="s">
        <v>153</v>
      </c>
      <c r="I3409" t="s">
        <v>144</v>
      </c>
      <c r="J3409" t="s">
        <v>154</v>
      </c>
      <c r="K3409" t="s">
        <v>155</v>
      </c>
      <c r="L3409" t="s">
        <v>7399</v>
      </c>
      <c r="N3409" t="s">
        <v>7400</v>
      </c>
      <c r="O3409" t="s">
        <v>156</v>
      </c>
      <c r="R3409" t="s">
        <v>7736</v>
      </c>
      <c r="S3409" t="s">
        <v>6958</v>
      </c>
      <c r="V3409" t="s">
        <v>6959</v>
      </c>
      <c r="W3409" t="s">
        <v>6981</v>
      </c>
      <c r="AD3409" t="s">
        <v>7737</v>
      </c>
    </row>
    <row r="3410" spans="1:30" x14ac:dyDescent="0.25">
      <c r="A3410" t="s">
        <v>33</v>
      </c>
      <c r="D3410" t="s">
        <v>6953</v>
      </c>
      <c r="E3410" t="s">
        <v>2859</v>
      </c>
      <c r="F3410" t="s">
        <v>87</v>
      </c>
      <c r="G3410" t="s">
        <v>7398</v>
      </c>
      <c r="H3410" t="s">
        <v>143</v>
      </c>
      <c r="I3410" t="s">
        <v>144</v>
      </c>
      <c r="J3410" t="s">
        <v>145</v>
      </c>
      <c r="K3410" t="s">
        <v>262</v>
      </c>
      <c r="L3410" t="s">
        <v>7399</v>
      </c>
      <c r="M3410" t="s">
        <v>252</v>
      </c>
      <c r="N3410" t="s">
        <v>7400</v>
      </c>
      <c r="O3410" t="s">
        <v>147</v>
      </c>
      <c r="R3410" t="s">
        <v>7738</v>
      </c>
      <c r="S3410" t="s">
        <v>6958</v>
      </c>
      <c r="V3410" t="s">
        <v>6959</v>
      </c>
      <c r="W3410" t="s">
        <v>6981</v>
      </c>
      <c r="AD3410" t="s">
        <v>7739</v>
      </c>
    </row>
    <row r="3411" spans="1:30" x14ac:dyDescent="0.25">
      <c r="A3411" t="s">
        <v>33</v>
      </c>
      <c r="D3411" t="s">
        <v>6953</v>
      </c>
      <c r="E3411" t="s">
        <v>2859</v>
      </c>
      <c r="F3411" t="s">
        <v>87</v>
      </c>
      <c r="G3411" t="s">
        <v>7398</v>
      </c>
      <c r="H3411" t="s">
        <v>89</v>
      </c>
      <c r="I3411" t="s">
        <v>144</v>
      </c>
      <c r="J3411" t="s">
        <v>91</v>
      </c>
      <c r="K3411" t="s">
        <v>92</v>
      </c>
      <c r="L3411" t="s">
        <v>7399</v>
      </c>
      <c r="M3411" t="s">
        <v>94</v>
      </c>
      <c r="N3411" t="s">
        <v>7400</v>
      </c>
      <c r="O3411" t="s">
        <v>150</v>
      </c>
      <c r="P3411">
        <v>1E-3</v>
      </c>
      <c r="R3411" t="s">
        <v>7740</v>
      </c>
      <c r="S3411" t="s">
        <v>6958</v>
      </c>
      <c r="V3411" t="s">
        <v>6959</v>
      </c>
      <c r="W3411" t="s">
        <v>6981</v>
      </c>
      <c r="AD3411" t="s">
        <v>7741</v>
      </c>
    </row>
    <row r="3412" spans="1:30" x14ac:dyDescent="0.25">
      <c r="A3412" t="s">
        <v>33</v>
      </c>
      <c r="D3412" t="s">
        <v>6953</v>
      </c>
      <c r="E3412" t="s">
        <v>2859</v>
      </c>
      <c r="F3412" t="s">
        <v>87</v>
      </c>
      <c r="G3412" t="s">
        <v>7398</v>
      </c>
      <c r="H3412" t="s">
        <v>153</v>
      </c>
      <c r="I3412" t="s">
        <v>180</v>
      </c>
      <c r="J3412" t="s">
        <v>154</v>
      </c>
      <c r="K3412" t="s">
        <v>155</v>
      </c>
      <c r="L3412" t="s">
        <v>7399</v>
      </c>
      <c r="N3412" t="s">
        <v>7400</v>
      </c>
      <c r="O3412" t="s">
        <v>187</v>
      </c>
      <c r="R3412" t="s">
        <v>7742</v>
      </c>
      <c r="S3412" t="s">
        <v>6958</v>
      </c>
      <c r="V3412" t="s">
        <v>6959</v>
      </c>
      <c r="W3412" t="s">
        <v>6981</v>
      </c>
      <c r="AD3412" t="s">
        <v>7743</v>
      </c>
    </row>
    <row r="3413" spans="1:30" x14ac:dyDescent="0.25">
      <c r="A3413" t="s">
        <v>33</v>
      </c>
      <c r="D3413" t="s">
        <v>6953</v>
      </c>
      <c r="E3413" t="s">
        <v>2859</v>
      </c>
      <c r="F3413" t="s">
        <v>87</v>
      </c>
      <c r="G3413" t="s">
        <v>7398</v>
      </c>
      <c r="H3413" t="s">
        <v>143</v>
      </c>
      <c r="I3413" t="s">
        <v>180</v>
      </c>
      <c r="J3413" t="s">
        <v>145</v>
      </c>
      <c r="K3413" t="s">
        <v>262</v>
      </c>
      <c r="L3413" t="s">
        <v>7399</v>
      </c>
      <c r="M3413" t="s">
        <v>252</v>
      </c>
      <c r="N3413" t="s">
        <v>7400</v>
      </c>
      <c r="O3413" t="s">
        <v>181</v>
      </c>
      <c r="R3413" t="s">
        <v>7744</v>
      </c>
      <c r="S3413" t="s">
        <v>6958</v>
      </c>
      <c r="V3413" t="s">
        <v>6959</v>
      </c>
      <c r="W3413" t="s">
        <v>6981</v>
      </c>
      <c r="AD3413" t="s">
        <v>7745</v>
      </c>
    </row>
    <row r="3414" spans="1:30" x14ac:dyDescent="0.25">
      <c r="A3414" t="s">
        <v>33</v>
      </c>
      <c r="D3414" t="s">
        <v>6953</v>
      </c>
      <c r="E3414" t="s">
        <v>2859</v>
      </c>
      <c r="F3414" t="s">
        <v>87</v>
      </c>
      <c r="G3414" t="s">
        <v>7398</v>
      </c>
      <c r="H3414" t="s">
        <v>89</v>
      </c>
      <c r="I3414" t="s">
        <v>180</v>
      </c>
      <c r="J3414" t="s">
        <v>91</v>
      </c>
      <c r="K3414" t="s">
        <v>92</v>
      </c>
      <c r="L3414" t="s">
        <v>7399</v>
      </c>
      <c r="M3414" t="s">
        <v>94</v>
      </c>
      <c r="N3414" t="s">
        <v>7400</v>
      </c>
      <c r="O3414" t="s">
        <v>184</v>
      </c>
      <c r="P3414">
        <v>1E-3</v>
      </c>
      <c r="R3414" t="s">
        <v>7746</v>
      </c>
      <c r="S3414" t="s">
        <v>6958</v>
      </c>
      <c r="V3414" t="s">
        <v>6959</v>
      </c>
      <c r="W3414" t="s">
        <v>6981</v>
      </c>
      <c r="AD3414" t="s">
        <v>7747</v>
      </c>
    </row>
    <row r="3415" spans="1:30" x14ac:dyDescent="0.25">
      <c r="A3415" t="s">
        <v>33</v>
      </c>
      <c r="D3415" t="s">
        <v>6953</v>
      </c>
      <c r="E3415" t="s">
        <v>2859</v>
      </c>
      <c r="F3415" t="s">
        <v>87</v>
      </c>
      <c r="G3415" t="s">
        <v>7398</v>
      </c>
      <c r="H3415" t="s">
        <v>38</v>
      </c>
      <c r="I3415" t="s">
        <v>106</v>
      </c>
      <c r="J3415" t="s">
        <v>40</v>
      </c>
      <c r="K3415" t="s">
        <v>41</v>
      </c>
      <c r="L3415" t="s">
        <v>7399</v>
      </c>
      <c r="M3415" t="s">
        <v>252</v>
      </c>
      <c r="N3415" t="s">
        <v>7400</v>
      </c>
      <c r="O3415" t="s">
        <v>109</v>
      </c>
      <c r="R3415" t="s">
        <v>7748</v>
      </c>
      <c r="S3415" t="s">
        <v>6958</v>
      </c>
      <c r="V3415" t="s">
        <v>6959</v>
      </c>
      <c r="W3415" t="s">
        <v>6981</v>
      </c>
      <c r="AD3415" t="s">
        <v>7749</v>
      </c>
    </row>
    <row r="3416" spans="1:30" x14ac:dyDescent="0.25">
      <c r="A3416" t="s">
        <v>33</v>
      </c>
      <c r="D3416" t="s">
        <v>6953</v>
      </c>
      <c r="E3416" t="s">
        <v>2893</v>
      </c>
      <c r="F3416" t="s">
        <v>87</v>
      </c>
      <c r="G3416" t="s">
        <v>389</v>
      </c>
      <c r="H3416" t="s">
        <v>153</v>
      </c>
      <c r="I3416" t="s">
        <v>144</v>
      </c>
      <c r="J3416" t="s">
        <v>154</v>
      </c>
      <c r="K3416" t="s">
        <v>155</v>
      </c>
      <c r="L3416" t="s">
        <v>390</v>
      </c>
      <c r="N3416" t="s">
        <v>7374</v>
      </c>
      <c r="O3416" t="s">
        <v>156</v>
      </c>
      <c r="R3416" t="s">
        <v>7750</v>
      </c>
      <c r="S3416" t="s">
        <v>6958</v>
      </c>
      <c r="V3416" t="s">
        <v>6959</v>
      </c>
      <c r="W3416" t="s">
        <v>6999</v>
      </c>
      <c r="AD3416" t="s">
        <v>7751</v>
      </c>
    </row>
    <row r="3417" spans="1:30" x14ac:dyDescent="0.25">
      <c r="A3417" t="s">
        <v>33</v>
      </c>
      <c r="D3417" t="s">
        <v>6953</v>
      </c>
      <c r="E3417" t="s">
        <v>2893</v>
      </c>
      <c r="F3417" t="s">
        <v>87</v>
      </c>
      <c r="G3417" t="s">
        <v>389</v>
      </c>
      <c r="H3417" t="s">
        <v>143</v>
      </c>
      <c r="I3417" t="s">
        <v>144</v>
      </c>
      <c r="J3417" t="s">
        <v>145</v>
      </c>
      <c r="K3417" t="s">
        <v>262</v>
      </c>
      <c r="L3417" t="s">
        <v>390</v>
      </c>
      <c r="M3417" t="s">
        <v>252</v>
      </c>
      <c r="N3417" t="s">
        <v>7374</v>
      </c>
      <c r="O3417" t="s">
        <v>147</v>
      </c>
      <c r="R3417" t="s">
        <v>7752</v>
      </c>
      <c r="S3417" t="s">
        <v>6958</v>
      </c>
      <c r="V3417" t="s">
        <v>6959</v>
      </c>
      <c r="W3417" t="s">
        <v>6999</v>
      </c>
      <c r="AD3417" t="s">
        <v>7753</v>
      </c>
    </row>
    <row r="3418" spans="1:30" x14ac:dyDescent="0.25">
      <c r="A3418" t="s">
        <v>33</v>
      </c>
      <c r="D3418" t="s">
        <v>6953</v>
      </c>
      <c r="E3418" t="s">
        <v>2893</v>
      </c>
      <c r="F3418" t="s">
        <v>87</v>
      </c>
      <c r="G3418" t="s">
        <v>389</v>
      </c>
      <c r="H3418" t="s">
        <v>89</v>
      </c>
      <c r="I3418" t="s">
        <v>144</v>
      </c>
      <c r="J3418" t="s">
        <v>91</v>
      </c>
      <c r="K3418" t="s">
        <v>92</v>
      </c>
      <c r="L3418" t="s">
        <v>390</v>
      </c>
      <c r="M3418" t="s">
        <v>94</v>
      </c>
      <c r="N3418" t="s">
        <v>7374</v>
      </c>
      <c r="O3418" t="s">
        <v>150</v>
      </c>
      <c r="P3418">
        <v>1E-3</v>
      </c>
      <c r="R3418" t="s">
        <v>7754</v>
      </c>
      <c r="S3418" t="s">
        <v>6958</v>
      </c>
      <c r="V3418" t="s">
        <v>6959</v>
      </c>
      <c r="W3418" t="s">
        <v>6999</v>
      </c>
      <c r="AD3418" t="s">
        <v>7755</v>
      </c>
    </row>
    <row r="3419" spans="1:30" x14ac:dyDescent="0.25">
      <c r="A3419" t="s">
        <v>33</v>
      </c>
      <c r="D3419" t="s">
        <v>6953</v>
      </c>
      <c r="E3419" t="s">
        <v>2893</v>
      </c>
      <c r="F3419" t="s">
        <v>87</v>
      </c>
      <c r="G3419" t="s">
        <v>389</v>
      </c>
      <c r="H3419" t="s">
        <v>153</v>
      </c>
      <c r="I3419" t="s">
        <v>180</v>
      </c>
      <c r="J3419" t="s">
        <v>154</v>
      </c>
      <c r="K3419" t="s">
        <v>155</v>
      </c>
      <c r="L3419" t="s">
        <v>390</v>
      </c>
      <c r="N3419" t="s">
        <v>7374</v>
      </c>
      <c r="O3419" t="s">
        <v>187</v>
      </c>
      <c r="R3419" t="s">
        <v>7756</v>
      </c>
      <c r="S3419" t="s">
        <v>6958</v>
      </c>
      <c r="V3419" t="s">
        <v>6959</v>
      </c>
      <c r="W3419" t="s">
        <v>6999</v>
      </c>
      <c r="AD3419" t="s">
        <v>7757</v>
      </c>
    </row>
    <row r="3420" spans="1:30" x14ac:dyDescent="0.25">
      <c r="A3420" t="s">
        <v>33</v>
      </c>
      <c r="D3420" t="s">
        <v>6953</v>
      </c>
      <c r="E3420" t="s">
        <v>2893</v>
      </c>
      <c r="F3420" t="s">
        <v>87</v>
      </c>
      <c r="G3420" t="s">
        <v>389</v>
      </c>
      <c r="H3420" t="s">
        <v>143</v>
      </c>
      <c r="I3420" t="s">
        <v>180</v>
      </c>
      <c r="J3420" t="s">
        <v>145</v>
      </c>
      <c r="K3420" t="s">
        <v>262</v>
      </c>
      <c r="L3420" t="s">
        <v>390</v>
      </c>
      <c r="M3420" t="s">
        <v>252</v>
      </c>
      <c r="N3420" t="s">
        <v>7374</v>
      </c>
      <c r="O3420" t="s">
        <v>181</v>
      </c>
      <c r="R3420" t="s">
        <v>7758</v>
      </c>
      <c r="S3420" t="s">
        <v>6958</v>
      </c>
      <c r="V3420" t="s">
        <v>6959</v>
      </c>
      <c r="W3420" t="s">
        <v>6999</v>
      </c>
      <c r="AD3420" t="s">
        <v>7759</v>
      </c>
    </row>
    <row r="3421" spans="1:30" x14ac:dyDescent="0.25">
      <c r="A3421" t="s">
        <v>33</v>
      </c>
      <c r="D3421" t="s">
        <v>6953</v>
      </c>
      <c r="E3421" t="s">
        <v>2893</v>
      </c>
      <c r="F3421" t="s">
        <v>87</v>
      </c>
      <c r="G3421" t="s">
        <v>389</v>
      </c>
      <c r="H3421" t="s">
        <v>89</v>
      </c>
      <c r="I3421" t="s">
        <v>180</v>
      </c>
      <c r="J3421" t="s">
        <v>91</v>
      </c>
      <c r="K3421" t="s">
        <v>92</v>
      </c>
      <c r="L3421" t="s">
        <v>390</v>
      </c>
      <c r="M3421" t="s">
        <v>94</v>
      </c>
      <c r="N3421" t="s">
        <v>7374</v>
      </c>
      <c r="O3421" t="s">
        <v>184</v>
      </c>
      <c r="P3421">
        <v>1E-3</v>
      </c>
      <c r="R3421" t="s">
        <v>7760</v>
      </c>
      <c r="S3421" t="s">
        <v>6958</v>
      </c>
      <c r="V3421" t="s">
        <v>6959</v>
      </c>
      <c r="W3421" t="s">
        <v>6999</v>
      </c>
      <c r="AD3421" t="s">
        <v>7761</v>
      </c>
    </row>
    <row r="3422" spans="1:30" x14ac:dyDescent="0.25">
      <c r="A3422" t="s">
        <v>33</v>
      </c>
      <c r="D3422" t="s">
        <v>6953</v>
      </c>
      <c r="E3422" t="s">
        <v>2893</v>
      </c>
      <c r="F3422" t="s">
        <v>87</v>
      </c>
      <c r="G3422" t="s">
        <v>389</v>
      </c>
      <c r="H3422" t="s">
        <v>38</v>
      </c>
      <c r="I3422" t="s">
        <v>106</v>
      </c>
      <c r="J3422" t="s">
        <v>40</v>
      </c>
      <c r="K3422" t="s">
        <v>41</v>
      </c>
      <c r="L3422" t="s">
        <v>390</v>
      </c>
      <c r="M3422" t="s">
        <v>252</v>
      </c>
      <c r="N3422" t="s">
        <v>7374</v>
      </c>
      <c r="O3422" t="s">
        <v>109</v>
      </c>
      <c r="R3422" t="s">
        <v>7762</v>
      </c>
      <c r="S3422" t="s">
        <v>6958</v>
      </c>
      <c r="V3422" t="s">
        <v>6959</v>
      </c>
      <c r="W3422" t="s">
        <v>6999</v>
      </c>
      <c r="AD3422" t="s">
        <v>7763</v>
      </c>
    </row>
    <row r="3423" spans="1:30" x14ac:dyDescent="0.25">
      <c r="A3423" t="s">
        <v>33</v>
      </c>
      <c r="D3423" t="s">
        <v>6953</v>
      </c>
      <c r="E3423" t="s">
        <v>2859</v>
      </c>
      <c r="F3423" t="s">
        <v>87</v>
      </c>
      <c r="G3423" t="s">
        <v>7011</v>
      </c>
      <c r="H3423" t="s">
        <v>166</v>
      </c>
      <c r="I3423" t="s">
        <v>216</v>
      </c>
      <c r="J3423" t="s">
        <v>167</v>
      </c>
      <c r="K3423" t="s">
        <v>41</v>
      </c>
      <c r="L3423" t="s">
        <v>7012</v>
      </c>
      <c r="N3423" t="s">
        <v>7013</v>
      </c>
      <c r="O3423" t="s">
        <v>217</v>
      </c>
      <c r="Q3423" t="s">
        <v>4686</v>
      </c>
      <c r="R3423" t="s">
        <v>7764</v>
      </c>
      <c r="S3423" t="s">
        <v>6958</v>
      </c>
      <c r="V3423" t="s">
        <v>6959</v>
      </c>
      <c r="W3423" t="s">
        <v>6966</v>
      </c>
      <c r="AD3423" t="s">
        <v>7765</v>
      </c>
    </row>
    <row r="3424" spans="1:30" x14ac:dyDescent="0.25">
      <c r="A3424" t="s">
        <v>33</v>
      </c>
      <c r="D3424" t="s">
        <v>6953</v>
      </c>
      <c r="E3424" t="s">
        <v>2859</v>
      </c>
      <c r="F3424" t="s">
        <v>866</v>
      </c>
      <c r="G3424" t="s">
        <v>7024</v>
      </c>
      <c r="H3424" t="s">
        <v>153</v>
      </c>
      <c r="I3424" t="s">
        <v>598</v>
      </c>
      <c r="J3424" t="s">
        <v>154</v>
      </c>
      <c r="K3424" t="s">
        <v>155</v>
      </c>
      <c r="L3424" t="s">
        <v>7025</v>
      </c>
      <c r="N3424" t="s">
        <v>3406</v>
      </c>
      <c r="O3424" t="s">
        <v>599</v>
      </c>
      <c r="R3424" t="s">
        <v>7766</v>
      </c>
      <c r="S3424" t="s">
        <v>6958</v>
      </c>
      <c r="V3424" t="s">
        <v>6959</v>
      </c>
      <c r="W3424" t="s">
        <v>6981</v>
      </c>
      <c r="AD3424" t="s">
        <v>3467</v>
      </c>
    </row>
    <row r="3425" spans="1:30" x14ac:dyDescent="0.25">
      <c r="A3425" t="s">
        <v>33</v>
      </c>
      <c r="D3425" t="s">
        <v>6953</v>
      </c>
      <c r="E3425" t="s">
        <v>2859</v>
      </c>
      <c r="F3425" t="s">
        <v>866</v>
      </c>
      <c r="G3425" t="s">
        <v>7027</v>
      </c>
      <c r="H3425" t="s">
        <v>153</v>
      </c>
      <c r="I3425" t="s">
        <v>598</v>
      </c>
      <c r="J3425" t="s">
        <v>154</v>
      </c>
      <c r="K3425" t="s">
        <v>155</v>
      </c>
      <c r="L3425" t="s">
        <v>7028</v>
      </c>
      <c r="N3425" t="s">
        <v>3406</v>
      </c>
      <c r="O3425" t="s">
        <v>599</v>
      </c>
      <c r="R3425" t="s">
        <v>7767</v>
      </c>
      <c r="S3425" t="s">
        <v>6958</v>
      </c>
      <c r="V3425" t="s">
        <v>6959</v>
      </c>
      <c r="W3425" t="s">
        <v>6981</v>
      </c>
      <c r="AD3425" t="s">
        <v>3467</v>
      </c>
    </row>
    <row r="3426" spans="1:30" x14ac:dyDescent="0.25">
      <c r="A3426" t="s">
        <v>33</v>
      </c>
      <c r="D3426" t="s">
        <v>6953</v>
      </c>
      <c r="E3426" t="s">
        <v>2893</v>
      </c>
      <c r="F3426" t="s">
        <v>866</v>
      </c>
      <c r="G3426" t="s">
        <v>7018</v>
      </c>
      <c r="H3426" t="s">
        <v>153</v>
      </c>
      <c r="I3426" t="s">
        <v>598</v>
      </c>
      <c r="J3426" t="s">
        <v>154</v>
      </c>
      <c r="K3426" t="s">
        <v>155</v>
      </c>
      <c r="L3426" t="s">
        <v>7019</v>
      </c>
      <c r="N3426" t="s">
        <v>7020</v>
      </c>
      <c r="O3426" t="s">
        <v>599</v>
      </c>
      <c r="R3426" t="s">
        <v>7768</v>
      </c>
      <c r="S3426" t="s">
        <v>6958</v>
      </c>
      <c r="V3426" t="s">
        <v>6959</v>
      </c>
      <c r="W3426" t="s">
        <v>6999</v>
      </c>
      <c r="AD3426" t="s">
        <v>7769</v>
      </c>
    </row>
    <row r="3427" spans="1:30" x14ac:dyDescent="0.25">
      <c r="A3427" t="s">
        <v>33</v>
      </c>
      <c r="D3427" t="s">
        <v>6953</v>
      </c>
      <c r="E3427" t="s">
        <v>2893</v>
      </c>
      <c r="F3427" t="s">
        <v>866</v>
      </c>
      <c r="G3427" t="s">
        <v>7022</v>
      </c>
      <c r="H3427" t="s">
        <v>153</v>
      </c>
      <c r="I3427" t="s">
        <v>598</v>
      </c>
      <c r="J3427" t="s">
        <v>154</v>
      </c>
      <c r="K3427" t="s">
        <v>155</v>
      </c>
      <c r="L3427" t="s">
        <v>7023</v>
      </c>
      <c r="N3427" t="s">
        <v>7020</v>
      </c>
      <c r="O3427" t="s">
        <v>599</v>
      </c>
      <c r="R3427" t="s">
        <v>7770</v>
      </c>
      <c r="S3427" t="s">
        <v>6958</v>
      </c>
      <c r="V3427" t="s">
        <v>6959</v>
      </c>
      <c r="W3427" t="s">
        <v>6999</v>
      </c>
      <c r="AD3427" t="s">
        <v>7769</v>
      </c>
    </row>
    <row r="3428" spans="1:30" x14ac:dyDescent="0.25">
      <c r="A3428" t="s">
        <v>33</v>
      </c>
      <c r="D3428" t="s">
        <v>6953</v>
      </c>
      <c r="E3428" t="s">
        <v>2893</v>
      </c>
      <c r="F3428" t="s">
        <v>866</v>
      </c>
      <c r="G3428" t="s">
        <v>7022</v>
      </c>
      <c r="H3428" t="s">
        <v>166</v>
      </c>
      <c r="I3428" t="s">
        <v>216</v>
      </c>
      <c r="J3428" t="s">
        <v>167</v>
      </c>
      <c r="K3428" t="s">
        <v>41</v>
      </c>
      <c r="L3428" t="s">
        <v>7023</v>
      </c>
      <c r="N3428" t="s">
        <v>7020</v>
      </c>
      <c r="O3428" t="s">
        <v>872</v>
      </c>
      <c r="Q3428" t="s">
        <v>1275</v>
      </c>
      <c r="R3428" t="s">
        <v>7771</v>
      </c>
      <c r="S3428" t="s">
        <v>6958</v>
      </c>
      <c r="V3428" t="s">
        <v>6959</v>
      </c>
      <c r="W3428" t="s">
        <v>6999</v>
      </c>
      <c r="AD3428" t="s">
        <v>7772</v>
      </c>
    </row>
    <row r="3429" spans="1:30" x14ac:dyDescent="0.25">
      <c r="A3429" t="s">
        <v>33</v>
      </c>
      <c r="D3429" t="s">
        <v>6953</v>
      </c>
      <c r="E3429" t="s">
        <v>2859</v>
      </c>
      <c r="F3429" t="s">
        <v>87</v>
      </c>
      <c r="G3429" t="s">
        <v>7359</v>
      </c>
      <c r="H3429" t="s">
        <v>38</v>
      </c>
      <c r="I3429" t="s">
        <v>106</v>
      </c>
      <c r="J3429" t="s">
        <v>40</v>
      </c>
      <c r="K3429" t="s">
        <v>41</v>
      </c>
      <c r="L3429" t="s">
        <v>7360</v>
      </c>
      <c r="M3429" t="s">
        <v>176</v>
      </c>
      <c r="N3429" t="s">
        <v>7361</v>
      </c>
      <c r="O3429" t="s">
        <v>109</v>
      </c>
      <c r="R3429" t="s">
        <v>7773</v>
      </c>
      <c r="S3429" t="s">
        <v>6958</v>
      </c>
      <c r="V3429" t="s">
        <v>6959</v>
      </c>
      <c r="W3429" t="s">
        <v>6966</v>
      </c>
      <c r="AD3429" t="s">
        <v>7774</v>
      </c>
    </row>
    <row r="3430" spans="1:30" x14ac:dyDescent="0.25">
      <c r="A3430" t="s">
        <v>33</v>
      </c>
      <c r="D3430" t="s">
        <v>6953</v>
      </c>
      <c r="E3430" t="s">
        <v>2859</v>
      </c>
      <c r="F3430" t="s">
        <v>87</v>
      </c>
      <c r="G3430" t="s">
        <v>7217</v>
      </c>
      <c r="H3430" t="s">
        <v>38</v>
      </c>
      <c r="I3430" t="s">
        <v>106</v>
      </c>
      <c r="J3430" t="s">
        <v>40</v>
      </c>
      <c r="K3430" t="s">
        <v>41</v>
      </c>
      <c r="L3430" t="s">
        <v>7218</v>
      </c>
      <c r="M3430" t="s">
        <v>176</v>
      </c>
      <c r="N3430" t="s">
        <v>7219</v>
      </c>
      <c r="O3430" t="s">
        <v>109</v>
      </c>
      <c r="R3430" t="s">
        <v>7775</v>
      </c>
      <c r="S3430" t="s">
        <v>6958</v>
      </c>
      <c r="V3430" t="s">
        <v>6959</v>
      </c>
      <c r="W3430" t="s">
        <v>6981</v>
      </c>
      <c r="AD3430" t="s">
        <v>7776</v>
      </c>
    </row>
    <row r="3431" spans="1:30" x14ac:dyDescent="0.25">
      <c r="A3431" t="s">
        <v>33</v>
      </c>
      <c r="D3431" t="s">
        <v>6953</v>
      </c>
      <c r="E3431" t="s">
        <v>2893</v>
      </c>
      <c r="F3431" t="s">
        <v>87</v>
      </c>
      <c r="G3431" t="s">
        <v>7052</v>
      </c>
      <c r="H3431" t="s">
        <v>38</v>
      </c>
      <c r="I3431" t="s">
        <v>106</v>
      </c>
      <c r="J3431" t="s">
        <v>40</v>
      </c>
      <c r="K3431" t="s">
        <v>41</v>
      </c>
      <c r="L3431" t="s">
        <v>7053</v>
      </c>
      <c r="M3431" t="s">
        <v>1191</v>
      </c>
      <c r="N3431" t="s">
        <v>7054</v>
      </c>
      <c r="O3431" t="s">
        <v>109</v>
      </c>
      <c r="R3431" t="s">
        <v>7777</v>
      </c>
      <c r="S3431" t="s">
        <v>6958</v>
      </c>
      <c r="V3431" t="s">
        <v>6959</v>
      </c>
      <c r="W3431" t="s">
        <v>6999</v>
      </c>
      <c r="X3431" t="s">
        <v>1193</v>
      </c>
      <c r="AD3431" t="s">
        <v>7778</v>
      </c>
    </row>
    <row r="3432" spans="1:30" x14ac:dyDescent="0.25">
      <c r="A3432" t="s">
        <v>33</v>
      </c>
      <c r="D3432" t="s">
        <v>6953</v>
      </c>
      <c r="E3432" t="s">
        <v>2859</v>
      </c>
      <c r="F3432" t="s">
        <v>78</v>
      </c>
      <c r="G3432" t="s">
        <v>6989</v>
      </c>
      <c r="H3432" t="s">
        <v>38</v>
      </c>
      <c r="I3432" t="s">
        <v>80</v>
      </c>
      <c r="J3432" t="s">
        <v>69</v>
      </c>
      <c r="K3432" t="s">
        <v>41</v>
      </c>
      <c r="L3432" t="s">
        <v>6990</v>
      </c>
      <c r="M3432" t="s">
        <v>82</v>
      </c>
      <c r="N3432" t="s">
        <v>6991</v>
      </c>
      <c r="O3432" t="s">
        <v>84</v>
      </c>
      <c r="R3432" t="s">
        <v>7779</v>
      </c>
      <c r="S3432" t="s">
        <v>6958</v>
      </c>
      <c r="V3432" t="s">
        <v>6959</v>
      </c>
      <c r="W3432" t="s">
        <v>6966</v>
      </c>
      <c r="AD3432" t="s">
        <v>7780</v>
      </c>
    </row>
    <row r="3433" spans="1:30" x14ac:dyDescent="0.25">
      <c r="A3433" t="s">
        <v>33</v>
      </c>
      <c r="D3433" t="s">
        <v>6953</v>
      </c>
      <c r="E3433" t="s">
        <v>2859</v>
      </c>
      <c r="F3433" t="s">
        <v>78</v>
      </c>
      <c r="G3433" t="s">
        <v>7781</v>
      </c>
      <c r="H3433" t="s">
        <v>38</v>
      </c>
      <c r="I3433" t="s">
        <v>80</v>
      </c>
      <c r="J3433" t="s">
        <v>69</v>
      </c>
      <c r="K3433" t="s">
        <v>41</v>
      </c>
      <c r="L3433" t="s">
        <v>7782</v>
      </c>
      <c r="M3433" t="s">
        <v>82</v>
      </c>
      <c r="N3433" t="s">
        <v>7783</v>
      </c>
      <c r="O3433" t="s">
        <v>84</v>
      </c>
      <c r="R3433" t="s">
        <v>7784</v>
      </c>
      <c r="S3433" t="s">
        <v>6958</v>
      </c>
      <c r="V3433" t="s">
        <v>6959</v>
      </c>
      <c r="W3433" t="s">
        <v>6981</v>
      </c>
      <c r="AD3433" t="s">
        <v>7785</v>
      </c>
    </row>
    <row r="3434" spans="1:30" x14ac:dyDescent="0.25">
      <c r="A3434" t="s">
        <v>33</v>
      </c>
      <c r="D3434" t="s">
        <v>6953</v>
      </c>
      <c r="E3434" t="s">
        <v>2869</v>
      </c>
      <c r="F3434" t="s">
        <v>87</v>
      </c>
      <c r="G3434" t="s">
        <v>7679</v>
      </c>
      <c r="H3434" t="s">
        <v>166</v>
      </c>
      <c r="I3434" t="s">
        <v>216</v>
      </c>
      <c r="J3434" t="s">
        <v>167</v>
      </c>
      <c r="K3434" t="s">
        <v>41</v>
      </c>
      <c r="L3434" t="s">
        <v>7680</v>
      </c>
      <c r="N3434" t="s">
        <v>7681</v>
      </c>
      <c r="O3434" t="s">
        <v>217</v>
      </c>
      <c r="Q3434" t="s">
        <v>1370</v>
      </c>
      <c r="R3434" t="s">
        <v>7786</v>
      </c>
      <c r="S3434" t="s">
        <v>6958</v>
      </c>
      <c r="V3434" t="s">
        <v>6959</v>
      </c>
      <c r="W3434" t="s">
        <v>7009</v>
      </c>
      <c r="AD3434" t="s">
        <v>7787</v>
      </c>
    </row>
    <row r="3435" spans="1:30" x14ac:dyDescent="0.25">
      <c r="A3435" t="s">
        <v>33</v>
      </c>
      <c r="D3435" t="s">
        <v>6953</v>
      </c>
      <c r="E3435" t="s">
        <v>2859</v>
      </c>
      <c r="F3435" t="s">
        <v>78</v>
      </c>
      <c r="G3435" t="s">
        <v>6962</v>
      </c>
      <c r="H3435" t="s">
        <v>166</v>
      </c>
      <c r="I3435" t="s">
        <v>160</v>
      </c>
      <c r="J3435" t="s">
        <v>167</v>
      </c>
      <c r="K3435" t="s">
        <v>41</v>
      </c>
      <c r="L3435" t="s">
        <v>6963</v>
      </c>
      <c r="N3435" t="s">
        <v>6964</v>
      </c>
      <c r="O3435" t="s">
        <v>168</v>
      </c>
      <c r="Q3435" t="s">
        <v>7788</v>
      </c>
      <c r="R3435" t="s">
        <v>7789</v>
      </c>
      <c r="S3435" t="s">
        <v>6958</v>
      </c>
      <c r="V3435" t="s">
        <v>6959</v>
      </c>
      <c r="W3435" t="s">
        <v>6966</v>
      </c>
      <c r="AD3435" t="s">
        <v>7790</v>
      </c>
    </row>
    <row r="3436" spans="1:30" x14ac:dyDescent="0.25">
      <c r="A3436" t="s">
        <v>33</v>
      </c>
      <c r="D3436" t="s">
        <v>6953</v>
      </c>
      <c r="E3436" t="s">
        <v>2859</v>
      </c>
      <c r="F3436" t="s">
        <v>87</v>
      </c>
      <c r="G3436" t="s">
        <v>7684</v>
      </c>
      <c r="H3436" t="s">
        <v>166</v>
      </c>
      <c r="I3436" t="s">
        <v>216</v>
      </c>
      <c r="J3436" t="s">
        <v>167</v>
      </c>
      <c r="K3436" t="s">
        <v>41</v>
      </c>
      <c r="L3436" t="s">
        <v>7685</v>
      </c>
      <c r="N3436" t="s">
        <v>7686</v>
      </c>
      <c r="O3436" t="s">
        <v>217</v>
      </c>
      <c r="Q3436" t="s">
        <v>1370</v>
      </c>
      <c r="R3436" t="s">
        <v>7791</v>
      </c>
      <c r="S3436" t="s">
        <v>6958</v>
      </c>
      <c r="V3436" t="s">
        <v>6959</v>
      </c>
      <c r="W3436" t="s">
        <v>6981</v>
      </c>
      <c r="AD3436" t="s">
        <v>7792</v>
      </c>
    </row>
    <row r="3437" spans="1:30" x14ac:dyDescent="0.25">
      <c r="A3437" t="s">
        <v>33</v>
      </c>
      <c r="D3437" t="s">
        <v>6953</v>
      </c>
      <c r="E3437" t="s">
        <v>2869</v>
      </c>
      <c r="F3437" t="s">
        <v>2870</v>
      </c>
      <c r="G3437" t="s">
        <v>2871</v>
      </c>
      <c r="H3437" t="s">
        <v>166</v>
      </c>
      <c r="I3437" t="s">
        <v>479</v>
      </c>
      <c r="J3437" t="s">
        <v>167</v>
      </c>
      <c r="K3437" t="s">
        <v>41</v>
      </c>
      <c r="L3437" t="s">
        <v>2873</v>
      </c>
      <c r="N3437" t="s">
        <v>2874</v>
      </c>
      <c r="O3437" t="s">
        <v>487</v>
      </c>
      <c r="Q3437" t="s">
        <v>2677</v>
      </c>
      <c r="R3437" t="s">
        <v>7793</v>
      </c>
      <c r="S3437" t="s">
        <v>6958</v>
      </c>
      <c r="V3437" t="s">
        <v>6959</v>
      </c>
      <c r="W3437" t="s">
        <v>7009</v>
      </c>
      <c r="AD3437" t="s">
        <v>7794</v>
      </c>
    </row>
    <row r="3438" spans="1:30" x14ac:dyDescent="0.25">
      <c r="A3438" t="s">
        <v>33</v>
      </c>
      <c r="D3438" t="s">
        <v>6953</v>
      </c>
      <c r="E3438" t="s">
        <v>2859</v>
      </c>
      <c r="F3438" t="s">
        <v>78</v>
      </c>
      <c r="G3438" t="s">
        <v>6962</v>
      </c>
      <c r="H3438" t="s">
        <v>166</v>
      </c>
      <c r="I3438" t="s">
        <v>243</v>
      </c>
      <c r="J3438" t="s">
        <v>167</v>
      </c>
      <c r="K3438" t="s">
        <v>41</v>
      </c>
      <c r="L3438" t="s">
        <v>6963</v>
      </c>
      <c r="N3438" t="s">
        <v>6964</v>
      </c>
      <c r="O3438" t="s">
        <v>244</v>
      </c>
      <c r="Q3438" t="s">
        <v>245</v>
      </c>
      <c r="R3438" t="s">
        <v>7795</v>
      </c>
      <c r="S3438" t="s">
        <v>6958</v>
      </c>
      <c r="V3438" t="s">
        <v>6959</v>
      </c>
      <c r="W3438" t="s">
        <v>6966</v>
      </c>
      <c r="AD3438" t="s">
        <v>7796</v>
      </c>
    </row>
    <row r="3439" spans="1:30" x14ac:dyDescent="0.25">
      <c r="A3439" t="s">
        <v>33</v>
      </c>
      <c r="D3439" t="s">
        <v>6953</v>
      </c>
      <c r="E3439" t="s">
        <v>2893</v>
      </c>
      <c r="F3439" t="s">
        <v>866</v>
      </c>
      <c r="G3439" t="s">
        <v>7018</v>
      </c>
      <c r="H3439" t="s">
        <v>166</v>
      </c>
      <c r="I3439" t="s">
        <v>216</v>
      </c>
      <c r="J3439" t="s">
        <v>167</v>
      </c>
      <c r="K3439" t="s">
        <v>41</v>
      </c>
      <c r="L3439" t="s">
        <v>7019</v>
      </c>
      <c r="N3439" t="s">
        <v>7020</v>
      </c>
      <c r="O3439" t="s">
        <v>872</v>
      </c>
      <c r="Q3439" t="s">
        <v>1275</v>
      </c>
      <c r="R3439" t="s">
        <v>7797</v>
      </c>
      <c r="S3439" t="s">
        <v>6958</v>
      </c>
      <c r="V3439" t="s">
        <v>6959</v>
      </c>
      <c r="W3439" t="s">
        <v>6999</v>
      </c>
      <c r="AD3439" t="s">
        <v>7772</v>
      </c>
    </row>
    <row r="3440" spans="1:30" x14ac:dyDescent="0.25">
      <c r="A3440" t="s">
        <v>33</v>
      </c>
      <c r="D3440" t="s">
        <v>6953</v>
      </c>
      <c r="E3440" t="s">
        <v>2859</v>
      </c>
      <c r="F3440" t="s">
        <v>866</v>
      </c>
      <c r="G3440" t="s">
        <v>7027</v>
      </c>
      <c r="H3440" t="s">
        <v>166</v>
      </c>
      <c r="I3440" t="s">
        <v>216</v>
      </c>
      <c r="J3440" t="s">
        <v>167</v>
      </c>
      <c r="K3440" t="s">
        <v>41</v>
      </c>
      <c r="L3440" t="s">
        <v>7028</v>
      </c>
      <c r="N3440" t="s">
        <v>3406</v>
      </c>
      <c r="O3440" t="s">
        <v>872</v>
      </c>
      <c r="Q3440" t="s">
        <v>1275</v>
      </c>
      <c r="R3440" t="s">
        <v>7798</v>
      </c>
      <c r="S3440" t="s">
        <v>6958</v>
      </c>
      <c r="V3440" t="s">
        <v>6959</v>
      </c>
      <c r="W3440" t="s">
        <v>6981</v>
      </c>
      <c r="AD3440" t="s">
        <v>3461</v>
      </c>
    </row>
    <row r="3441" spans="1:30" x14ac:dyDescent="0.25">
      <c r="A3441" t="s">
        <v>33</v>
      </c>
      <c r="D3441" t="s">
        <v>6953</v>
      </c>
      <c r="E3441" t="s">
        <v>2859</v>
      </c>
      <c r="F3441" t="s">
        <v>866</v>
      </c>
      <c r="G3441" t="s">
        <v>7024</v>
      </c>
      <c r="H3441" t="s">
        <v>166</v>
      </c>
      <c r="I3441" t="s">
        <v>216</v>
      </c>
      <c r="J3441" t="s">
        <v>167</v>
      </c>
      <c r="K3441" t="s">
        <v>41</v>
      </c>
      <c r="L3441" t="s">
        <v>7025</v>
      </c>
      <c r="N3441" t="s">
        <v>3406</v>
      </c>
      <c r="O3441" t="s">
        <v>872</v>
      </c>
      <c r="Q3441" t="s">
        <v>1275</v>
      </c>
      <c r="R3441" t="s">
        <v>7799</v>
      </c>
      <c r="S3441" t="s">
        <v>6958</v>
      </c>
      <c r="V3441" t="s">
        <v>6959</v>
      </c>
      <c r="W3441" t="s">
        <v>6981</v>
      </c>
      <c r="AD3441" t="s">
        <v>3461</v>
      </c>
    </row>
    <row r="3442" spans="1:30" x14ac:dyDescent="0.25">
      <c r="A3442" t="s">
        <v>33</v>
      </c>
      <c r="D3442" t="s">
        <v>6953</v>
      </c>
      <c r="E3442" t="s">
        <v>2893</v>
      </c>
      <c r="F3442" t="s">
        <v>866</v>
      </c>
      <c r="G3442" t="s">
        <v>7018</v>
      </c>
      <c r="H3442" t="s">
        <v>166</v>
      </c>
      <c r="I3442" t="s">
        <v>80</v>
      </c>
      <c r="J3442" t="s">
        <v>167</v>
      </c>
      <c r="K3442" t="s">
        <v>41</v>
      </c>
      <c r="L3442" t="s">
        <v>7019</v>
      </c>
      <c r="N3442" t="s">
        <v>7020</v>
      </c>
      <c r="O3442" t="s">
        <v>862</v>
      </c>
      <c r="Q3442" t="s">
        <v>863</v>
      </c>
      <c r="R3442" t="s">
        <v>7800</v>
      </c>
      <c r="S3442" t="s">
        <v>6958</v>
      </c>
      <c r="V3442" t="s">
        <v>6959</v>
      </c>
      <c r="W3442" t="s">
        <v>6999</v>
      </c>
      <c r="AD3442" t="s">
        <v>7801</v>
      </c>
    </row>
    <row r="3443" spans="1:30" x14ac:dyDescent="0.25">
      <c r="A3443" t="s">
        <v>33</v>
      </c>
      <c r="D3443" t="s">
        <v>6953</v>
      </c>
      <c r="E3443" t="s">
        <v>2893</v>
      </c>
      <c r="F3443" t="s">
        <v>866</v>
      </c>
      <c r="G3443" t="s">
        <v>7022</v>
      </c>
      <c r="H3443" t="s">
        <v>166</v>
      </c>
      <c r="I3443" t="s">
        <v>80</v>
      </c>
      <c r="J3443" t="s">
        <v>167</v>
      </c>
      <c r="K3443" t="s">
        <v>41</v>
      </c>
      <c r="L3443" t="s">
        <v>7023</v>
      </c>
      <c r="N3443" t="s">
        <v>7020</v>
      </c>
      <c r="O3443" t="s">
        <v>862</v>
      </c>
      <c r="Q3443" t="s">
        <v>863</v>
      </c>
      <c r="R3443" t="s">
        <v>7802</v>
      </c>
      <c r="S3443" t="s">
        <v>6958</v>
      </c>
      <c r="V3443" t="s">
        <v>6959</v>
      </c>
      <c r="W3443" t="s">
        <v>6999</v>
      </c>
      <c r="AD3443" t="s">
        <v>7801</v>
      </c>
    </row>
    <row r="3444" spans="1:30" x14ac:dyDescent="0.25">
      <c r="A3444" t="s">
        <v>33</v>
      </c>
      <c r="D3444" t="s">
        <v>6953</v>
      </c>
      <c r="E3444" t="s">
        <v>2859</v>
      </c>
      <c r="F3444" t="s">
        <v>866</v>
      </c>
      <c r="G3444" t="s">
        <v>7024</v>
      </c>
      <c r="H3444" t="s">
        <v>166</v>
      </c>
      <c r="I3444" t="s">
        <v>80</v>
      </c>
      <c r="J3444" t="s">
        <v>167</v>
      </c>
      <c r="K3444" t="s">
        <v>41</v>
      </c>
      <c r="L3444" t="s">
        <v>7025</v>
      </c>
      <c r="N3444" t="s">
        <v>3406</v>
      </c>
      <c r="O3444" t="s">
        <v>862</v>
      </c>
      <c r="Q3444" t="s">
        <v>863</v>
      </c>
      <c r="R3444" t="s">
        <v>7803</v>
      </c>
      <c r="S3444" t="s">
        <v>6958</v>
      </c>
      <c r="V3444" t="s">
        <v>6959</v>
      </c>
      <c r="W3444" t="s">
        <v>6981</v>
      </c>
      <c r="AD3444" t="s">
        <v>3456</v>
      </c>
    </row>
    <row r="3445" spans="1:30" x14ac:dyDescent="0.25">
      <c r="A3445" t="s">
        <v>33</v>
      </c>
      <c r="D3445" t="s">
        <v>6953</v>
      </c>
      <c r="E3445" t="s">
        <v>2859</v>
      </c>
      <c r="F3445" t="s">
        <v>866</v>
      </c>
      <c r="G3445" t="s">
        <v>7027</v>
      </c>
      <c r="H3445" t="s">
        <v>166</v>
      </c>
      <c r="I3445" t="s">
        <v>80</v>
      </c>
      <c r="J3445" t="s">
        <v>167</v>
      </c>
      <c r="K3445" t="s">
        <v>41</v>
      </c>
      <c r="L3445" t="s">
        <v>7028</v>
      </c>
      <c r="N3445" t="s">
        <v>3406</v>
      </c>
      <c r="O3445" t="s">
        <v>862</v>
      </c>
      <c r="Q3445" t="s">
        <v>863</v>
      </c>
      <c r="R3445" t="s">
        <v>7804</v>
      </c>
      <c r="S3445" t="s">
        <v>6958</v>
      </c>
      <c r="V3445" t="s">
        <v>6959</v>
      </c>
      <c r="W3445" t="s">
        <v>6981</v>
      </c>
      <c r="AD3445" t="s">
        <v>3456</v>
      </c>
    </row>
    <row r="3446" spans="1:30" x14ac:dyDescent="0.25">
      <c r="A3446" t="s">
        <v>947</v>
      </c>
      <c r="B3446" t="s">
        <v>1948</v>
      </c>
      <c r="C3446" t="s">
        <v>1949</v>
      </c>
      <c r="D3446" t="s">
        <v>6953</v>
      </c>
      <c r="E3446" t="s">
        <v>2893</v>
      </c>
      <c r="F3446" t="s">
        <v>6408</v>
      </c>
      <c r="G3446" t="s">
        <v>7805</v>
      </c>
      <c r="H3446" t="s">
        <v>38</v>
      </c>
      <c r="I3446" t="s">
        <v>7806</v>
      </c>
      <c r="J3446" t="s">
        <v>40</v>
      </c>
      <c r="K3446" t="s">
        <v>41</v>
      </c>
      <c r="L3446" t="s">
        <v>7807</v>
      </c>
      <c r="M3446" t="s">
        <v>960</v>
      </c>
      <c r="N3446" t="s">
        <v>7808</v>
      </c>
      <c r="O3446" t="s">
        <v>7809</v>
      </c>
      <c r="R3446" t="s">
        <v>2378</v>
      </c>
      <c r="S3446" t="s">
        <v>6958</v>
      </c>
      <c r="V3446" t="s">
        <v>6959</v>
      </c>
      <c r="W3446" t="s">
        <v>6999</v>
      </c>
      <c r="X3446" t="s">
        <v>963</v>
      </c>
      <c r="AD3446" t="s">
        <v>7810</v>
      </c>
    </row>
    <row r="3447" spans="1:30" x14ac:dyDescent="0.25">
      <c r="A3447" t="s">
        <v>33</v>
      </c>
      <c r="D3447" t="s">
        <v>6953</v>
      </c>
      <c r="E3447" t="s">
        <v>2893</v>
      </c>
      <c r="F3447" t="s">
        <v>866</v>
      </c>
      <c r="G3447" t="s">
        <v>7811</v>
      </c>
      <c r="H3447" t="s">
        <v>280</v>
      </c>
      <c r="I3447" t="s">
        <v>1263</v>
      </c>
      <c r="J3447" t="s">
        <v>282</v>
      </c>
      <c r="K3447" t="s">
        <v>2563</v>
      </c>
      <c r="L3447" t="s">
        <v>7812</v>
      </c>
      <c r="N3447" t="s">
        <v>7813</v>
      </c>
      <c r="O3447" t="s">
        <v>1264</v>
      </c>
      <c r="Q3447" t="s">
        <v>7814</v>
      </c>
      <c r="R3447" t="s">
        <v>7815</v>
      </c>
      <c r="S3447" t="s">
        <v>6958</v>
      </c>
      <c r="V3447" t="s">
        <v>6959</v>
      </c>
      <c r="W3447" t="s">
        <v>6999</v>
      </c>
      <c r="AD3447" t="s">
        <v>7816</v>
      </c>
    </row>
    <row r="3448" spans="1:30" x14ac:dyDescent="0.25">
      <c r="A3448" t="s">
        <v>33</v>
      </c>
      <c r="D3448" t="s">
        <v>6953</v>
      </c>
      <c r="E3448" t="s">
        <v>2859</v>
      </c>
      <c r="F3448" t="s">
        <v>866</v>
      </c>
      <c r="G3448" t="s">
        <v>7817</v>
      </c>
      <c r="H3448" t="s">
        <v>280</v>
      </c>
      <c r="I3448" t="s">
        <v>1263</v>
      </c>
      <c r="J3448" t="s">
        <v>282</v>
      </c>
      <c r="K3448" t="s">
        <v>2563</v>
      </c>
      <c r="L3448" t="s">
        <v>7818</v>
      </c>
      <c r="N3448" t="s">
        <v>7819</v>
      </c>
      <c r="O3448" t="s">
        <v>1264</v>
      </c>
      <c r="Q3448" t="s">
        <v>7820</v>
      </c>
      <c r="R3448" t="s">
        <v>7821</v>
      </c>
      <c r="S3448" t="s">
        <v>6958</v>
      </c>
      <c r="V3448" t="s">
        <v>6959</v>
      </c>
      <c r="W3448" t="s">
        <v>6981</v>
      </c>
      <c r="AD3448" t="s">
        <v>7822</v>
      </c>
    </row>
    <row r="3449" spans="1:30" x14ac:dyDescent="0.25">
      <c r="A3449" t="s">
        <v>33</v>
      </c>
      <c r="D3449" t="s">
        <v>6953</v>
      </c>
      <c r="E3449" t="s">
        <v>2859</v>
      </c>
      <c r="F3449" t="s">
        <v>1867</v>
      </c>
      <c r="G3449" t="s">
        <v>7823</v>
      </c>
      <c r="H3449" t="s">
        <v>280</v>
      </c>
      <c r="I3449" t="s">
        <v>3311</v>
      </c>
      <c r="J3449" t="s">
        <v>282</v>
      </c>
      <c r="K3449" t="s">
        <v>283</v>
      </c>
      <c r="L3449" t="s">
        <v>7824</v>
      </c>
      <c r="N3449" t="s">
        <v>7825</v>
      </c>
      <c r="O3449" t="s">
        <v>3312</v>
      </c>
      <c r="Q3449" t="s">
        <v>7826</v>
      </c>
      <c r="R3449" t="s">
        <v>7827</v>
      </c>
      <c r="S3449" t="s">
        <v>6958</v>
      </c>
      <c r="V3449" t="s">
        <v>6959</v>
      </c>
      <c r="W3449" t="s">
        <v>6966</v>
      </c>
      <c r="AD3449" t="s">
        <v>7828</v>
      </c>
    </row>
    <row r="3450" spans="1:30" x14ac:dyDescent="0.25">
      <c r="A3450" t="s">
        <v>33</v>
      </c>
      <c r="D3450" t="s">
        <v>6953</v>
      </c>
      <c r="E3450" t="s">
        <v>2859</v>
      </c>
      <c r="F3450" t="s">
        <v>36</v>
      </c>
      <c r="G3450" t="s">
        <v>7001</v>
      </c>
      <c r="H3450" t="s">
        <v>38</v>
      </c>
      <c r="I3450" t="s">
        <v>63</v>
      </c>
      <c r="J3450" t="s">
        <v>40</v>
      </c>
      <c r="K3450" t="s">
        <v>41</v>
      </c>
      <c r="L3450" t="s">
        <v>7002</v>
      </c>
      <c r="M3450" t="s">
        <v>3483</v>
      </c>
      <c r="N3450" t="s">
        <v>7003</v>
      </c>
      <c r="O3450" t="s">
        <v>65</v>
      </c>
      <c r="R3450" t="s">
        <v>4479</v>
      </c>
      <c r="S3450" t="s">
        <v>6958</v>
      </c>
      <c r="V3450" t="s">
        <v>6959</v>
      </c>
      <c r="W3450" t="s">
        <v>6981</v>
      </c>
      <c r="X3450" t="s">
        <v>963</v>
      </c>
      <c r="Y3450">
        <v>0</v>
      </c>
      <c r="Z3450">
        <v>500</v>
      </c>
      <c r="AD3450" t="s">
        <v>7829</v>
      </c>
    </row>
    <row r="3451" spans="1:30" x14ac:dyDescent="0.25">
      <c r="A3451" t="s">
        <v>33</v>
      </c>
      <c r="D3451" t="s">
        <v>6953</v>
      </c>
      <c r="E3451" t="s">
        <v>2859</v>
      </c>
      <c r="F3451" t="s">
        <v>78</v>
      </c>
      <c r="G3451" t="s">
        <v>6962</v>
      </c>
      <c r="H3451" t="s">
        <v>166</v>
      </c>
      <c r="I3451" t="s">
        <v>80</v>
      </c>
      <c r="J3451" t="s">
        <v>167</v>
      </c>
      <c r="K3451" t="s">
        <v>41</v>
      </c>
      <c r="L3451" t="s">
        <v>6963</v>
      </c>
      <c r="N3451" t="s">
        <v>6964</v>
      </c>
      <c r="O3451" t="s">
        <v>84</v>
      </c>
      <c r="Q3451" t="s">
        <v>7830</v>
      </c>
      <c r="R3451" t="s">
        <v>7831</v>
      </c>
      <c r="S3451" t="s">
        <v>6958</v>
      </c>
      <c r="V3451" t="s">
        <v>6959</v>
      </c>
      <c r="W3451" t="s">
        <v>6966</v>
      </c>
      <c r="AD3451" t="s">
        <v>7832</v>
      </c>
    </row>
    <row r="3452" spans="1:30" x14ac:dyDescent="0.25">
      <c r="A3452" t="s">
        <v>33</v>
      </c>
      <c r="D3452" t="s">
        <v>6953</v>
      </c>
      <c r="E3452" t="s">
        <v>2859</v>
      </c>
      <c r="F3452" t="s">
        <v>78</v>
      </c>
      <c r="G3452" t="s">
        <v>7833</v>
      </c>
      <c r="H3452" t="s">
        <v>166</v>
      </c>
      <c r="I3452" t="s">
        <v>80</v>
      </c>
      <c r="J3452" t="s">
        <v>167</v>
      </c>
      <c r="K3452" t="s">
        <v>41</v>
      </c>
      <c r="L3452" t="s">
        <v>7834</v>
      </c>
      <c r="N3452" t="s">
        <v>7835</v>
      </c>
      <c r="O3452" t="s">
        <v>84</v>
      </c>
      <c r="Q3452" t="s">
        <v>7830</v>
      </c>
      <c r="R3452" t="s">
        <v>7836</v>
      </c>
      <c r="S3452" t="s">
        <v>6958</v>
      </c>
      <c r="V3452" t="s">
        <v>6959</v>
      </c>
      <c r="W3452" t="s">
        <v>6981</v>
      </c>
      <c r="AD3452" t="s">
        <v>7837</v>
      </c>
    </row>
    <row r="3453" spans="1:30" x14ac:dyDescent="0.25">
      <c r="A3453" t="s">
        <v>33</v>
      </c>
      <c r="C3453" t="s">
        <v>1949</v>
      </c>
      <c r="D3453" t="s">
        <v>6953</v>
      </c>
      <c r="E3453" t="s">
        <v>2893</v>
      </c>
      <c r="F3453" t="s">
        <v>6408</v>
      </c>
      <c r="G3453" t="s">
        <v>7805</v>
      </c>
      <c r="H3453" t="s">
        <v>280</v>
      </c>
      <c r="I3453" t="s">
        <v>3311</v>
      </c>
      <c r="J3453" t="s">
        <v>282</v>
      </c>
      <c r="K3453" t="s">
        <v>283</v>
      </c>
      <c r="L3453" t="s">
        <v>7807</v>
      </c>
      <c r="N3453" t="s">
        <v>7808</v>
      </c>
      <c r="O3453" t="s">
        <v>3312</v>
      </c>
      <c r="Q3453" t="s">
        <v>7826</v>
      </c>
      <c r="R3453" t="s">
        <v>7838</v>
      </c>
      <c r="S3453" t="s">
        <v>6958</v>
      </c>
      <c r="V3453" t="s">
        <v>6959</v>
      </c>
      <c r="W3453" t="s">
        <v>6999</v>
      </c>
      <c r="AD3453" t="s">
        <v>7839</v>
      </c>
    </row>
    <row r="3454" spans="1:30" x14ac:dyDescent="0.25">
      <c r="A3454" t="s">
        <v>33</v>
      </c>
      <c r="D3454" t="s">
        <v>6953</v>
      </c>
      <c r="E3454" t="s">
        <v>2893</v>
      </c>
      <c r="F3454" t="s">
        <v>78</v>
      </c>
      <c r="G3454" t="s">
        <v>7255</v>
      </c>
      <c r="H3454" t="s">
        <v>143</v>
      </c>
      <c r="I3454" t="s">
        <v>261</v>
      </c>
      <c r="J3454" t="s">
        <v>145</v>
      </c>
      <c r="K3454" t="s">
        <v>146</v>
      </c>
      <c r="L3454" t="s">
        <v>7256</v>
      </c>
      <c r="M3454" t="s">
        <v>3327</v>
      </c>
      <c r="N3454" t="s">
        <v>7257</v>
      </c>
      <c r="O3454" t="s">
        <v>263</v>
      </c>
      <c r="R3454" t="s">
        <v>7840</v>
      </c>
      <c r="S3454" t="s">
        <v>6958</v>
      </c>
      <c r="V3454" t="s">
        <v>6959</v>
      </c>
      <c r="W3454" t="s">
        <v>6999</v>
      </c>
      <c r="X3454" t="s">
        <v>1193</v>
      </c>
      <c r="AD3454" t="s">
        <v>7277</v>
      </c>
    </row>
    <row r="3455" spans="1:30" x14ac:dyDescent="0.25">
      <c r="A3455" t="s">
        <v>33</v>
      </c>
      <c r="D3455" t="s">
        <v>6953</v>
      </c>
      <c r="E3455" t="s">
        <v>2893</v>
      </c>
      <c r="F3455" t="s">
        <v>248</v>
      </c>
      <c r="G3455" t="s">
        <v>7232</v>
      </c>
      <c r="H3455" t="s">
        <v>143</v>
      </c>
      <c r="I3455" t="s">
        <v>261</v>
      </c>
      <c r="J3455" t="s">
        <v>145</v>
      </c>
      <c r="K3455" t="s">
        <v>146</v>
      </c>
      <c r="L3455" t="s">
        <v>7233</v>
      </c>
      <c r="M3455" t="s">
        <v>3327</v>
      </c>
      <c r="N3455" t="s">
        <v>7234</v>
      </c>
      <c r="O3455" t="s">
        <v>263</v>
      </c>
      <c r="R3455" t="s">
        <v>7841</v>
      </c>
      <c r="S3455" t="s">
        <v>6958</v>
      </c>
      <c r="V3455" t="s">
        <v>6959</v>
      </c>
      <c r="W3455" t="s">
        <v>6999</v>
      </c>
      <c r="X3455" t="s">
        <v>1193</v>
      </c>
      <c r="AD3455" t="s">
        <v>7252</v>
      </c>
    </row>
    <row r="3456" spans="1:30" x14ac:dyDescent="0.25">
      <c r="A3456" t="s">
        <v>33</v>
      </c>
      <c r="D3456" t="s">
        <v>6953</v>
      </c>
      <c r="E3456" t="s">
        <v>2859</v>
      </c>
      <c r="F3456" t="s">
        <v>78</v>
      </c>
      <c r="G3456" t="s">
        <v>7280</v>
      </c>
      <c r="H3456" t="s">
        <v>143</v>
      </c>
      <c r="I3456" t="s">
        <v>261</v>
      </c>
      <c r="J3456" t="s">
        <v>145</v>
      </c>
      <c r="K3456" t="s">
        <v>146</v>
      </c>
      <c r="L3456" t="s">
        <v>7281</v>
      </c>
      <c r="M3456" t="s">
        <v>176</v>
      </c>
      <c r="N3456" t="s">
        <v>7282</v>
      </c>
      <c r="O3456" t="s">
        <v>263</v>
      </c>
      <c r="R3456" t="s">
        <v>7842</v>
      </c>
      <c r="S3456" t="s">
        <v>6958</v>
      </c>
      <c r="V3456" t="s">
        <v>6959</v>
      </c>
      <c r="W3456" t="s">
        <v>6966</v>
      </c>
      <c r="AD3456" t="s">
        <v>7300</v>
      </c>
    </row>
    <row r="3457" spans="1:30" x14ac:dyDescent="0.25">
      <c r="A3457" t="s">
        <v>33</v>
      </c>
      <c r="D3457" t="s">
        <v>6953</v>
      </c>
      <c r="E3457" t="s">
        <v>2859</v>
      </c>
      <c r="F3457" t="s">
        <v>248</v>
      </c>
      <c r="G3457" t="s">
        <v>7303</v>
      </c>
      <c r="H3457" t="s">
        <v>143</v>
      </c>
      <c r="I3457" t="s">
        <v>261</v>
      </c>
      <c r="J3457" t="s">
        <v>145</v>
      </c>
      <c r="K3457" t="s">
        <v>146</v>
      </c>
      <c r="L3457" t="s">
        <v>7304</v>
      </c>
      <c r="M3457" t="s">
        <v>176</v>
      </c>
      <c r="N3457" t="s">
        <v>7305</v>
      </c>
      <c r="O3457" t="s">
        <v>263</v>
      </c>
      <c r="R3457" t="s">
        <v>7843</v>
      </c>
      <c r="S3457" t="s">
        <v>6958</v>
      </c>
      <c r="V3457" t="s">
        <v>6959</v>
      </c>
      <c r="W3457" t="s">
        <v>6966</v>
      </c>
      <c r="AD3457" t="s">
        <v>7498</v>
      </c>
    </row>
    <row r="3458" spans="1:30" x14ac:dyDescent="0.25">
      <c r="A3458" t="s">
        <v>33</v>
      </c>
      <c r="D3458" t="s">
        <v>6953</v>
      </c>
      <c r="E3458" t="s">
        <v>2859</v>
      </c>
      <c r="F3458" t="s">
        <v>78</v>
      </c>
      <c r="G3458" t="s">
        <v>7499</v>
      </c>
      <c r="H3458" t="s">
        <v>143</v>
      </c>
      <c r="I3458" t="s">
        <v>261</v>
      </c>
      <c r="J3458" t="s">
        <v>145</v>
      </c>
      <c r="K3458" t="s">
        <v>146</v>
      </c>
      <c r="L3458" t="s">
        <v>7500</v>
      </c>
      <c r="M3458" t="s">
        <v>176</v>
      </c>
      <c r="N3458" t="s">
        <v>7501</v>
      </c>
      <c r="O3458" t="s">
        <v>263</v>
      </c>
      <c r="R3458" t="s">
        <v>7844</v>
      </c>
      <c r="S3458" t="s">
        <v>6958</v>
      </c>
      <c r="V3458" t="s">
        <v>6959</v>
      </c>
      <c r="W3458" t="s">
        <v>6981</v>
      </c>
      <c r="AD3458" t="s">
        <v>7519</v>
      </c>
    </row>
    <row r="3459" spans="1:30" x14ac:dyDescent="0.25">
      <c r="A3459" t="s">
        <v>33</v>
      </c>
      <c r="D3459" t="s">
        <v>6953</v>
      </c>
      <c r="E3459" t="s">
        <v>2859</v>
      </c>
      <c r="F3459" t="s">
        <v>78</v>
      </c>
      <c r="G3459" t="s">
        <v>7522</v>
      </c>
      <c r="H3459" t="s">
        <v>143</v>
      </c>
      <c r="I3459" t="s">
        <v>261</v>
      </c>
      <c r="J3459" t="s">
        <v>145</v>
      </c>
      <c r="K3459" t="s">
        <v>146</v>
      </c>
      <c r="L3459" t="s">
        <v>7523</v>
      </c>
      <c r="M3459" t="s">
        <v>176</v>
      </c>
      <c r="N3459" t="s">
        <v>7524</v>
      </c>
      <c r="O3459" t="s">
        <v>263</v>
      </c>
      <c r="R3459" t="s">
        <v>5200</v>
      </c>
      <c r="S3459" t="s">
        <v>6958</v>
      </c>
      <c r="V3459" t="s">
        <v>6959</v>
      </c>
      <c r="W3459" t="s">
        <v>6981</v>
      </c>
      <c r="AD3459" t="s">
        <v>7542</v>
      </c>
    </row>
    <row r="3460" spans="1:30" x14ac:dyDescent="0.25">
      <c r="A3460" t="s">
        <v>33</v>
      </c>
      <c r="D3460" t="s">
        <v>6953</v>
      </c>
      <c r="E3460" t="s">
        <v>2859</v>
      </c>
      <c r="F3460" t="s">
        <v>78</v>
      </c>
      <c r="G3460" t="s">
        <v>7552</v>
      </c>
      <c r="H3460" t="s">
        <v>143</v>
      </c>
      <c r="I3460" t="s">
        <v>261</v>
      </c>
      <c r="J3460" t="s">
        <v>145</v>
      </c>
      <c r="K3460" t="s">
        <v>146</v>
      </c>
      <c r="L3460" t="s">
        <v>7553</v>
      </c>
      <c r="M3460" t="s">
        <v>252</v>
      </c>
      <c r="N3460" t="s">
        <v>7554</v>
      </c>
      <c r="O3460" t="s">
        <v>263</v>
      </c>
      <c r="R3460" t="s">
        <v>7845</v>
      </c>
      <c r="S3460" t="s">
        <v>6958</v>
      </c>
      <c r="V3460" t="s">
        <v>6959</v>
      </c>
      <c r="W3460" t="s">
        <v>6966</v>
      </c>
      <c r="AD3460" t="s">
        <v>7574</v>
      </c>
    </row>
    <row r="3461" spans="1:30" x14ac:dyDescent="0.25">
      <c r="A3461" t="s">
        <v>33</v>
      </c>
      <c r="D3461" t="s">
        <v>6953</v>
      </c>
      <c r="E3461" t="s">
        <v>2859</v>
      </c>
      <c r="F3461" t="s">
        <v>78</v>
      </c>
      <c r="G3461" t="s">
        <v>7577</v>
      </c>
      <c r="H3461" t="s">
        <v>143</v>
      </c>
      <c r="I3461" t="s">
        <v>261</v>
      </c>
      <c r="J3461" t="s">
        <v>145</v>
      </c>
      <c r="K3461" t="s">
        <v>146</v>
      </c>
      <c r="L3461" t="s">
        <v>7578</v>
      </c>
      <c r="M3461" t="s">
        <v>252</v>
      </c>
      <c r="N3461" t="s">
        <v>7579</v>
      </c>
      <c r="O3461" t="s">
        <v>263</v>
      </c>
      <c r="R3461" t="s">
        <v>7846</v>
      </c>
      <c r="S3461" t="s">
        <v>6958</v>
      </c>
      <c r="V3461" t="s">
        <v>6959</v>
      </c>
      <c r="W3461" t="s">
        <v>6981</v>
      </c>
      <c r="AD3461" t="s">
        <v>7597</v>
      </c>
    </row>
    <row r="3462" spans="1:30" x14ac:dyDescent="0.25">
      <c r="A3462" t="s">
        <v>33</v>
      </c>
      <c r="D3462" t="s">
        <v>6953</v>
      </c>
      <c r="E3462" t="s">
        <v>2859</v>
      </c>
      <c r="F3462" t="s">
        <v>78</v>
      </c>
      <c r="G3462" t="s">
        <v>7600</v>
      </c>
      <c r="H3462" t="s">
        <v>143</v>
      </c>
      <c r="I3462" t="s">
        <v>261</v>
      </c>
      <c r="J3462" t="s">
        <v>145</v>
      </c>
      <c r="K3462" t="s">
        <v>146</v>
      </c>
      <c r="L3462" t="s">
        <v>7601</v>
      </c>
      <c r="M3462" t="s">
        <v>252</v>
      </c>
      <c r="N3462" t="s">
        <v>7602</v>
      </c>
      <c r="O3462" t="s">
        <v>263</v>
      </c>
      <c r="R3462" t="s">
        <v>7847</v>
      </c>
      <c r="S3462" t="s">
        <v>6958</v>
      </c>
      <c r="V3462" t="s">
        <v>6959</v>
      </c>
      <c r="W3462" t="s">
        <v>6981</v>
      </c>
      <c r="AD3462" t="s">
        <v>7622</v>
      </c>
    </row>
    <row r="3463" spans="1:30" x14ac:dyDescent="0.25">
      <c r="A3463" t="s">
        <v>33</v>
      </c>
      <c r="D3463" t="s">
        <v>6953</v>
      </c>
      <c r="E3463" t="s">
        <v>2859</v>
      </c>
      <c r="F3463" t="s">
        <v>78</v>
      </c>
      <c r="G3463" t="s">
        <v>7625</v>
      </c>
      <c r="H3463" t="s">
        <v>143</v>
      </c>
      <c r="I3463" t="s">
        <v>261</v>
      </c>
      <c r="J3463" t="s">
        <v>145</v>
      </c>
      <c r="K3463" t="s">
        <v>146</v>
      </c>
      <c r="L3463" t="s">
        <v>7626</v>
      </c>
      <c r="M3463" t="s">
        <v>252</v>
      </c>
      <c r="N3463" t="s">
        <v>7627</v>
      </c>
      <c r="O3463" t="s">
        <v>263</v>
      </c>
      <c r="R3463" t="s">
        <v>5312</v>
      </c>
      <c r="S3463" t="s">
        <v>6958</v>
      </c>
      <c r="V3463" t="s">
        <v>6959</v>
      </c>
      <c r="W3463" t="s">
        <v>6981</v>
      </c>
      <c r="AD3463" t="s">
        <v>7647</v>
      </c>
    </row>
    <row r="3464" spans="1:30" x14ac:dyDescent="0.25">
      <c r="A3464" t="s">
        <v>947</v>
      </c>
      <c r="B3464" t="s">
        <v>1948</v>
      </c>
      <c r="C3464" t="s">
        <v>949</v>
      </c>
      <c r="D3464" t="s">
        <v>6953</v>
      </c>
      <c r="E3464" t="s">
        <v>2859</v>
      </c>
      <c r="F3464" t="s">
        <v>78</v>
      </c>
      <c r="G3464" t="s">
        <v>6962</v>
      </c>
      <c r="H3464" t="s">
        <v>280</v>
      </c>
      <c r="I3464" t="s">
        <v>7848</v>
      </c>
      <c r="J3464" t="s">
        <v>282</v>
      </c>
      <c r="K3464" t="s">
        <v>283</v>
      </c>
      <c r="L3464" t="s">
        <v>6963</v>
      </c>
      <c r="N3464" t="s">
        <v>6964</v>
      </c>
      <c r="O3464" t="s">
        <v>7849</v>
      </c>
      <c r="Q3464" t="s">
        <v>3457</v>
      </c>
      <c r="R3464" t="s">
        <v>6514</v>
      </c>
      <c r="S3464" t="s">
        <v>6958</v>
      </c>
      <c r="V3464" t="s">
        <v>6959</v>
      </c>
      <c r="W3464" t="s">
        <v>6966</v>
      </c>
      <c r="AD3464" t="s">
        <v>7850</v>
      </c>
    </row>
    <row r="3465" spans="1:30" x14ac:dyDescent="0.25">
      <c r="A3465" t="s">
        <v>33</v>
      </c>
      <c r="D3465" t="s">
        <v>6953</v>
      </c>
      <c r="E3465" t="s">
        <v>2893</v>
      </c>
      <c r="F3465" t="s">
        <v>87</v>
      </c>
      <c r="G3465" t="s">
        <v>2193</v>
      </c>
      <c r="H3465" t="s">
        <v>143</v>
      </c>
      <c r="I3465" t="s">
        <v>90</v>
      </c>
      <c r="J3465" t="s">
        <v>145</v>
      </c>
      <c r="K3465" t="s">
        <v>146</v>
      </c>
      <c r="L3465" t="s">
        <v>2194</v>
      </c>
      <c r="M3465" t="s">
        <v>3327</v>
      </c>
      <c r="N3465" t="s">
        <v>7126</v>
      </c>
      <c r="O3465" t="s">
        <v>380</v>
      </c>
      <c r="R3465" t="s">
        <v>7851</v>
      </c>
      <c r="S3465" t="s">
        <v>6958</v>
      </c>
      <c r="V3465" t="s">
        <v>6959</v>
      </c>
      <c r="W3465" t="s">
        <v>6999</v>
      </c>
      <c r="X3465" t="s">
        <v>1193</v>
      </c>
      <c r="AD3465" t="s">
        <v>7137</v>
      </c>
    </row>
    <row r="3466" spans="1:30" x14ac:dyDescent="0.25">
      <c r="A3466" t="s">
        <v>33</v>
      </c>
      <c r="D3466" t="s">
        <v>6953</v>
      </c>
      <c r="E3466" t="s">
        <v>2893</v>
      </c>
      <c r="F3466" t="s">
        <v>87</v>
      </c>
      <c r="G3466" t="s">
        <v>2193</v>
      </c>
      <c r="H3466" t="s">
        <v>143</v>
      </c>
      <c r="I3466" t="s">
        <v>144</v>
      </c>
      <c r="J3466" t="s">
        <v>145</v>
      </c>
      <c r="K3466" t="s">
        <v>146</v>
      </c>
      <c r="L3466" t="s">
        <v>2194</v>
      </c>
      <c r="M3466" t="s">
        <v>3327</v>
      </c>
      <c r="N3466" t="s">
        <v>7126</v>
      </c>
      <c r="O3466" t="s">
        <v>147</v>
      </c>
      <c r="R3466" t="s">
        <v>7852</v>
      </c>
      <c r="S3466" t="s">
        <v>6958</v>
      </c>
      <c r="V3466" t="s">
        <v>6959</v>
      </c>
      <c r="W3466" t="s">
        <v>6999</v>
      </c>
      <c r="X3466" t="s">
        <v>1193</v>
      </c>
      <c r="AD3466" t="s">
        <v>7130</v>
      </c>
    </row>
    <row r="3467" spans="1:30" x14ac:dyDescent="0.25">
      <c r="A3467" t="s">
        <v>33</v>
      </c>
      <c r="D3467" t="s">
        <v>6953</v>
      </c>
      <c r="E3467" t="s">
        <v>2893</v>
      </c>
      <c r="F3467" t="s">
        <v>87</v>
      </c>
      <c r="G3467" t="s">
        <v>2193</v>
      </c>
      <c r="H3467" t="s">
        <v>143</v>
      </c>
      <c r="I3467" t="s">
        <v>180</v>
      </c>
      <c r="J3467" t="s">
        <v>145</v>
      </c>
      <c r="K3467" t="s">
        <v>146</v>
      </c>
      <c r="L3467" t="s">
        <v>2194</v>
      </c>
      <c r="M3467" t="s">
        <v>3327</v>
      </c>
      <c r="N3467" t="s">
        <v>7126</v>
      </c>
      <c r="O3467" t="s">
        <v>181</v>
      </c>
      <c r="R3467" t="s">
        <v>7853</v>
      </c>
      <c r="S3467" t="s">
        <v>6958</v>
      </c>
      <c r="V3467" t="s">
        <v>6959</v>
      </c>
      <c r="W3467" t="s">
        <v>6999</v>
      </c>
      <c r="X3467" t="s">
        <v>1193</v>
      </c>
      <c r="AD3467" t="s">
        <v>7143</v>
      </c>
    </row>
    <row r="3468" spans="1:30" x14ac:dyDescent="0.25">
      <c r="A3468" t="s">
        <v>33</v>
      </c>
      <c r="D3468" t="s">
        <v>6953</v>
      </c>
      <c r="E3468" t="s">
        <v>2893</v>
      </c>
      <c r="F3468" t="s">
        <v>87</v>
      </c>
      <c r="G3468" t="s">
        <v>2193</v>
      </c>
      <c r="H3468" t="s">
        <v>143</v>
      </c>
      <c r="I3468" t="s">
        <v>100</v>
      </c>
      <c r="J3468" t="s">
        <v>145</v>
      </c>
      <c r="K3468" t="s">
        <v>146</v>
      </c>
      <c r="L3468" t="s">
        <v>2194</v>
      </c>
      <c r="M3468" t="s">
        <v>3327</v>
      </c>
      <c r="N3468" t="s">
        <v>7126</v>
      </c>
      <c r="O3468" t="s">
        <v>442</v>
      </c>
      <c r="R3468" t="s">
        <v>7854</v>
      </c>
      <c r="S3468" t="s">
        <v>6958</v>
      </c>
      <c r="V3468" t="s">
        <v>6959</v>
      </c>
      <c r="W3468" t="s">
        <v>6999</v>
      </c>
      <c r="X3468" t="s">
        <v>1193</v>
      </c>
      <c r="AD3468" t="s">
        <v>7151</v>
      </c>
    </row>
    <row r="3469" spans="1:30" x14ac:dyDescent="0.25">
      <c r="A3469" t="s">
        <v>33</v>
      </c>
      <c r="D3469" t="s">
        <v>6953</v>
      </c>
      <c r="E3469" t="s">
        <v>2893</v>
      </c>
      <c r="F3469" t="s">
        <v>87</v>
      </c>
      <c r="G3469" t="s">
        <v>7109</v>
      </c>
      <c r="H3469" t="s">
        <v>143</v>
      </c>
      <c r="I3469" t="s">
        <v>144</v>
      </c>
      <c r="J3469" t="s">
        <v>145</v>
      </c>
      <c r="K3469" t="s">
        <v>146</v>
      </c>
      <c r="L3469" t="s">
        <v>7110</v>
      </c>
      <c r="M3469" t="s">
        <v>3327</v>
      </c>
      <c r="N3469" t="s">
        <v>7111</v>
      </c>
      <c r="O3469" t="s">
        <v>147</v>
      </c>
      <c r="R3469" t="s">
        <v>7855</v>
      </c>
      <c r="S3469" t="s">
        <v>6958</v>
      </c>
      <c r="V3469" t="s">
        <v>6959</v>
      </c>
      <c r="W3469" t="s">
        <v>6999</v>
      </c>
      <c r="AD3469" t="s">
        <v>7115</v>
      </c>
    </row>
    <row r="3470" spans="1:30" x14ac:dyDescent="0.25">
      <c r="A3470" t="s">
        <v>33</v>
      </c>
      <c r="D3470" t="s">
        <v>6953</v>
      </c>
      <c r="E3470" t="s">
        <v>2893</v>
      </c>
      <c r="F3470" t="s">
        <v>87</v>
      </c>
      <c r="G3470" t="s">
        <v>7109</v>
      </c>
      <c r="H3470" t="s">
        <v>143</v>
      </c>
      <c r="I3470" t="s">
        <v>180</v>
      </c>
      <c r="J3470" t="s">
        <v>145</v>
      </c>
      <c r="K3470" t="s">
        <v>146</v>
      </c>
      <c r="L3470" t="s">
        <v>7110</v>
      </c>
      <c r="M3470" t="s">
        <v>3327</v>
      </c>
      <c r="N3470" t="s">
        <v>7111</v>
      </c>
      <c r="O3470" t="s">
        <v>181</v>
      </c>
      <c r="R3470" t="s">
        <v>7856</v>
      </c>
      <c r="S3470" t="s">
        <v>6958</v>
      </c>
      <c r="V3470" t="s">
        <v>6959</v>
      </c>
      <c r="W3470" t="s">
        <v>6999</v>
      </c>
      <c r="AD3470" t="s">
        <v>7121</v>
      </c>
    </row>
    <row r="3471" spans="1:30" x14ac:dyDescent="0.25">
      <c r="A3471" t="s">
        <v>33</v>
      </c>
      <c r="D3471" t="s">
        <v>6953</v>
      </c>
      <c r="E3471" t="s">
        <v>2893</v>
      </c>
      <c r="F3471" t="s">
        <v>866</v>
      </c>
      <c r="G3471" t="s">
        <v>7811</v>
      </c>
      <c r="H3471" t="s">
        <v>143</v>
      </c>
      <c r="I3471" t="s">
        <v>1285</v>
      </c>
      <c r="J3471" t="s">
        <v>145</v>
      </c>
      <c r="K3471" t="s">
        <v>146</v>
      </c>
      <c r="L3471" t="s">
        <v>7812</v>
      </c>
      <c r="M3471" t="s">
        <v>3327</v>
      </c>
      <c r="N3471" t="s">
        <v>7813</v>
      </c>
      <c r="O3471" t="s">
        <v>1286</v>
      </c>
      <c r="R3471" t="s">
        <v>7857</v>
      </c>
      <c r="S3471" t="s">
        <v>6958</v>
      </c>
      <c r="V3471" t="s">
        <v>6959</v>
      </c>
      <c r="W3471" t="s">
        <v>6999</v>
      </c>
      <c r="X3471" t="s">
        <v>1193</v>
      </c>
      <c r="AD3471" t="s">
        <v>7858</v>
      </c>
    </row>
    <row r="3472" spans="1:30" x14ac:dyDescent="0.25">
      <c r="A3472" t="s">
        <v>33</v>
      </c>
      <c r="D3472" t="s">
        <v>6953</v>
      </c>
      <c r="E3472" t="s">
        <v>2893</v>
      </c>
      <c r="F3472" t="s">
        <v>866</v>
      </c>
      <c r="G3472" t="s">
        <v>7811</v>
      </c>
      <c r="H3472" t="s">
        <v>143</v>
      </c>
      <c r="I3472" t="s">
        <v>1289</v>
      </c>
      <c r="J3472" t="s">
        <v>145</v>
      </c>
      <c r="K3472" t="s">
        <v>146</v>
      </c>
      <c r="L3472" t="s">
        <v>7812</v>
      </c>
      <c r="M3472" t="s">
        <v>3327</v>
      </c>
      <c r="N3472" t="s">
        <v>7813</v>
      </c>
      <c r="O3472" t="s">
        <v>1290</v>
      </c>
      <c r="R3472" t="s">
        <v>7859</v>
      </c>
      <c r="S3472" t="s">
        <v>6958</v>
      </c>
      <c r="V3472" t="s">
        <v>6959</v>
      </c>
      <c r="W3472" t="s">
        <v>6999</v>
      </c>
      <c r="X3472" t="s">
        <v>1193</v>
      </c>
      <c r="AD3472" t="s">
        <v>7860</v>
      </c>
    </row>
    <row r="3473" spans="1:30" x14ac:dyDescent="0.25">
      <c r="A3473" t="s">
        <v>33</v>
      </c>
      <c r="D3473" t="s">
        <v>6953</v>
      </c>
      <c r="E3473" t="s">
        <v>2893</v>
      </c>
      <c r="F3473" t="s">
        <v>866</v>
      </c>
      <c r="G3473" t="s">
        <v>7811</v>
      </c>
      <c r="H3473" t="s">
        <v>143</v>
      </c>
      <c r="I3473" t="s">
        <v>2232</v>
      </c>
      <c r="J3473" t="s">
        <v>145</v>
      </c>
      <c r="K3473" t="s">
        <v>146</v>
      </c>
      <c r="L3473" t="s">
        <v>7812</v>
      </c>
      <c r="M3473" t="s">
        <v>3327</v>
      </c>
      <c r="N3473" t="s">
        <v>7813</v>
      </c>
      <c r="O3473" t="s">
        <v>2233</v>
      </c>
      <c r="R3473" t="s">
        <v>7861</v>
      </c>
      <c r="S3473" t="s">
        <v>6958</v>
      </c>
      <c r="V3473" t="s">
        <v>6959</v>
      </c>
      <c r="W3473" t="s">
        <v>6999</v>
      </c>
      <c r="X3473" t="s">
        <v>1193</v>
      </c>
      <c r="AD3473" t="s">
        <v>7862</v>
      </c>
    </row>
    <row r="3474" spans="1:30" x14ac:dyDescent="0.25">
      <c r="A3474" t="s">
        <v>33</v>
      </c>
      <c r="D3474" t="s">
        <v>6953</v>
      </c>
      <c r="E3474" t="s">
        <v>2893</v>
      </c>
      <c r="F3474" t="s">
        <v>866</v>
      </c>
      <c r="G3474" t="s">
        <v>7811</v>
      </c>
      <c r="H3474" t="s">
        <v>143</v>
      </c>
      <c r="I3474" t="s">
        <v>2546</v>
      </c>
      <c r="J3474" t="s">
        <v>145</v>
      </c>
      <c r="K3474" t="s">
        <v>146</v>
      </c>
      <c r="L3474" t="s">
        <v>7812</v>
      </c>
      <c r="M3474" t="s">
        <v>3327</v>
      </c>
      <c r="N3474" t="s">
        <v>7813</v>
      </c>
      <c r="O3474" t="s">
        <v>2547</v>
      </c>
      <c r="R3474" t="s">
        <v>7863</v>
      </c>
      <c r="S3474" t="s">
        <v>6958</v>
      </c>
      <c r="V3474" t="s">
        <v>6959</v>
      </c>
      <c r="W3474" t="s">
        <v>6999</v>
      </c>
      <c r="X3474" t="s">
        <v>1193</v>
      </c>
      <c r="AD3474" t="s">
        <v>7864</v>
      </c>
    </row>
    <row r="3475" spans="1:30" x14ac:dyDescent="0.25">
      <c r="A3475" t="s">
        <v>33</v>
      </c>
      <c r="D3475" t="s">
        <v>6953</v>
      </c>
      <c r="E3475" t="s">
        <v>2859</v>
      </c>
      <c r="F3475" t="s">
        <v>866</v>
      </c>
      <c r="G3475" t="s">
        <v>7817</v>
      </c>
      <c r="H3475" t="s">
        <v>143</v>
      </c>
      <c r="I3475" t="s">
        <v>1285</v>
      </c>
      <c r="J3475" t="s">
        <v>145</v>
      </c>
      <c r="K3475" t="s">
        <v>146</v>
      </c>
      <c r="L3475" t="s">
        <v>7818</v>
      </c>
      <c r="M3475" t="s">
        <v>176</v>
      </c>
      <c r="N3475" t="s">
        <v>7819</v>
      </c>
      <c r="O3475" t="s">
        <v>1286</v>
      </c>
      <c r="R3475" t="s">
        <v>7865</v>
      </c>
      <c r="S3475" t="s">
        <v>6958</v>
      </c>
      <c r="V3475" t="s">
        <v>6959</v>
      </c>
      <c r="W3475" t="s">
        <v>6981</v>
      </c>
      <c r="AD3475" t="s">
        <v>7866</v>
      </c>
    </row>
    <row r="3476" spans="1:30" x14ac:dyDescent="0.25">
      <c r="A3476" t="s">
        <v>33</v>
      </c>
      <c r="D3476" t="s">
        <v>6953</v>
      </c>
      <c r="E3476" t="s">
        <v>2859</v>
      </c>
      <c r="F3476" t="s">
        <v>866</v>
      </c>
      <c r="G3476" t="s">
        <v>7817</v>
      </c>
      <c r="H3476" t="s">
        <v>143</v>
      </c>
      <c r="I3476" t="s">
        <v>1289</v>
      </c>
      <c r="J3476" t="s">
        <v>145</v>
      </c>
      <c r="K3476" t="s">
        <v>146</v>
      </c>
      <c r="L3476" t="s">
        <v>7818</v>
      </c>
      <c r="M3476" t="s">
        <v>176</v>
      </c>
      <c r="N3476" t="s">
        <v>7819</v>
      </c>
      <c r="O3476" t="s">
        <v>1290</v>
      </c>
      <c r="R3476" t="s">
        <v>7867</v>
      </c>
      <c r="S3476" t="s">
        <v>6958</v>
      </c>
      <c r="V3476" t="s">
        <v>6959</v>
      </c>
      <c r="W3476" t="s">
        <v>6981</v>
      </c>
      <c r="AD3476" t="s">
        <v>7868</v>
      </c>
    </row>
    <row r="3477" spans="1:30" x14ac:dyDescent="0.25">
      <c r="A3477" t="s">
        <v>33</v>
      </c>
      <c r="D3477" t="s">
        <v>6953</v>
      </c>
      <c r="E3477" t="s">
        <v>2859</v>
      </c>
      <c r="F3477" t="s">
        <v>866</v>
      </c>
      <c r="G3477" t="s">
        <v>7817</v>
      </c>
      <c r="H3477" t="s">
        <v>143</v>
      </c>
      <c r="I3477" t="s">
        <v>2232</v>
      </c>
      <c r="J3477" t="s">
        <v>145</v>
      </c>
      <c r="K3477" t="s">
        <v>146</v>
      </c>
      <c r="L3477" t="s">
        <v>7818</v>
      </c>
      <c r="M3477" t="s">
        <v>176</v>
      </c>
      <c r="N3477" t="s">
        <v>7819</v>
      </c>
      <c r="O3477" t="s">
        <v>2233</v>
      </c>
      <c r="R3477" t="s">
        <v>7869</v>
      </c>
      <c r="S3477" t="s">
        <v>6958</v>
      </c>
      <c r="V3477" t="s">
        <v>6959</v>
      </c>
      <c r="W3477" t="s">
        <v>6981</v>
      </c>
      <c r="AD3477" t="s">
        <v>7870</v>
      </c>
    </row>
    <row r="3478" spans="1:30" x14ac:dyDescent="0.25">
      <c r="A3478" t="s">
        <v>33</v>
      </c>
      <c r="D3478" t="s">
        <v>6953</v>
      </c>
      <c r="E3478" t="s">
        <v>2859</v>
      </c>
      <c r="F3478" t="s">
        <v>866</v>
      </c>
      <c r="G3478" t="s">
        <v>7817</v>
      </c>
      <c r="H3478" t="s">
        <v>143</v>
      </c>
      <c r="I3478" t="s">
        <v>2546</v>
      </c>
      <c r="J3478" t="s">
        <v>145</v>
      </c>
      <c r="K3478" t="s">
        <v>146</v>
      </c>
      <c r="L3478" t="s">
        <v>7818</v>
      </c>
      <c r="M3478" t="s">
        <v>176</v>
      </c>
      <c r="N3478" t="s">
        <v>7819</v>
      </c>
      <c r="O3478" t="s">
        <v>2547</v>
      </c>
      <c r="R3478" t="s">
        <v>7871</v>
      </c>
      <c r="S3478" t="s">
        <v>6958</v>
      </c>
      <c r="V3478" t="s">
        <v>6959</v>
      </c>
      <c r="W3478" t="s">
        <v>6981</v>
      </c>
      <c r="AD3478" t="s">
        <v>7872</v>
      </c>
    </row>
    <row r="3479" spans="1:30" x14ac:dyDescent="0.25">
      <c r="A3479" t="s">
        <v>33</v>
      </c>
      <c r="D3479" t="s">
        <v>6953</v>
      </c>
      <c r="E3479" t="s">
        <v>2859</v>
      </c>
      <c r="F3479" t="s">
        <v>87</v>
      </c>
      <c r="G3479" t="s">
        <v>7314</v>
      </c>
      <c r="H3479" t="s">
        <v>143</v>
      </c>
      <c r="I3479" t="s">
        <v>180</v>
      </c>
      <c r="J3479" t="s">
        <v>145</v>
      </c>
      <c r="K3479" t="s">
        <v>146</v>
      </c>
      <c r="L3479" t="s">
        <v>7315</v>
      </c>
      <c r="M3479" t="s">
        <v>252</v>
      </c>
      <c r="N3479" t="s">
        <v>7316</v>
      </c>
      <c r="O3479" t="s">
        <v>181</v>
      </c>
      <c r="R3479" t="s">
        <v>7873</v>
      </c>
      <c r="S3479" t="s">
        <v>6958</v>
      </c>
      <c r="V3479" t="s">
        <v>6959</v>
      </c>
      <c r="W3479" t="s">
        <v>6981</v>
      </c>
      <c r="AD3479" t="s">
        <v>7701</v>
      </c>
    </row>
    <row r="3480" spans="1:30" x14ac:dyDescent="0.25">
      <c r="A3480" t="s">
        <v>33</v>
      </c>
      <c r="D3480" t="s">
        <v>6953</v>
      </c>
      <c r="E3480" t="s">
        <v>2869</v>
      </c>
      <c r="F3480" t="s">
        <v>87</v>
      </c>
      <c r="G3480" t="s">
        <v>6903</v>
      </c>
      <c r="H3480" t="s">
        <v>143</v>
      </c>
      <c r="I3480" t="s">
        <v>144</v>
      </c>
      <c r="J3480" t="s">
        <v>145</v>
      </c>
      <c r="K3480" t="s">
        <v>146</v>
      </c>
      <c r="L3480" t="s">
        <v>6904</v>
      </c>
      <c r="M3480" t="s">
        <v>252</v>
      </c>
      <c r="N3480" t="s">
        <v>4087</v>
      </c>
      <c r="O3480" t="s">
        <v>147</v>
      </c>
      <c r="R3480" t="s">
        <v>7874</v>
      </c>
      <c r="S3480" t="s">
        <v>6958</v>
      </c>
      <c r="V3480" t="s">
        <v>6959</v>
      </c>
      <c r="W3480" t="s">
        <v>7009</v>
      </c>
      <c r="AD3480" t="s">
        <v>4882</v>
      </c>
    </row>
    <row r="3481" spans="1:30" x14ac:dyDescent="0.25">
      <c r="A3481" t="s">
        <v>33</v>
      </c>
      <c r="D3481" t="s">
        <v>6953</v>
      </c>
      <c r="E3481" t="s">
        <v>2869</v>
      </c>
      <c r="F3481" t="s">
        <v>87</v>
      </c>
      <c r="G3481" t="s">
        <v>6903</v>
      </c>
      <c r="H3481" t="s">
        <v>143</v>
      </c>
      <c r="I3481" t="s">
        <v>180</v>
      </c>
      <c r="J3481" t="s">
        <v>145</v>
      </c>
      <c r="K3481" t="s">
        <v>146</v>
      </c>
      <c r="L3481" t="s">
        <v>6904</v>
      </c>
      <c r="M3481" t="s">
        <v>252</v>
      </c>
      <c r="N3481" t="s">
        <v>4087</v>
      </c>
      <c r="O3481" t="s">
        <v>181</v>
      </c>
      <c r="R3481" t="s">
        <v>7875</v>
      </c>
      <c r="S3481" t="s">
        <v>6958</v>
      </c>
      <c r="V3481" t="s">
        <v>6959</v>
      </c>
      <c r="W3481" t="s">
        <v>7009</v>
      </c>
      <c r="AD3481" t="s">
        <v>4896</v>
      </c>
    </row>
    <row r="3482" spans="1:30" x14ac:dyDescent="0.25">
      <c r="A3482" t="s">
        <v>33</v>
      </c>
      <c r="D3482" t="s">
        <v>6953</v>
      </c>
      <c r="E3482" t="s">
        <v>2859</v>
      </c>
      <c r="F3482" t="s">
        <v>87</v>
      </c>
      <c r="G3482" t="s">
        <v>7156</v>
      </c>
      <c r="H3482" t="s">
        <v>143</v>
      </c>
      <c r="I3482" t="s">
        <v>144</v>
      </c>
      <c r="J3482" t="s">
        <v>145</v>
      </c>
      <c r="K3482" t="s">
        <v>146</v>
      </c>
      <c r="L3482" t="s">
        <v>7157</v>
      </c>
      <c r="M3482" t="s">
        <v>176</v>
      </c>
      <c r="N3482" t="s">
        <v>7158</v>
      </c>
      <c r="O3482" t="s">
        <v>147</v>
      </c>
      <c r="R3482" t="s">
        <v>7876</v>
      </c>
      <c r="S3482" t="s">
        <v>6958</v>
      </c>
      <c r="V3482" t="s">
        <v>6959</v>
      </c>
      <c r="W3482" t="s">
        <v>6966</v>
      </c>
      <c r="AD3482" t="s">
        <v>7162</v>
      </c>
    </row>
    <row r="3483" spans="1:30" x14ac:dyDescent="0.25">
      <c r="A3483" t="s">
        <v>33</v>
      </c>
      <c r="D3483" t="s">
        <v>6953</v>
      </c>
      <c r="E3483" t="s">
        <v>2859</v>
      </c>
      <c r="F3483" t="s">
        <v>87</v>
      </c>
      <c r="G3483" t="s">
        <v>7156</v>
      </c>
      <c r="H3483" t="s">
        <v>143</v>
      </c>
      <c r="I3483" t="s">
        <v>180</v>
      </c>
      <c r="J3483" t="s">
        <v>145</v>
      </c>
      <c r="K3483" t="s">
        <v>146</v>
      </c>
      <c r="L3483" t="s">
        <v>7157</v>
      </c>
      <c r="M3483" t="s">
        <v>176</v>
      </c>
      <c r="N3483" t="s">
        <v>7158</v>
      </c>
      <c r="O3483" t="s">
        <v>181</v>
      </c>
      <c r="R3483" t="s">
        <v>7877</v>
      </c>
      <c r="S3483" t="s">
        <v>6958</v>
      </c>
      <c r="V3483" t="s">
        <v>6959</v>
      </c>
      <c r="W3483" t="s">
        <v>6966</v>
      </c>
      <c r="AD3483" t="s">
        <v>7168</v>
      </c>
    </row>
    <row r="3484" spans="1:30" x14ac:dyDescent="0.25">
      <c r="A3484" t="s">
        <v>33</v>
      </c>
      <c r="D3484" t="s">
        <v>6953</v>
      </c>
      <c r="E3484" t="s">
        <v>2859</v>
      </c>
      <c r="F3484" t="s">
        <v>87</v>
      </c>
      <c r="G3484" t="s">
        <v>6859</v>
      </c>
      <c r="H3484" t="s">
        <v>143</v>
      </c>
      <c r="I3484" t="s">
        <v>90</v>
      </c>
      <c r="J3484" t="s">
        <v>145</v>
      </c>
      <c r="K3484" t="s">
        <v>146</v>
      </c>
      <c r="L3484" t="s">
        <v>6860</v>
      </c>
      <c r="M3484" t="s">
        <v>176</v>
      </c>
      <c r="N3484" t="s">
        <v>7171</v>
      </c>
      <c r="O3484" t="s">
        <v>380</v>
      </c>
      <c r="R3484" t="s">
        <v>7878</v>
      </c>
      <c r="S3484" t="s">
        <v>6958</v>
      </c>
      <c r="V3484" t="s">
        <v>6959</v>
      </c>
      <c r="W3484" t="s">
        <v>6966</v>
      </c>
      <c r="AD3484" t="s">
        <v>7182</v>
      </c>
    </row>
    <row r="3485" spans="1:30" x14ac:dyDescent="0.25">
      <c r="A3485" t="s">
        <v>33</v>
      </c>
      <c r="D3485" t="s">
        <v>6953</v>
      </c>
      <c r="E3485" t="s">
        <v>2859</v>
      </c>
      <c r="F3485" t="s">
        <v>87</v>
      </c>
      <c r="G3485" t="s">
        <v>6859</v>
      </c>
      <c r="H3485" t="s">
        <v>143</v>
      </c>
      <c r="I3485" t="s">
        <v>144</v>
      </c>
      <c r="J3485" t="s">
        <v>145</v>
      </c>
      <c r="K3485" t="s">
        <v>146</v>
      </c>
      <c r="L3485" t="s">
        <v>6860</v>
      </c>
      <c r="M3485" t="s">
        <v>176</v>
      </c>
      <c r="N3485" t="s">
        <v>7171</v>
      </c>
      <c r="O3485" t="s">
        <v>147</v>
      </c>
      <c r="R3485" t="s">
        <v>7879</v>
      </c>
      <c r="S3485" t="s">
        <v>6958</v>
      </c>
      <c r="V3485" t="s">
        <v>6959</v>
      </c>
      <c r="W3485" t="s">
        <v>6966</v>
      </c>
      <c r="AD3485" t="s">
        <v>7175</v>
      </c>
    </row>
    <row r="3486" spans="1:30" x14ac:dyDescent="0.25">
      <c r="A3486" t="s">
        <v>33</v>
      </c>
      <c r="D3486" t="s">
        <v>6953</v>
      </c>
      <c r="E3486" t="s">
        <v>2859</v>
      </c>
      <c r="F3486" t="s">
        <v>87</v>
      </c>
      <c r="G3486" t="s">
        <v>6859</v>
      </c>
      <c r="H3486" t="s">
        <v>143</v>
      </c>
      <c r="I3486" t="s">
        <v>180</v>
      </c>
      <c r="J3486" t="s">
        <v>145</v>
      </c>
      <c r="K3486" t="s">
        <v>146</v>
      </c>
      <c r="L3486" t="s">
        <v>6860</v>
      </c>
      <c r="M3486" t="s">
        <v>176</v>
      </c>
      <c r="N3486" t="s">
        <v>7171</v>
      </c>
      <c r="O3486" t="s">
        <v>181</v>
      </c>
      <c r="R3486" t="s">
        <v>7880</v>
      </c>
      <c r="S3486" t="s">
        <v>6958</v>
      </c>
      <c r="V3486" t="s">
        <v>6959</v>
      </c>
      <c r="W3486" t="s">
        <v>6966</v>
      </c>
      <c r="AD3486" t="s">
        <v>7188</v>
      </c>
    </row>
    <row r="3487" spans="1:30" x14ac:dyDescent="0.25">
      <c r="A3487" t="s">
        <v>33</v>
      </c>
      <c r="D3487" t="s">
        <v>6953</v>
      </c>
      <c r="E3487" t="s">
        <v>2859</v>
      </c>
      <c r="F3487" t="s">
        <v>87</v>
      </c>
      <c r="G3487" t="s">
        <v>7398</v>
      </c>
      <c r="H3487" t="s">
        <v>143</v>
      </c>
      <c r="I3487" t="s">
        <v>144</v>
      </c>
      <c r="J3487" t="s">
        <v>145</v>
      </c>
      <c r="K3487" t="s">
        <v>146</v>
      </c>
      <c r="L3487" t="s">
        <v>7399</v>
      </c>
      <c r="M3487" t="s">
        <v>252</v>
      </c>
      <c r="N3487" t="s">
        <v>7400</v>
      </c>
      <c r="O3487" t="s">
        <v>147</v>
      </c>
      <c r="R3487" t="s">
        <v>7881</v>
      </c>
      <c r="S3487" t="s">
        <v>6958</v>
      </c>
      <c r="V3487" t="s">
        <v>6959</v>
      </c>
      <c r="W3487" t="s">
        <v>6981</v>
      </c>
      <c r="AD3487" t="s">
        <v>7739</v>
      </c>
    </row>
    <row r="3488" spans="1:30" x14ac:dyDescent="0.25">
      <c r="A3488" t="s">
        <v>33</v>
      </c>
      <c r="D3488" t="s">
        <v>6953</v>
      </c>
      <c r="E3488" t="s">
        <v>2859</v>
      </c>
      <c r="F3488" t="s">
        <v>87</v>
      </c>
      <c r="G3488" t="s">
        <v>7398</v>
      </c>
      <c r="H3488" t="s">
        <v>143</v>
      </c>
      <c r="I3488" t="s">
        <v>180</v>
      </c>
      <c r="J3488" t="s">
        <v>145</v>
      </c>
      <c r="K3488" t="s">
        <v>146</v>
      </c>
      <c r="L3488" t="s">
        <v>7399</v>
      </c>
      <c r="M3488" t="s">
        <v>252</v>
      </c>
      <c r="N3488" t="s">
        <v>7400</v>
      </c>
      <c r="O3488" t="s">
        <v>181</v>
      </c>
      <c r="R3488" t="s">
        <v>7882</v>
      </c>
      <c r="S3488" t="s">
        <v>6958</v>
      </c>
      <c r="V3488" t="s">
        <v>6959</v>
      </c>
      <c r="W3488" t="s">
        <v>6981</v>
      </c>
      <c r="AD3488" t="s">
        <v>7745</v>
      </c>
    </row>
    <row r="3489" spans="1:30" x14ac:dyDescent="0.25">
      <c r="A3489" t="s">
        <v>33</v>
      </c>
      <c r="D3489" t="s">
        <v>6953</v>
      </c>
      <c r="E3489" t="s">
        <v>2859</v>
      </c>
      <c r="F3489" t="s">
        <v>87</v>
      </c>
      <c r="G3489" t="s">
        <v>7217</v>
      </c>
      <c r="H3489" t="s">
        <v>143</v>
      </c>
      <c r="I3489" t="s">
        <v>144</v>
      </c>
      <c r="J3489" t="s">
        <v>145</v>
      </c>
      <c r="K3489" t="s">
        <v>146</v>
      </c>
      <c r="L3489" t="s">
        <v>7218</v>
      </c>
      <c r="M3489" t="s">
        <v>176</v>
      </c>
      <c r="N3489" t="s">
        <v>7219</v>
      </c>
      <c r="O3489" t="s">
        <v>147</v>
      </c>
      <c r="R3489" t="s">
        <v>7883</v>
      </c>
      <c r="S3489" t="s">
        <v>6958</v>
      </c>
      <c r="V3489" t="s">
        <v>6959</v>
      </c>
      <c r="W3489" t="s">
        <v>6981</v>
      </c>
      <c r="AD3489" t="s">
        <v>7223</v>
      </c>
    </row>
    <row r="3490" spans="1:30" x14ac:dyDescent="0.25">
      <c r="A3490" t="s">
        <v>33</v>
      </c>
      <c r="D3490" t="s">
        <v>6953</v>
      </c>
      <c r="E3490" t="s">
        <v>2859</v>
      </c>
      <c r="F3490" t="s">
        <v>87</v>
      </c>
      <c r="G3490" t="s">
        <v>7217</v>
      </c>
      <c r="H3490" t="s">
        <v>143</v>
      </c>
      <c r="I3490" t="s">
        <v>180</v>
      </c>
      <c r="J3490" t="s">
        <v>145</v>
      </c>
      <c r="K3490" t="s">
        <v>146</v>
      </c>
      <c r="L3490" t="s">
        <v>7218</v>
      </c>
      <c r="M3490" t="s">
        <v>176</v>
      </c>
      <c r="N3490" t="s">
        <v>7219</v>
      </c>
      <c r="O3490" t="s">
        <v>181</v>
      </c>
      <c r="R3490" t="s">
        <v>6587</v>
      </c>
      <c r="S3490" t="s">
        <v>6958</v>
      </c>
      <c r="V3490" t="s">
        <v>6959</v>
      </c>
      <c r="W3490" t="s">
        <v>6981</v>
      </c>
      <c r="AD3490" t="s">
        <v>7229</v>
      </c>
    </row>
    <row r="3491" spans="1:30" x14ac:dyDescent="0.25">
      <c r="A3491" t="s">
        <v>33</v>
      </c>
      <c r="D3491" t="s">
        <v>6953</v>
      </c>
      <c r="E3491" t="s">
        <v>2859</v>
      </c>
      <c r="F3491" t="s">
        <v>87</v>
      </c>
      <c r="G3491" t="s">
        <v>7193</v>
      </c>
      <c r="H3491" t="s">
        <v>143</v>
      </c>
      <c r="I3491" t="s">
        <v>90</v>
      </c>
      <c r="J3491" t="s">
        <v>145</v>
      </c>
      <c r="K3491" t="s">
        <v>146</v>
      </c>
      <c r="L3491" t="s">
        <v>7194</v>
      </c>
      <c r="M3491" t="s">
        <v>176</v>
      </c>
      <c r="N3491" t="s">
        <v>7195</v>
      </c>
      <c r="O3491" t="s">
        <v>380</v>
      </c>
      <c r="R3491" t="s">
        <v>5294</v>
      </c>
      <c r="S3491" t="s">
        <v>6958</v>
      </c>
      <c r="V3491" t="s">
        <v>6959</v>
      </c>
      <c r="W3491" t="s">
        <v>6981</v>
      </c>
      <c r="AD3491" t="s">
        <v>7206</v>
      </c>
    </row>
    <row r="3492" spans="1:30" x14ac:dyDescent="0.25">
      <c r="A3492" t="s">
        <v>33</v>
      </c>
      <c r="D3492" t="s">
        <v>6953</v>
      </c>
      <c r="E3492" t="s">
        <v>2859</v>
      </c>
      <c r="F3492" t="s">
        <v>87</v>
      </c>
      <c r="G3492" t="s">
        <v>7193</v>
      </c>
      <c r="H3492" t="s">
        <v>143</v>
      </c>
      <c r="I3492" t="s">
        <v>144</v>
      </c>
      <c r="J3492" t="s">
        <v>145</v>
      </c>
      <c r="K3492" t="s">
        <v>146</v>
      </c>
      <c r="L3492" t="s">
        <v>7194</v>
      </c>
      <c r="M3492" t="s">
        <v>176</v>
      </c>
      <c r="N3492" t="s">
        <v>7195</v>
      </c>
      <c r="O3492" t="s">
        <v>147</v>
      </c>
      <c r="R3492" t="s">
        <v>7884</v>
      </c>
      <c r="S3492" t="s">
        <v>6958</v>
      </c>
      <c r="V3492" t="s">
        <v>6959</v>
      </c>
      <c r="W3492" t="s">
        <v>6981</v>
      </c>
      <c r="AD3492" t="s">
        <v>7199</v>
      </c>
    </row>
    <row r="3493" spans="1:30" x14ac:dyDescent="0.25">
      <c r="A3493" t="s">
        <v>33</v>
      </c>
      <c r="D3493" t="s">
        <v>6953</v>
      </c>
      <c r="E3493" t="s">
        <v>2859</v>
      </c>
      <c r="F3493" t="s">
        <v>87</v>
      </c>
      <c r="G3493" t="s">
        <v>7193</v>
      </c>
      <c r="H3493" t="s">
        <v>143</v>
      </c>
      <c r="I3493" t="s">
        <v>180</v>
      </c>
      <c r="J3493" t="s">
        <v>145</v>
      </c>
      <c r="K3493" t="s">
        <v>146</v>
      </c>
      <c r="L3493" t="s">
        <v>7194</v>
      </c>
      <c r="M3493" t="s">
        <v>176</v>
      </c>
      <c r="N3493" t="s">
        <v>7195</v>
      </c>
      <c r="O3493" t="s">
        <v>181</v>
      </c>
      <c r="R3493" t="s">
        <v>7885</v>
      </c>
      <c r="S3493" t="s">
        <v>6958</v>
      </c>
      <c r="V3493" t="s">
        <v>6959</v>
      </c>
      <c r="W3493" t="s">
        <v>6981</v>
      </c>
      <c r="AD3493" t="s">
        <v>7212</v>
      </c>
    </row>
    <row r="3494" spans="1:30" x14ac:dyDescent="0.25">
      <c r="A3494" t="s">
        <v>33</v>
      </c>
      <c r="D3494" t="s">
        <v>6953</v>
      </c>
      <c r="E3494" t="s">
        <v>2859</v>
      </c>
      <c r="F3494" t="s">
        <v>87</v>
      </c>
      <c r="G3494" t="s">
        <v>7321</v>
      </c>
      <c r="H3494" t="s">
        <v>143</v>
      </c>
      <c r="I3494" t="s">
        <v>144</v>
      </c>
      <c r="J3494" t="s">
        <v>145</v>
      </c>
      <c r="K3494" t="s">
        <v>146</v>
      </c>
      <c r="L3494" t="s">
        <v>7322</v>
      </c>
      <c r="M3494" t="s">
        <v>252</v>
      </c>
      <c r="N3494" t="s">
        <v>7323</v>
      </c>
      <c r="O3494" t="s">
        <v>147</v>
      </c>
      <c r="R3494" t="s">
        <v>7886</v>
      </c>
      <c r="S3494" t="s">
        <v>6958</v>
      </c>
      <c r="V3494" t="s">
        <v>6959</v>
      </c>
      <c r="W3494" t="s">
        <v>6981</v>
      </c>
      <c r="AD3494" t="s">
        <v>7709</v>
      </c>
    </row>
    <row r="3495" spans="1:30" x14ac:dyDescent="0.25">
      <c r="A3495" t="s">
        <v>33</v>
      </c>
      <c r="D3495" t="s">
        <v>6953</v>
      </c>
      <c r="E3495" t="s">
        <v>2859</v>
      </c>
      <c r="F3495" t="s">
        <v>87</v>
      </c>
      <c r="G3495" t="s">
        <v>7321</v>
      </c>
      <c r="H3495" t="s">
        <v>143</v>
      </c>
      <c r="I3495" t="s">
        <v>180</v>
      </c>
      <c r="J3495" t="s">
        <v>145</v>
      </c>
      <c r="K3495" t="s">
        <v>146</v>
      </c>
      <c r="L3495" t="s">
        <v>7322</v>
      </c>
      <c r="M3495" t="s">
        <v>252</v>
      </c>
      <c r="N3495" t="s">
        <v>7323</v>
      </c>
      <c r="O3495" t="s">
        <v>181</v>
      </c>
      <c r="R3495" t="s">
        <v>7887</v>
      </c>
      <c r="S3495" t="s">
        <v>6958</v>
      </c>
      <c r="V3495" t="s">
        <v>6959</v>
      </c>
      <c r="W3495" t="s">
        <v>6981</v>
      </c>
      <c r="AD3495" t="s">
        <v>7715</v>
      </c>
    </row>
    <row r="3496" spans="1:30" x14ac:dyDescent="0.25">
      <c r="A3496" t="s">
        <v>33</v>
      </c>
      <c r="D3496" t="s">
        <v>6953</v>
      </c>
      <c r="E3496" t="s">
        <v>2893</v>
      </c>
      <c r="F3496" t="s">
        <v>87</v>
      </c>
      <c r="G3496" t="s">
        <v>389</v>
      </c>
      <c r="H3496" t="s">
        <v>143</v>
      </c>
      <c r="I3496" t="s">
        <v>144</v>
      </c>
      <c r="J3496" t="s">
        <v>145</v>
      </c>
      <c r="K3496" t="s">
        <v>146</v>
      </c>
      <c r="L3496" t="s">
        <v>390</v>
      </c>
      <c r="M3496" t="s">
        <v>252</v>
      </c>
      <c r="N3496" t="s">
        <v>7374</v>
      </c>
      <c r="O3496" t="s">
        <v>147</v>
      </c>
      <c r="R3496" t="s">
        <v>7888</v>
      </c>
      <c r="S3496" t="s">
        <v>6958</v>
      </c>
      <c r="V3496" t="s">
        <v>6959</v>
      </c>
      <c r="W3496" t="s">
        <v>6999</v>
      </c>
      <c r="AD3496" t="s">
        <v>7753</v>
      </c>
    </row>
    <row r="3497" spans="1:30" x14ac:dyDescent="0.25">
      <c r="A3497" t="s">
        <v>33</v>
      </c>
      <c r="D3497" t="s">
        <v>6953</v>
      </c>
      <c r="E3497" t="s">
        <v>2893</v>
      </c>
      <c r="F3497" t="s">
        <v>87</v>
      </c>
      <c r="G3497" t="s">
        <v>389</v>
      </c>
      <c r="H3497" t="s">
        <v>143</v>
      </c>
      <c r="I3497" t="s">
        <v>180</v>
      </c>
      <c r="J3497" t="s">
        <v>145</v>
      </c>
      <c r="K3497" t="s">
        <v>146</v>
      </c>
      <c r="L3497" t="s">
        <v>390</v>
      </c>
      <c r="M3497" t="s">
        <v>252</v>
      </c>
      <c r="N3497" t="s">
        <v>7374</v>
      </c>
      <c r="O3497" t="s">
        <v>181</v>
      </c>
      <c r="R3497" t="s">
        <v>7889</v>
      </c>
      <c r="S3497" t="s">
        <v>6958</v>
      </c>
      <c r="V3497" t="s">
        <v>6959</v>
      </c>
      <c r="W3497" t="s">
        <v>6999</v>
      </c>
      <c r="AD3497" t="s">
        <v>7759</v>
      </c>
    </row>
    <row r="3498" spans="1:30" x14ac:dyDescent="0.25">
      <c r="A3498" t="s">
        <v>33</v>
      </c>
      <c r="D3498" t="s">
        <v>6953</v>
      </c>
      <c r="E3498" t="s">
        <v>2893</v>
      </c>
      <c r="F3498" t="s">
        <v>36</v>
      </c>
      <c r="G3498" t="s">
        <v>6995</v>
      </c>
      <c r="H3498" t="s">
        <v>143</v>
      </c>
      <c r="I3498" t="s">
        <v>144</v>
      </c>
      <c r="J3498" t="s">
        <v>145</v>
      </c>
      <c r="K3498" t="s">
        <v>146</v>
      </c>
      <c r="L3498" t="s">
        <v>6996</v>
      </c>
      <c r="M3498" t="s">
        <v>3483</v>
      </c>
      <c r="N3498" t="s">
        <v>6997</v>
      </c>
      <c r="O3498" t="s">
        <v>147</v>
      </c>
      <c r="R3498" t="s">
        <v>7890</v>
      </c>
      <c r="S3498" t="s">
        <v>6958</v>
      </c>
      <c r="V3498" t="s">
        <v>6959</v>
      </c>
      <c r="W3498" t="s">
        <v>6999</v>
      </c>
      <c r="X3498" t="s">
        <v>963</v>
      </c>
      <c r="AD3498" t="s">
        <v>7032</v>
      </c>
    </row>
    <row r="3499" spans="1:30" x14ac:dyDescent="0.25">
      <c r="A3499" t="s">
        <v>33</v>
      </c>
      <c r="D3499" t="s">
        <v>6953</v>
      </c>
      <c r="E3499" t="s">
        <v>2893</v>
      </c>
      <c r="F3499" t="s">
        <v>36</v>
      </c>
      <c r="G3499" t="s">
        <v>6995</v>
      </c>
      <c r="H3499" t="s">
        <v>143</v>
      </c>
      <c r="I3499" t="s">
        <v>180</v>
      </c>
      <c r="J3499" t="s">
        <v>145</v>
      </c>
      <c r="K3499" t="s">
        <v>146</v>
      </c>
      <c r="L3499" t="s">
        <v>6996</v>
      </c>
      <c r="M3499" t="s">
        <v>3483</v>
      </c>
      <c r="N3499" t="s">
        <v>6997</v>
      </c>
      <c r="O3499" t="s">
        <v>181</v>
      </c>
      <c r="R3499" t="s">
        <v>7891</v>
      </c>
      <c r="S3499" t="s">
        <v>6958</v>
      </c>
      <c r="V3499" t="s">
        <v>6959</v>
      </c>
      <c r="W3499" t="s">
        <v>6999</v>
      </c>
      <c r="X3499" t="s">
        <v>963</v>
      </c>
      <c r="AD3499" t="s">
        <v>7038</v>
      </c>
    </row>
    <row r="3500" spans="1:30" x14ac:dyDescent="0.25">
      <c r="A3500" t="s">
        <v>33</v>
      </c>
      <c r="D3500" t="s">
        <v>6953</v>
      </c>
      <c r="E3500" t="s">
        <v>2859</v>
      </c>
      <c r="F3500" t="s">
        <v>87</v>
      </c>
      <c r="G3500" t="s">
        <v>7385</v>
      </c>
      <c r="H3500" t="s">
        <v>143</v>
      </c>
      <c r="I3500" t="s">
        <v>144</v>
      </c>
      <c r="J3500" t="s">
        <v>145</v>
      </c>
      <c r="K3500" t="s">
        <v>146</v>
      </c>
      <c r="L3500" t="s">
        <v>7386</v>
      </c>
      <c r="M3500" t="s">
        <v>252</v>
      </c>
      <c r="N3500" t="s">
        <v>7387</v>
      </c>
      <c r="O3500" t="s">
        <v>147</v>
      </c>
      <c r="R3500" t="s">
        <v>7892</v>
      </c>
      <c r="S3500" t="s">
        <v>6958</v>
      </c>
      <c r="V3500" t="s">
        <v>6959</v>
      </c>
      <c r="W3500" t="s">
        <v>6966</v>
      </c>
      <c r="AD3500" t="s">
        <v>7725</v>
      </c>
    </row>
    <row r="3501" spans="1:30" x14ac:dyDescent="0.25">
      <c r="A3501" t="s">
        <v>33</v>
      </c>
      <c r="D3501" t="s">
        <v>6953</v>
      </c>
      <c r="E3501" t="s">
        <v>2859</v>
      </c>
      <c r="F3501" t="s">
        <v>87</v>
      </c>
      <c r="G3501" t="s">
        <v>7385</v>
      </c>
      <c r="H3501" t="s">
        <v>143</v>
      </c>
      <c r="I3501" t="s">
        <v>180</v>
      </c>
      <c r="J3501" t="s">
        <v>145</v>
      </c>
      <c r="K3501" t="s">
        <v>146</v>
      </c>
      <c r="L3501" t="s">
        <v>7386</v>
      </c>
      <c r="M3501" t="s">
        <v>252</v>
      </c>
      <c r="N3501" t="s">
        <v>7387</v>
      </c>
      <c r="O3501" t="s">
        <v>181</v>
      </c>
      <c r="R3501" t="s">
        <v>7893</v>
      </c>
      <c r="S3501" t="s">
        <v>6958</v>
      </c>
      <c r="V3501" t="s">
        <v>6959</v>
      </c>
      <c r="W3501" t="s">
        <v>6966</v>
      </c>
      <c r="AD3501" t="s">
        <v>7731</v>
      </c>
    </row>
    <row r="3502" spans="1:30" x14ac:dyDescent="0.25">
      <c r="A3502" t="s">
        <v>33</v>
      </c>
      <c r="D3502" t="s">
        <v>6953</v>
      </c>
      <c r="E3502" t="s">
        <v>2859</v>
      </c>
      <c r="F3502" t="s">
        <v>87</v>
      </c>
      <c r="G3502" t="s">
        <v>6808</v>
      </c>
      <c r="H3502" t="s">
        <v>143</v>
      </c>
      <c r="I3502" t="s">
        <v>144</v>
      </c>
      <c r="J3502" t="s">
        <v>145</v>
      </c>
      <c r="K3502" t="s">
        <v>146</v>
      </c>
      <c r="L3502" t="s">
        <v>6809</v>
      </c>
      <c r="M3502" t="s">
        <v>82</v>
      </c>
      <c r="N3502" t="s">
        <v>6968</v>
      </c>
      <c r="O3502" t="s">
        <v>147</v>
      </c>
      <c r="R3502" t="s">
        <v>7894</v>
      </c>
      <c r="S3502" t="s">
        <v>6958</v>
      </c>
      <c r="V3502" t="s">
        <v>6959</v>
      </c>
      <c r="W3502" t="s">
        <v>6966</v>
      </c>
      <c r="AD3502" t="s">
        <v>6972</v>
      </c>
    </row>
    <row r="3503" spans="1:30" x14ac:dyDescent="0.25">
      <c r="A3503" t="s">
        <v>33</v>
      </c>
      <c r="D3503" t="s">
        <v>6953</v>
      </c>
      <c r="E3503" t="s">
        <v>2859</v>
      </c>
      <c r="F3503" t="s">
        <v>87</v>
      </c>
      <c r="G3503" t="s">
        <v>6977</v>
      </c>
      <c r="H3503" t="s">
        <v>143</v>
      </c>
      <c r="I3503" t="s">
        <v>144</v>
      </c>
      <c r="J3503" t="s">
        <v>145</v>
      </c>
      <c r="K3503" t="s">
        <v>146</v>
      </c>
      <c r="L3503" t="s">
        <v>6978</v>
      </c>
      <c r="M3503" t="s">
        <v>82</v>
      </c>
      <c r="N3503" t="s">
        <v>6979</v>
      </c>
      <c r="O3503" t="s">
        <v>147</v>
      </c>
      <c r="R3503" t="s">
        <v>7895</v>
      </c>
      <c r="S3503" t="s">
        <v>6958</v>
      </c>
      <c r="V3503" t="s">
        <v>6959</v>
      </c>
      <c r="W3503" t="s">
        <v>6981</v>
      </c>
      <c r="AD3503" t="s">
        <v>6984</v>
      </c>
    </row>
    <row r="3504" spans="1:30" x14ac:dyDescent="0.25">
      <c r="A3504" t="s">
        <v>33</v>
      </c>
      <c r="D3504" t="s">
        <v>6953</v>
      </c>
      <c r="E3504" t="s">
        <v>2893</v>
      </c>
      <c r="F3504" t="s">
        <v>866</v>
      </c>
      <c r="G3504" t="s">
        <v>7018</v>
      </c>
      <c r="H3504" t="s">
        <v>280</v>
      </c>
      <c r="I3504" t="s">
        <v>3311</v>
      </c>
      <c r="J3504" t="s">
        <v>282</v>
      </c>
      <c r="K3504" t="s">
        <v>283</v>
      </c>
      <c r="L3504" t="s">
        <v>7019</v>
      </c>
      <c r="N3504" t="s">
        <v>7020</v>
      </c>
      <c r="O3504" t="s">
        <v>3312</v>
      </c>
      <c r="Q3504" t="s">
        <v>7896</v>
      </c>
      <c r="R3504" t="s">
        <v>7897</v>
      </c>
      <c r="S3504" t="s">
        <v>6958</v>
      </c>
      <c r="V3504" t="s">
        <v>6959</v>
      </c>
      <c r="W3504" t="s">
        <v>6999</v>
      </c>
      <c r="AD3504" t="s">
        <v>7898</v>
      </c>
    </row>
    <row r="3505" spans="1:32" x14ac:dyDescent="0.25">
      <c r="A3505" t="s">
        <v>33</v>
      </c>
      <c r="D3505" t="s">
        <v>6953</v>
      </c>
      <c r="E3505" t="s">
        <v>2893</v>
      </c>
      <c r="F3505" t="s">
        <v>866</v>
      </c>
      <c r="G3505" t="s">
        <v>7022</v>
      </c>
      <c r="H3505" t="s">
        <v>280</v>
      </c>
      <c r="I3505" t="s">
        <v>3311</v>
      </c>
      <c r="J3505" t="s">
        <v>282</v>
      </c>
      <c r="K3505" t="s">
        <v>283</v>
      </c>
      <c r="L3505" t="s">
        <v>7023</v>
      </c>
      <c r="N3505" t="s">
        <v>7020</v>
      </c>
      <c r="O3505" t="s">
        <v>3312</v>
      </c>
      <c r="Q3505" t="s">
        <v>7896</v>
      </c>
      <c r="R3505" t="s">
        <v>6282</v>
      </c>
      <c r="S3505" t="s">
        <v>6958</v>
      </c>
      <c r="V3505" t="s">
        <v>6959</v>
      </c>
      <c r="W3505" t="s">
        <v>6999</v>
      </c>
      <c r="AD3505" t="s">
        <v>7898</v>
      </c>
    </row>
    <row r="3506" spans="1:32" x14ac:dyDescent="0.25">
      <c r="A3506" t="s">
        <v>33</v>
      </c>
      <c r="D3506" t="s">
        <v>6953</v>
      </c>
      <c r="E3506" t="s">
        <v>2859</v>
      </c>
      <c r="F3506" t="s">
        <v>866</v>
      </c>
      <c r="G3506" t="s">
        <v>7024</v>
      </c>
      <c r="H3506" t="s">
        <v>280</v>
      </c>
      <c r="I3506" t="s">
        <v>3311</v>
      </c>
      <c r="J3506" t="s">
        <v>282</v>
      </c>
      <c r="K3506" t="s">
        <v>283</v>
      </c>
      <c r="L3506" t="s">
        <v>7025</v>
      </c>
      <c r="N3506" t="s">
        <v>3406</v>
      </c>
      <c r="O3506" t="s">
        <v>3312</v>
      </c>
      <c r="Q3506" t="s">
        <v>7896</v>
      </c>
      <c r="R3506" t="s">
        <v>7899</v>
      </c>
      <c r="S3506" t="s">
        <v>6958</v>
      </c>
      <c r="V3506" t="s">
        <v>6959</v>
      </c>
      <c r="W3506" t="s">
        <v>6981</v>
      </c>
      <c r="AD3506" t="s">
        <v>3471</v>
      </c>
    </row>
    <row r="3507" spans="1:32" x14ac:dyDescent="0.25">
      <c r="A3507" t="s">
        <v>33</v>
      </c>
      <c r="D3507" t="s">
        <v>6953</v>
      </c>
      <c r="E3507" t="s">
        <v>2859</v>
      </c>
      <c r="F3507" t="s">
        <v>866</v>
      </c>
      <c r="G3507" t="s">
        <v>7027</v>
      </c>
      <c r="H3507" t="s">
        <v>280</v>
      </c>
      <c r="I3507" t="s">
        <v>3311</v>
      </c>
      <c r="J3507" t="s">
        <v>282</v>
      </c>
      <c r="K3507" t="s">
        <v>283</v>
      </c>
      <c r="L3507" t="s">
        <v>7028</v>
      </c>
      <c r="N3507" t="s">
        <v>3406</v>
      </c>
      <c r="O3507" t="s">
        <v>3312</v>
      </c>
      <c r="Q3507" t="s">
        <v>7896</v>
      </c>
      <c r="R3507" t="s">
        <v>7900</v>
      </c>
      <c r="S3507" t="s">
        <v>6958</v>
      </c>
      <c r="V3507" t="s">
        <v>6959</v>
      </c>
      <c r="W3507" t="s">
        <v>6981</v>
      </c>
      <c r="AD3507" t="s">
        <v>3471</v>
      </c>
    </row>
    <row r="3508" spans="1:32" x14ac:dyDescent="0.25">
      <c r="A3508" t="s">
        <v>33</v>
      </c>
      <c r="D3508" t="s">
        <v>6953</v>
      </c>
      <c r="E3508" t="s">
        <v>2893</v>
      </c>
      <c r="F3508" t="s">
        <v>866</v>
      </c>
      <c r="G3508" t="s">
        <v>7811</v>
      </c>
      <c r="H3508" t="s">
        <v>280</v>
      </c>
      <c r="I3508" t="s">
        <v>1263</v>
      </c>
      <c r="J3508" t="s">
        <v>282</v>
      </c>
      <c r="K3508" t="s">
        <v>283</v>
      </c>
      <c r="L3508" t="s">
        <v>7812</v>
      </c>
      <c r="N3508" t="s">
        <v>7813</v>
      </c>
      <c r="O3508" t="s">
        <v>1264</v>
      </c>
      <c r="Q3508" t="s">
        <v>7814</v>
      </c>
      <c r="R3508" t="s">
        <v>7901</v>
      </c>
      <c r="S3508" t="s">
        <v>6958</v>
      </c>
      <c r="V3508" t="s">
        <v>6959</v>
      </c>
      <c r="W3508" t="s">
        <v>6999</v>
      </c>
      <c r="AD3508" t="s">
        <v>7816</v>
      </c>
    </row>
    <row r="3509" spans="1:32" x14ac:dyDescent="0.25">
      <c r="A3509" t="s">
        <v>33</v>
      </c>
      <c r="D3509" t="s">
        <v>6953</v>
      </c>
      <c r="E3509" t="s">
        <v>2859</v>
      </c>
      <c r="F3509" t="s">
        <v>866</v>
      </c>
      <c r="G3509" t="s">
        <v>7817</v>
      </c>
      <c r="H3509" t="s">
        <v>280</v>
      </c>
      <c r="I3509" t="s">
        <v>1263</v>
      </c>
      <c r="J3509" t="s">
        <v>282</v>
      </c>
      <c r="K3509" t="s">
        <v>283</v>
      </c>
      <c r="L3509" t="s">
        <v>7818</v>
      </c>
      <c r="N3509" t="s">
        <v>7819</v>
      </c>
      <c r="O3509" t="s">
        <v>1264</v>
      </c>
      <c r="Q3509" t="s">
        <v>7820</v>
      </c>
      <c r="R3509" t="s">
        <v>7902</v>
      </c>
      <c r="S3509" t="s">
        <v>6958</v>
      </c>
      <c r="V3509" t="s">
        <v>6959</v>
      </c>
      <c r="W3509" t="s">
        <v>6981</v>
      </c>
      <c r="AD3509" t="s">
        <v>7822</v>
      </c>
    </row>
    <row r="3510" spans="1:32" x14ac:dyDescent="0.25">
      <c r="A3510" t="s">
        <v>947</v>
      </c>
      <c r="B3510" t="s">
        <v>1948</v>
      </c>
      <c r="C3510" t="s">
        <v>1949</v>
      </c>
      <c r="D3510" t="s">
        <v>6953</v>
      </c>
      <c r="E3510" t="s">
        <v>2859</v>
      </c>
      <c r="F3510" t="s">
        <v>1867</v>
      </c>
      <c r="G3510" t="s">
        <v>7823</v>
      </c>
      <c r="H3510" t="s">
        <v>280</v>
      </c>
      <c r="I3510" t="s">
        <v>7903</v>
      </c>
      <c r="J3510" t="s">
        <v>282</v>
      </c>
      <c r="K3510" t="s">
        <v>283</v>
      </c>
      <c r="L3510" t="s">
        <v>7824</v>
      </c>
      <c r="N3510" t="s">
        <v>7825</v>
      </c>
      <c r="O3510" t="s">
        <v>7904</v>
      </c>
      <c r="Q3510" t="s">
        <v>7905</v>
      </c>
      <c r="R3510" t="s">
        <v>7906</v>
      </c>
      <c r="S3510" t="s">
        <v>6958</v>
      </c>
      <c r="V3510" t="s">
        <v>6959</v>
      </c>
      <c r="W3510" t="s">
        <v>6966</v>
      </c>
      <c r="AD3510" t="s">
        <v>7907</v>
      </c>
    </row>
    <row r="3511" spans="1:32" x14ac:dyDescent="0.25">
      <c r="A3511" t="s">
        <v>33</v>
      </c>
      <c r="D3511" t="s">
        <v>6953</v>
      </c>
      <c r="E3511" t="s">
        <v>2859</v>
      </c>
      <c r="F3511" t="s">
        <v>78</v>
      </c>
      <c r="G3511" t="s">
        <v>7833</v>
      </c>
      <c r="H3511" t="s">
        <v>166</v>
      </c>
      <c r="I3511" t="s">
        <v>243</v>
      </c>
      <c r="J3511" t="s">
        <v>167</v>
      </c>
      <c r="K3511" t="s">
        <v>41</v>
      </c>
      <c r="L3511" t="s">
        <v>7834</v>
      </c>
      <c r="N3511" t="s">
        <v>7835</v>
      </c>
      <c r="O3511" t="s">
        <v>244</v>
      </c>
      <c r="Q3511" t="s">
        <v>245</v>
      </c>
      <c r="R3511" t="s">
        <v>7908</v>
      </c>
      <c r="S3511" t="s">
        <v>6958</v>
      </c>
      <c r="V3511" t="s">
        <v>6959</v>
      </c>
      <c r="W3511" t="s">
        <v>6981</v>
      </c>
      <c r="AD3511" t="s">
        <v>7909</v>
      </c>
    </row>
    <row r="3512" spans="1:32" x14ac:dyDescent="0.25">
      <c r="A3512" t="s">
        <v>33</v>
      </c>
      <c r="D3512" t="s">
        <v>6953</v>
      </c>
      <c r="E3512" t="s">
        <v>2859</v>
      </c>
      <c r="F3512" t="s">
        <v>78</v>
      </c>
      <c r="G3512" t="s">
        <v>7833</v>
      </c>
      <c r="H3512" t="s">
        <v>166</v>
      </c>
      <c r="I3512" t="s">
        <v>160</v>
      </c>
      <c r="J3512" t="s">
        <v>167</v>
      </c>
      <c r="K3512" t="s">
        <v>41</v>
      </c>
      <c r="L3512" t="s">
        <v>7834</v>
      </c>
      <c r="N3512" t="s">
        <v>7835</v>
      </c>
      <c r="O3512" t="s">
        <v>168</v>
      </c>
      <c r="Q3512" t="s">
        <v>1972</v>
      </c>
      <c r="R3512" t="s">
        <v>7910</v>
      </c>
      <c r="S3512" t="s">
        <v>6958</v>
      </c>
      <c r="V3512" t="s">
        <v>6959</v>
      </c>
      <c r="W3512" t="s">
        <v>6981</v>
      </c>
      <c r="AD3512" t="s">
        <v>7911</v>
      </c>
    </row>
    <row r="3513" spans="1:32" x14ac:dyDescent="0.25">
      <c r="A3513" t="s">
        <v>33</v>
      </c>
      <c r="D3513" t="s">
        <v>7912</v>
      </c>
      <c r="E3513" t="s">
        <v>2859</v>
      </c>
      <c r="F3513" t="s">
        <v>87</v>
      </c>
      <c r="G3513" t="s">
        <v>6977</v>
      </c>
      <c r="H3513" t="s">
        <v>143</v>
      </c>
      <c r="I3513" t="s">
        <v>144</v>
      </c>
      <c r="J3513" t="s">
        <v>145</v>
      </c>
      <c r="K3513" t="s">
        <v>146</v>
      </c>
      <c r="L3513" t="s">
        <v>6978</v>
      </c>
      <c r="M3513" t="s">
        <v>82</v>
      </c>
      <c r="N3513" t="s">
        <v>6979</v>
      </c>
      <c r="O3513" t="s">
        <v>147</v>
      </c>
      <c r="R3513" t="s">
        <v>7913</v>
      </c>
      <c r="S3513" t="s">
        <v>7914</v>
      </c>
      <c r="V3513" t="s">
        <v>7915</v>
      </c>
      <c r="W3513" t="s">
        <v>6981</v>
      </c>
      <c r="AD3513" t="s">
        <v>6984</v>
      </c>
    </row>
    <row r="3514" spans="1:32" x14ac:dyDescent="0.25">
      <c r="A3514" t="s">
        <v>33</v>
      </c>
      <c r="D3514" t="s">
        <v>7912</v>
      </c>
      <c r="E3514" t="s">
        <v>2893</v>
      </c>
      <c r="F3514" t="s">
        <v>36</v>
      </c>
      <c r="G3514" t="s">
        <v>6995</v>
      </c>
      <c r="H3514" t="s">
        <v>38</v>
      </c>
      <c r="I3514" t="s">
        <v>63</v>
      </c>
      <c r="J3514" t="s">
        <v>40</v>
      </c>
      <c r="K3514" t="s">
        <v>41</v>
      </c>
      <c r="L3514" t="s">
        <v>6996</v>
      </c>
      <c r="M3514" t="s">
        <v>3483</v>
      </c>
      <c r="N3514" t="s">
        <v>6997</v>
      </c>
      <c r="O3514" t="s">
        <v>65</v>
      </c>
      <c r="R3514" t="s">
        <v>7916</v>
      </c>
      <c r="S3514" t="s">
        <v>7914</v>
      </c>
      <c r="V3514" t="s">
        <v>7915</v>
      </c>
      <c r="W3514" t="s">
        <v>6999</v>
      </c>
      <c r="X3514" t="s">
        <v>963</v>
      </c>
      <c r="AD3514" t="s">
        <v>7042</v>
      </c>
    </row>
    <row r="3515" spans="1:32" x14ac:dyDescent="0.25">
      <c r="A3515" t="s">
        <v>33</v>
      </c>
      <c r="D3515" t="s">
        <v>7912</v>
      </c>
      <c r="E3515" t="s">
        <v>2893</v>
      </c>
      <c r="F3515" t="s">
        <v>87</v>
      </c>
      <c r="G3515" t="s">
        <v>88</v>
      </c>
      <c r="H3515" t="s">
        <v>153</v>
      </c>
      <c r="I3515" t="s">
        <v>90</v>
      </c>
      <c r="J3515" t="s">
        <v>154</v>
      </c>
      <c r="K3515" t="s">
        <v>155</v>
      </c>
      <c r="L3515" t="s">
        <v>93</v>
      </c>
      <c r="N3515" t="s">
        <v>7464</v>
      </c>
      <c r="O3515" t="s">
        <v>213</v>
      </c>
      <c r="R3515" t="s">
        <v>7917</v>
      </c>
      <c r="S3515" t="s">
        <v>7914</v>
      </c>
      <c r="V3515" t="s">
        <v>7915</v>
      </c>
      <c r="W3515" t="s">
        <v>6999</v>
      </c>
      <c r="AC3515" t="s">
        <v>93</v>
      </c>
      <c r="AD3515" t="s">
        <v>7918</v>
      </c>
      <c r="AE3515" t="s">
        <v>2890</v>
      </c>
      <c r="AF3515">
        <v>1</v>
      </c>
    </row>
    <row r="3516" spans="1:32" x14ac:dyDescent="0.25">
      <c r="A3516" t="s">
        <v>33</v>
      </c>
      <c r="D3516" t="s">
        <v>7912</v>
      </c>
      <c r="E3516" t="s">
        <v>2893</v>
      </c>
      <c r="F3516" t="s">
        <v>87</v>
      </c>
      <c r="G3516" t="s">
        <v>88</v>
      </c>
      <c r="H3516" t="s">
        <v>89</v>
      </c>
      <c r="I3516" t="s">
        <v>90</v>
      </c>
      <c r="J3516" t="s">
        <v>91</v>
      </c>
      <c r="K3516" t="s">
        <v>92</v>
      </c>
      <c r="L3516" t="s">
        <v>93</v>
      </c>
      <c r="M3516" t="s">
        <v>94</v>
      </c>
      <c r="N3516" t="s">
        <v>7464</v>
      </c>
      <c r="O3516" t="s">
        <v>96</v>
      </c>
      <c r="P3516">
        <v>1E-3</v>
      </c>
      <c r="R3516" t="s">
        <v>7919</v>
      </c>
      <c r="S3516" t="s">
        <v>7914</v>
      </c>
      <c r="V3516" t="s">
        <v>7915</v>
      </c>
      <c r="W3516" t="s">
        <v>6999</v>
      </c>
      <c r="AD3516" t="s">
        <v>7920</v>
      </c>
    </row>
    <row r="3517" spans="1:32" x14ac:dyDescent="0.25">
      <c r="A3517" t="s">
        <v>33</v>
      </c>
      <c r="D3517" t="s">
        <v>7912</v>
      </c>
      <c r="E3517" t="s">
        <v>2893</v>
      </c>
      <c r="F3517" t="s">
        <v>87</v>
      </c>
      <c r="G3517" t="s">
        <v>88</v>
      </c>
      <c r="H3517" t="s">
        <v>38</v>
      </c>
      <c r="I3517" t="s">
        <v>106</v>
      </c>
      <c r="J3517" t="s">
        <v>40</v>
      </c>
      <c r="K3517" t="s">
        <v>41</v>
      </c>
      <c r="L3517" t="s">
        <v>93</v>
      </c>
      <c r="M3517" t="s">
        <v>1191</v>
      </c>
      <c r="N3517" t="s">
        <v>7464</v>
      </c>
      <c r="O3517" t="s">
        <v>109</v>
      </c>
      <c r="R3517" t="s">
        <v>7921</v>
      </c>
      <c r="S3517" t="s">
        <v>7914</v>
      </c>
      <c r="V3517" t="s">
        <v>7915</v>
      </c>
      <c r="W3517" t="s">
        <v>6999</v>
      </c>
      <c r="X3517" t="s">
        <v>1193</v>
      </c>
      <c r="AD3517" t="s">
        <v>7466</v>
      </c>
    </row>
    <row r="3518" spans="1:32" x14ac:dyDescent="0.25">
      <c r="A3518" t="s">
        <v>33</v>
      </c>
      <c r="D3518" t="s">
        <v>7912</v>
      </c>
      <c r="E3518" t="s">
        <v>2893</v>
      </c>
      <c r="F3518" t="s">
        <v>87</v>
      </c>
      <c r="G3518" t="s">
        <v>88</v>
      </c>
      <c r="H3518" t="s">
        <v>38</v>
      </c>
      <c r="I3518" t="s">
        <v>25</v>
      </c>
      <c r="J3518" t="s">
        <v>69</v>
      </c>
      <c r="K3518" t="s">
        <v>41</v>
      </c>
      <c r="L3518" t="s">
        <v>93</v>
      </c>
      <c r="M3518" t="s">
        <v>1191</v>
      </c>
      <c r="N3518" t="s">
        <v>7464</v>
      </c>
      <c r="O3518" t="s">
        <v>512</v>
      </c>
      <c r="R3518" t="s">
        <v>4225</v>
      </c>
      <c r="S3518" t="s">
        <v>7914</v>
      </c>
      <c r="V3518" t="s">
        <v>7915</v>
      </c>
      <c r="W3518" t="s">
        <v>6999</v>
      </c>
      <c r="X3518" t="s">
        <v>1193</v>
      </c>
      <c r="AD3518" t="s">
        <v>7922</v>
      </c>
    </row>
    <row r="3519" spans="1:32" x14ac:dyDescent="0.25">
      <c r="A3519" t="s">
        <v>33</v>
      </c>
      <c r="D3519" t="s">
        <v>7912</v>
      </c>
      <c r="E3519" t="s">
        <v>2893</v>
      </c>
      <c r="F3519" t="s">
        <v>87</v>
      </c>
      <c r="G3519" t="s">
        <v>88</v>
      </c>
      <c r="H3519" t="s">
        <v>38</v>
      </c>
      <c r="I3519" t="s">
        <v>24</v>
      </c>
      <c r="J3519" t="s">
        <v>69</v>
      </c>
      <c r="K3519" t="s">
        <v>41</v>
      </c>
      <c r="L3519" t="s">
        <v>93</v>
      </c>
      <c r="M3519" t="s">
        <v>1191</v>
      </c>
      <c r="N3519" t="s">
        <v>7464</v>
      </c>
      <c r="O3519" t="s">
        <v>509</v>
      </c>
      <c r="R3519" t="s">
        <v>4227</v>
      </c>
      <c r="S3519" t="s">
        <v>7914</v>
      </c>
      <c r="V3519" t="s">
        <v>7915</v>
      </c>
      <c r="W3519" t="s">
        <v>6999</v>
      </c>
      <c r="X3519" t="s">
        <v>1193</v>
      </c>
      <c r="AD3519" t="s">
        <v>7923</v>
      </c>
    </row>
    <row r="3520" spans="1:32" x14ac:dyDescent="0.25">
      <c r="A3520" t="s">
        <v>33</v>
      </c>
      <c r="D3520" t="s">
        <v>7912</v>
      </c>
      <c r="E3520" t="s">
        <v>2859</v>
      </c>
      <c r="F3520" t="s">
        <v>87</v>
      </c>
      <c r="G3520" t="s">
        <v>7059</v>
      </c>
      <c r="H3520" t="s">
        <v>38</v>
      </c>
      <c r="I3520" t="s">
        <v>25</v>
      </c>
      <c r="J3520" t="s">
        <v>69</v>
      </c>
      <c r="K3520" t="s">
        <v>41</v>
      </c>
      <c r="L3520" t="s">
        <v>7060</v>
      </c>
      <c r="M3520" t="s">
        <v>1191</v>
      </c>
      <c r="N3520" t="s">
        <v>7061</v>
      </c>
      <c r="O3520" t="s">
        <v>512</v>
      </c>
      <c r="R3520" t="s">
        <v>7924</v>
      </c>
      <c r="S3520" t="s">
        <v>7914</v>
      </c>
      <c r="V3520" t="s">
        <v>7915</v>
      </c>
      <c r="W3520" t="s">
        <v>6966</v>
      </c>
      <c r="X3520" t="s">
        <v>1193</v>
      </c>
      <c r="AD3520" t="s">
        <v>7925</v>
      </c>
    </row>
    <row r="3521" spans="1:32" x14ac:dyDescent="0.25">
      <c r="A3521" t="s">
        <v>33</v>
      </c>
      <c r="D3521" t="s">
        <v>7912</v>
      </c>
      <c r="E3521" t="s">
        <v>2859</v>
      </c>
      <c r="F3521" t="s">
        <v>87</v>
      </c>
      <c r="G3521" t="s">
        <v>7059</v>
      </c>
      <c r="H3521" t="s">
        <v>38</v>
      </c>
      <c r="I3521" t="s">
        <v>24</v>
      </c>
      <c r="J3521" t="s">
        <v>69</v>
      </c>
      <c r="K3521" t="s">
        <v>41</v>
      </c>
      <c r="L3521" t="s">
        <v>7060</v>
      </c>
      <c r="M3521" t="s">
        <v>1191</v>
      </c>
      <c r="N3521" t="s">
        <v>7061</v>
      </c>
      <c r="O3521" t="s">
        <v>509</v>
      </c>
      <c r="R3521" t="s">
        <v>7926</v>
      </c>
      <c r="S3521" t="s">
        <v>7914</v>
      </c>
      <c r="V3521" t="s">
        <v>7915</v>
      </c>
      <c r="W3521" t="s">
        <v>6966</v>
      </c>
      <c r="X3521" t="s">
        <v>1193</v>
      </c>
      <c r="AD3521" t="s">
        <v>7927</v>
      </c>
    </row>
    <row r="3522" spans="1:32" x14ac:dyDescent="0.25">
      <c r="A3522" t="s">
        <v>33</v>
      </c>
      <c r="D3522" t="s">
        <v>7912</v>
      </c>
      <c r="E3522" t="s">
        <v>2859</v>
      </c>
      <c r="F3522" t="s">
        <v>87</v>
      </c>
      <c r="G3522" t="s">
        <v>7071</v>
      </c>
      <c r="H3522" t="s">
        <v>38</v>
      </c>
      <c r="I3522" t="s">
        <v>25</v>
      </c>
      <c r="J3522" t="s">
        <v>69</v>
      </c>
      <c r="K3522" t="s">
        <v>41</v>
      </c>
      <c r="L3522" t="s">
        <v>7072</v>
      </c>
      <c r="M3522" t="s">
        <v>1191</v>
      </c>
      <c r="N3522" t="s">
        <v>7073</v>
      </c>
      <c r="O3522" t="s">
        <v>512</v>
      </c>
      <c r="R3522" t="s">
        <v>7928</v>
      </c>
      <c r="S3522" t="s">
        <v>7914</v>
      </c>
      <c r="V3522" t="s">
        <v>7915</v>
      </c>
      <c r="W3522" t="s">
        <v>6981</v>
      </c>
      <c r="X3522" t="s">
        <v>1193</v>
      </c>
      <c r="AD3522" t="s">
        <v>7929</v>
      </c>
    </row>
    <row r="3523" spans="1:32" x14ac:dyDescent="0.25">
      <c r="A3523" t="s">
        <v>33</v>
      </c>
      <c r="D3523" t="s">
        <v>7912</v>
      </c>
      <c r="E3523" t="s">
        <v>2859</v>
      </c>
      <c r="F3523" t="s">
        <v>87</v>
      </c>
      <c r="G3523" t="s">
        <v>7071</v>
      </c>
      <c r="H3523" t="s">
        <v>38</v>
      </c>
      <c r="I3523" t="s">
        <v>24</v>
      </c>
      <c r="J3523" t="s">
        <v>69</v>
      </c>
      <c r="K3523" t="s">
        <v>41</v>
      </c>
      <c r="L3523" t="s">
        <v>7072</v>
      </c>
      <c r="M3523" t="s">
        <v>1191</v>
      </c>
      <c r="N3523" t="s">
        <v>7073</v>
      </c>
      <c r="O3523" t="s">
        <v>509</v>
      </c>
      <c r="R3523" t="s">
        <v>7930</v>
      </c>
      <c r="S3523" t="s">
        <v>7914</v>
      </c>
      <c r="V3523" t="s">
        <v>7915</v>
      </c>
      <c r="W3523" t="s">
        <v>6981</v>
      </c>
      <c r="X3523" t="s">
        <v>1193</v>
      </c>
      <c r="AD3523" t="s">
        <v>7931</v>
      </c>
    </row>
    <row r="3524" spans="1:32" x14ac:dyDescent="0.25">
      <c r="A3524" t="s">
        <v>33</v>
      </c>
      <c r="D3524" t="s">
        <v>7912</v>
      </c>
      <c r="E3524" t="s">
        <v>2859</v>
      </c>
      <c r="F3524" t="s">
        <v>87</v>
      </c>
      <c r="G3524" t="s">
        <v>6889</v>
      </c>
      <c r="H3524" t="s">
        <v>38</v>
      </c>
      <c r="I3524" t="s">
        <v>25</v>
      </c>
      <c r="J3524" t="s">
        <v>69</v>
      </c>
      <c r="K3524" t="s">
        <v>41</v>
      </c>
      <c r="L3524" t="s">
        <v>6890</v>
      </c>
      <c r="M3524" t="s">
        <v>1191</v>
      </c>
      <c r="N3524" t="s">
        <v>7066</v>
      </c>
      <c r="O3524" t="s">
        <v>512</v>
      </c>
      <c r="R3524" t="s">
        <v>4216</v>
      </c>
      <c r="S3524" t="s">
        <v>7914</v>
      </c>
      <c r="V3524" t="s">
        <v>7915</v>
      </c>
      <c r="W3524" t="s">
        <v>6966</v>
      </c>
      <c r="X3524" t="s">
        <v>1193</v>
      </c>
      <c r="AD3524" t="s">
        <v>7932</v>
      </c>
    </row>
    <row r="3525" spans="1:32" x14ac:dyDescent="0.25">
      <c r="A3525" t="s">
        <v>33</v>
      </c>
      <c r="D3525" t="s">
        <v>7912</v>
      </c>
      <c r="E3525" t="s">
        <v>2859</v>
      </c>
      <c r="F3525" t="s">
        <v>87</v>
      </c>
      <c r="G3525" t="s">
        <v>6889</v>
      </c>
      <c r="H3525" t="s">
        <v>38</v>
      </c>
      <c r="I3525" t="s">
        <v>24</v>
      </c>
      <c r="J3525" t="s">
        <v>69</v>
      </c>
      <c r="K3525" t="s">
        <v>41</v>
      </c>
      <c r="L3525" t="s">
        <v>6890</v>
      </c>
      <c r="M3525" t="s">
        <v>1191</v>
      </c>
      <c r="N3525" t="s">
        <v>7066</v>
      </c>
      <c r="O3525" t="s">
        <v>509</v>
      </c>
      <c r="R3525" t="s">
        <v>4217</v>
      </c>
      <c r="S3525" t="s">
        <v>7914</v>
      </c>
      <c r="V3525" t="s">
        <v>7915</v>
      </c>
      <c r="W3525" t="s">
        <v>6966</v>
      </c>
      <c r="X3525" t="s">
        <v>1193</v>
      </c>
      <c r="AD3525" t="s">
        <v>7933</v>
      </c>
    </row>
    <row r="3526" spans="1:32" x14ac:dyDescent="0.25">
      <c r="A3526" t="s">
        <v>33</v>
      </c>
      <c r="D3526" t="s">
        <v>7912</v>
      </c>
      <c r="E3526" t="s">
        <v>2859</v>
      </c>
      <c r="F3526" t="s">
        <v>87</v>
      </c>
      <c r="G3526" t="s">
        <v>7471</v>
      </c>
      <c r="H3526" t="s">
        <v>153</v>
      </c>
      <c r="I3526" t="s">
        <v>180</v>
      </c>
      <c r="J3526" t="s">
        <v>154</v>
      </c>
      <c r="K3526" t="s">
        <v>155</v>
      </c>
      <c r="L3526" t="s">
        <v>7472</v>
      </c>
      <c r="N3526" t="s">
        <v>7473</v>
      </c>
      <c r="O3526" t="s">
        <v>213</v>
      </c>
      <c r="R3526" t="s">
        <v>7081</v>
      </c>
      <c r="S3526" t="s">
        <v>7914</v>
      </c>
      <c r="V3526" t="s">
        <v>7915</v>
      </c>
      <c r="W3526" t="s">
        <v>6981</v>
      </c>
      <c r="AD3526" t="s">
        <v>7934</v>
      </c>
    </row>
    <row r="3527" spans="1:32" x14ac:dyDescent="0.25">
      <c r="A3527" t="s">
        <v>33</v>
      </c>
      <c r="D3527" t="s">
        <v>7912</v>
      </c>
      <c r="E3527" t="s">
        <v>2859</v>
      </c>
      <c r="F3527" t="s">
        <v>87</v>
      </c>
      <c r="G3527" t="s">
        <v>7471</v>
      </c>
      <c r="H3527" t="s">
        <v>89</v>
      </c>
      <c r="I3527" t="s">
        <v>180</v>
      </c>
      <c r="J3527" t="s">
        <v>91</v>
      </c>
      <c r="K3527" t="s">
        <v>92</v>
      </c>
      <c r="L3527" t="s">
        <v>7472</v>
      </c>
      <c r="M3527" t="s">
        <v>94</v>
      </c>
      <c r="N3527" t="s">
        <v>7473</v>
      </c>
      <c r="O3527" t="s">
        <v>96</v>
      </c>
      <c r="P3527">
        <v>1E-3</v>
      </c>
      <c r="R3527" t="s">
        <v>7083</v>
      </c>
      <c r="S3527" t="s">
        <v>7914</v>
      </c>
      <c r="V3527" t="s">
        <v>7915</v>
      </c>
      <c r="W3527" t="s">
        <v>6981</v>
      </c>
      <c r="AD3527" t="s">
        <v>7935</v>
      </c>
    </row>
    <row r="3528" spans="1:32" x14ac:dyDescent="0.25">
      <c r="A3528" t="s">
        <v>33</v>
      </c>
      <c r="D3528" t="s">
        <v>7912</v>
      </c>
      <c r="E3528" t="s">
        <v>2859</v>
      </c>
      <c r="F3528" t="s">
        <v>87</v>
      </c>
      <c r="G3528" t="s">
        <v>7471</v>
      </c>
      <c r="H3528" t="s">
        <v>38</v>
      </c>
      <c r="I3528" t="s">
        <v>106</v>
      </c>
      <c r="J3528" t="s">
        <v>40</v>
      </c>
      <c r="K3528" t="s">
        <v>41</v>
      </c>
      <c r="L3528" t="s">
        <v>7472</v>
      </c>
      <c r="M3528" t="s">
        <v>1191</v>
      </c>
      <c r="N3528" t="s">
        <v>7473</v>
      </c>
      <c r="O3528" t="s">
        <v>109</v>
      </c>
      <c r="R3528" t="s">
        <v>7478</v>
      </c>
      <c r="S3528" t="s">
        <v>7914</v>
      </c>
      <c r="V3528" t="s">
        <v>7915</v>
      </c>
      <c r="W3528" t="s">
        <v>6981</v>
      </c>
      <c r="X3528" t="s">
        <v>1193</v>
      </c>
      <c r="AD3528" t="s">
        <v>7936</v>
      </c>
    </row>
    <row r="3529" spans="1:32" x14ac:dyDescent="0.25">
      <c r="A3529" t="s">
        <v>33</v>
      </c>
      <c r="D3529" t="s">
        <v>7912</v>
      </c>
      <c r="E3529" t="s">
        <v>2859</v>
      </c>
      <c r="F3529" t="s">
        <v>87</v>
      </c>
      <c r="G3529" t="s">
        <v>7471</v>
      </c>
      <c r="H3529" t="s">
        <v>38</v>
      </c>
      <c r="I3529" t="s">
        <v>25</v>
      </c>
      <c r="J3529" t="s">
        <v>69</v>
      </c>
      <c r="K3529" t="s">
        <v>41</v>
      </c>
      <c r="L3529" t="s">
        <v>7472</v>
      </c>
      <c r="M3529" t="s">
        <v>1191</v>
      </c>
      <c r="N3529" t="s">
        <v>7473</v>
      </c>
      <c r="O3529" t="s">
        <v>512</v>
      </c>
      <c r="R3529" t="s">
        <v>7937</v>
      </c>
      <c r="S3529" t="s">
        <v>7914</v>
      </c>
      <c r="V3529" t="s">
        <v>7915</v>
      </c>
      <c r="W3529" t="s">
        <v>6981</v>
      </c>
      <c r="X3529" t="s">
        <v>1193</v>
      </c>
      <c r="AD3529" t="s">
        <v>7938</v>
      </c>
    </row>
    <row r="3530" spans="1:32" x14ac:dyDescent="0.25">
      <c r="A3530" t="s">
        <v>33</v>
      </c>
      <c r="D3530" t="s">
        <v>7912</v>
      </c>
      <c r="E3530" t="s">
        <v>2859</v>
      </c>
      <c r="F3530" t="s">
        <v>87</v>
      </c>
      <c r="G3530" t="s">
        <v>7471</v>
      </c>
      <c r="H3530" t="s">
        <v>38</v>
      </c>
      <c r="I3530" t="s">
        <v>24</v>
      </c>
      <c r="J3530" t="s">
        <v>69</v>
      </c>
      <c r="K3530" t="s">
        <v>41</v>
      </c>
      <c r="L3530" t="s">
        <v>7472</v>
      </c>
      <c r="M3530" t="s">
        <v>1191</v>
      </c>
      <c r="N3530" t="s">
        <v>7473</v>
      </c>
      <c r="O3530" t="s">
        <v>509</v>
      </c>
      <c r="R3530" t="s">
        <v>7939</v>
      </c>
      <c r="S3530" t="s">
        <v>7914</v>
      </c>
      <c r="V3530" t="s">
        <v>7915</v>
      </c>
      <c r="W3530" t="s">
        <v>6981</v>
      </c>
      <c r="X3530" t="s">
        <v>1193</v>
      </c>
      <c r="AD3530" t="s">
        <v>7940</v>
      </c>
    </row>
    <row r="3531" spans="1:32" x14ac:dyDescent="0.25">
      <c r="A3531" t="s">
        <v>33</v>
      </c>
      <c r="D3531" t="s">
        <v>7912</v>
      </c>
      <c r="E3531" t="s">
        <v>2859</v>
      </c>
      <c r="F3531" t="s">
        <v>87</v>
      </c>
      <c r="G3531" t="s">
        <v>7156</v>
      </c>
      <c r="H3531" t="s">
        <v>153</v>
      </c>
      <c r="I3531" t="s">
        <v>90</v>
      </c>
      <c r="J3531" t="s">
        <v>154</v>
      </c>
      <c r="K3531" t="s">
        <v>155</v>
      </c>
      <c r="L3531" t="s">
        <v>7157</v>
      </c>
      <c r="N3531" t="s">
        <v>7158</v>
      </c>
      <c r="O3531" t="s">
        <v>386</v>
      </c>
      <c r="R3531" t="s">
        <v>7941</v>
      </c>
      <c r="S3531" t="s">
        <v>7914</v>
      </c>
      <c r="V3531" t="s">
        <v>7915</v>
      </c>
      <c r="W3531" t="s">
        <v>6966</v>
      </c>
      <c r="AC3531" t="s">
        <v>7942</v>
      </c>
      <c r="AD3531" t="s">
        <v>7943</v>
      </c>
      <c r="AE3531" t="s">
        <v>2890</v>
      </c>
      <c r="AF3531">
        <v>3</v>
      </c>
    </row>
    <row r="3532" spans="1:32" x14ac:dyDescent="0.25">
      <c r="A3532" t="s">
        <v>33</v>
      </c>
      <c r="D3532" t="s">
        <v>7912</v>
      </c>
      <c r="E3532" t="s">
        <v>2859</v>
      </c>
      <c r="F3532" t="s">
        <v>87</v>
      </c>
      <c r="G3532" t="s">
        <v>7156</v>
      </c>
      <c r="H3532" t="s">
        <v>89</v>
      </c>
      <c r="I3532" t="s">
        <v>90</v>
      </c>
      <c r="J3532" t="s">
        <v>91</v>
      </c>
      <c r="K3532" t="s">
        <v>92</v>
      </c>
      <c r="L3532" t="s">
        <v>7157</v>
      </c>
      <c r="M3532" t="s">
        <v>94</v>
      </c>
      <c r="N3532" t="s">
        <v>7158</v>
      </c>
      <c r="O3532" t="s">
        <v>383</v>
      </c>
      <c r="P3532">
        <v>1E-3</v>
      </c>
      <c r="R3532" t="s">
        <v>7944</v>
      </c>
      <c r="S3532" t="s">
        <v>7914</v>
      </c>
      <c r="V3532" t="s">
        <v>7915</v>
      </c>
      <c r="W3532" t="s">
        <v>6966</v>
      </c>
      <c r="AD3532" t="s">
        <v>7945</v>
      </c>
    </row>
    <row r="3533" spans="1:32" x14ac:dyDescent="0.25">
      <c r="A3533" t="s">
        <v>33</v>
      </c>
      <c r="D3533" t="s">
        <v>7912</v>
      </c>
      <c r="E3533" t="s">
        <v>2859</v>
      </c>
      <c r="F3533" t="s">
        <v>87</v>
      </c>
      <c r="G3533" t="s">
        <v>7156</v>
      </c>
      <c r="H3533" t="s">
        <v>143</v>
      </c>
      <c r="I3533" t="s">
        <v>90</v>
      </c>
      <c r="J3533" t="s">
        <v>145</v>
      </c>
      <c r="K3533" t="s">
        <v>146</v>
      </c>
      <c r="L3533" t="s">
        <v>7157</v>
      </c>
      <c r="M3533" t="s">
        <v>176</v>
      </c>
      <c r="N3533" t="s">
        <v>7158</v>
      </c>
      <c r="O3533" t="s">
        <v>380</v>
      </c>
      <c r="R3533" t="s">
        <v>7946</v>
      </c>
      <c r="S3533" t="s">
        <v>7914</v>
      </c>
      <c r="V3533" t="s">
        <v>7915</v>
      </c>
      <c r="W3533" t="s">
        <v>6966</v>
      </c>
      <c r="AD3533" t="s">
        <v>7947</v>
      </c>
    </row>
    <row r="3534" spans="1:32" x14ac:dyDescent="0.25">
      <c r="A3534" t="s">
        <v>33</v>
      </c>
      <c r="D3534" t="s">
        <v>7912</v>
      </c>
      <c r="E3534" t="s">
        <v>2859</v>
      </c>
      <c r="F3534" t="s">
        <v>87</v>
      </c>
      <c r="G3534" t="s">
        <v>7156</v>
      </c>
      <c r="H3534" t="s">
        <v>143</v>
      </c>
      <c r="I3534" t="s">
        <v>90</v>
      </c>
      <c r="J3534" t="s">
        <v>145</v>
      </c>
      <c r="K3534" t="s">
        <v>262</v>
      </c>
      <c r="L3534" t="s">
        <v>7157</v>
      </c>
      <c r="M3534" t="s">
        <v>176</v>
      </c>
      <c r="N3534" t="s">
        <v>7158</v>
      </c>
      <c r="O3534" t="s">
        <v>380</v>
      </c>
      <c r="R3534" t="s">
        <v>7948</v>
      </c>
      <c r="S3534" t="s">
        <v>7914</v>
      </c>
      <c r="V3534" t="s">
        <v>7915</v>
      </c>
      <c r="W3534" t="s">
        <v>6966</v>
      </c>
      <c r="AD3534" t="s">
        <v>7947</v>
      </c>
    </row>
    <row r="3535" spans="1:32" x14ac:dyDescent="0.25">
      <c r="A3535" t="s">
        <v>33</v>
      </c>
      <c r="D3535" t="s">
        <v>7912</v>
      </c>
      <c r="E3535" t="s">
        <v>2859</v>
      </c>
      <c r="F3535" t="s">
        <v>87</v>
      </c>
      <c r="G3535" t="s">
        <v>7156</v>
      </c>
      <c r="H3535" t="s">
        <v>38</v>
      </c>
      <c r="I3535" t="s">
        <v>106</v>
      </c>
      <c r="J3535" t="s">
        <v>40</v>
      </c>
      <c r="K3535" t="s">
        <v>41</v>
      </c>
      <c r="L3535" t="s">
        <v>7157</v>
      </c>
      <c r="M3535" t="s">
        <v>176</v>
      </c>
      <c r="N3535" t="s">
        <v>7158</v>
      </c>
      <c r="O3535" t="s">
        <v>109</v>
      </c>
      <c r="R3535" t="s">
        <v>7949</v>
      </c>
      <c r="S3535" t="s">
        <v>7914</v>
      </c>
      <c r="V3535" t="s">
        <v>7915</v>
      </c>
      <c r="W3535" t="s">
        <v>6966</v>
      </c>
      <c r="AD3535" t="s">
        <v>7546</v>
      </c>
    </row>
    <row r="3536" spans="1:32" x14ac:dyDescent="0.25">
      <c r="A3536" t="s">
        <v>33</v>
      </c>
      <c r="D3536" t="s">
        <v>7912</v>
      </c>
      <c r="E3536" t="s">
        <v>2859</v>
      </c>
      <c r="F3536" t="s">
        <v>87</v>
      </c>
      <c r="G3536" t="s">
        <v>7950</v>
      </c>
      <c r="H3536" t="s">
        <v>153</v>
      </c>
      <c r="I3536" t="s">
        <v>144</v>
      </c>
      <c r="J3536" t="s">
        <v>154</v>
      </c>
      <c r="K3536" t="s">
        <v>155</v>
      </c>
      <c r="L3536" t="s">
        <v>7951</v>
      </c>
      <c r="N3536" t="s">
        <v>7952</v>
      </c>
      <c r="O3536" t="s">
        <v>156</v>
      </c>
      <c r="R3536" t="s">
        <v>7220</v>
      </c>
      <c r="S3536" t="s">
        <v>7914</v>
      </c>
      <c r="V3536" t="s">
        <v>7915</v>
      </c>
      <c r="W3536" t="s">
        <v>6981</v>
      </c>
      <c r="AD3536" t="s">
        <v>7953</v>
      </c>
    </row>
    <row r="3537" spans="1:30" x14ac:dyDescent="0.25">
      <c r="A3537" t="s">
        <v>33</v>
      </c>
      <c r="D3537" t="s">
        <v>7912</v>
      </c>
      <c r="E3537" t="s">
        <v>2859</v>
      </c>
      <c r="F3537" t="s">
        <v>87</v>
      </c>
      <c r="G3537" t="s">
        <v>7950</v>
      </c>
      <c r="H3537" t="s">
        <v>89</v>
      </c>
      <c r="I3537" t="s">
        <v>144</v>
      </c>
      <c r="J3537" t="s">
        <v>91</v>
      </c>
      <c r="K3537" t="s">
        <v>92</v>
      </c>
      <c r="L3537" t="s">
        <v>7951</v>
      </c>
      <c r="M3537" t="s">
        <v>94</v>
      </c>
      <c r="N3537" t="s">
        <v>7952</v>
      </c>
      <c r="O3537" t="s">
        <v>150</v>
      </c>
      <c r="P3537">
        <v>1E-3</v>
      </c>
      <c r="R3537" t="s">
        <v>7224</v>
      </c>
      <c r="S3537" t="s">
        <v>7914</v>
      </c>
      <c r="V3537" t="s">
        <v>7915</v>
      </c>
      <c r="W3537" t="s">
        <v>6981</v>
      </c>
      <c r="AD3537" t="s">
        <v>7954</v>
      </c>
    </row>
    <row r="3538" spans="1:30" x14ac:dyDescent="0.25">
      <c r="A3538" t="s">
        <v>33</v>
      </c>
      <c r="D3538" t="s">
        <v>7912</v>
      </c>
      <c r="E3538" t="s">
        <v>2859</v>
      </c>
      <c r="F3538" t="s">
        <v>87</v>
      </c>
      <c r="G3538" t="s">
        <v>7950</v>
      </c>
      <c r="H3538" t="s">
        <v>143</v>
      </c>
      <c r="I3538" t="s">
        <v>144</v>
      </c>
      <c r="J3538" t="s">
        <v>145</v>
      </c>
      <c r="K3538" t="s">
        <v>146</v>
      </c>
      <c r="L3538" t="s">
        <v>7951</v>
      </c>
      <c r="M3538" t="s">
        <v>176</v>
      </c>
      <c r="N3538" t="s">
        <v>7952</v>
      </c>
      <c r="O3538" t="s">
        <v>147</v>
      </c>
      <c r="R3538" t="s">
        <v>7883</v>
      </c>
      <c r="S3538" t="s">
        <v>7914</v>
      </c>
      <c r="V3538" t="s">
        <v>7915</v>
      </c>
      <c r="W3538" t="s">
        <v>6981</v>
      </c>
      <c r="AD3538" t="s">
        <v>7955</v>
      </c>
    </row>
    <row r="3539" spans="1:30" x14ac:dyDescent="0.25">
      <c r="A3539" t="s">
        <v>33</v>
      </c>
      <c r="D3539" t="s">
        <v>7912</v>
      </c>
      <c r="E3539" t="s">
        <v>2859</v>
      </c>
      <c r="F3539" t="s">
        <v>87</v>
      </c>
      <c r="G3539" t="s">
        <v>7950</v>
      </c>
      <c r="H3539" t="s">
        <v>143</v>
      </c>
      <c r="I3539" t="s">
        <v>144</v>
      </c>
      <c r="J3539" t="s">
        <v>145</v>
      </c>
      <c r="K3539" t="s">
        <v>262</v>
      </c>
      <c r="L3539" t="s">
        <v>7951</v>
      </c>
      <c r="M3539" t="s">
        <v>176</v>
      </c>
      <c r="N3539" t="s">
        <v>7952</v>
      </c>
      <c r="O3539" t="s">
        <v>147</v>
      </c>
      <c r="R3539" t="s">
        <v>7222</v>
      </c>
      <c r="S3539" t="s">
        <v>7914</v>
      </c>
      <c r="V3539" t="s">
        <v>7915</v>
      </c>
      <c r="W3539" t="s">
        <v>6981</v>
      </c>
      <c r="AD3539" t="s">
        <v>7955</v>
      </c>
    </row>
    <row r="3540" spans="1:30" x14ac:dyDescent="0.25">
      <c r="A3540" t="s">
        <v>33</v>
      </c>
      <c r="D3540" t="s">
        <v>7912</v>
      </c>
      <c r="E3540" t="s">
        <v>2859</v>
      </c>
      <c r="F3540" t="s">
        <v>87</v>
      </c>
      <c r="G3540" t="s">
        <v>7950</v>
      </c>
      <c r="H3540" t="s">
        <v>153</v>
      </c>
      <c r="I3540" t="s">
        <v>180</v>
      </c>
      <c r="J3540" t="s">
        <v>154</v>
      </c>
      <c r="K3540" t="s">
        <v>155</v>
      </c>
      <c r="L3540" t="s">
        <v>7951</v>
      </c>
      <c r="N3540" t="s">
        <v>7952</v>
      </c>
      <c r="O3540" t="s">
        <v>187</v>
      </c>
      <c r="R3540" t="s">
        <v>7226</v>
      </c>
      <c r="S3540" t="s">
        <v>7914</v>
      </c>
      <c r="V3540" t="s">
        <v>7915</v>
      </c>
      <c r="W3540" t="s">
        <v>6981</v>
      </c>
      <c r="AD3540" t="s">
        <v>7956</v>
      </c>
    </row>
    <row r="3541" spans="1:30" x14ac:dyDescent="0.25">
      <c r="A3541" t="s">
        <v>33</v>
      </c>
      <c r="D3541" t="s">
        <v>7912</v>
      </c>
      <c r="E3541" t="s">
        <v>2859</v>
      </c>
      <c r="F3541" t="s">
        <v>87</v>
      </c>
      <c r="G3541" t="s">
        <v>7950</v>
      </c>
      <c r="H3541" t="s">
        <v>89</v>
      </c>
      <c r="I3541" t="s">
        <v>180</v>
      </c>
      <c r="J3541" t="s">
        <v>91</v>
      </c>
      <c r="K3541" t="s">
        <v>92</v>
      </c>
      <c r="L3541" t="s">
        <v>7951</v>
      </c>
      <c r="M3541" t="s">
        <v>94</v>
      </c>
      <c r="N3541" t="s">
        <v>7952</v>
      </c>
      <c r="O3541" t="s">
        <v>184</v>
      </c>
      <c r="P3541">
        <v>1E-3</v>
      </c>
      <c r="R3541" t="s">
        <v>7230</v>
      </c>
      <c r="S3541" t="s">
        <v>7914</v>
      </c>
      <c r="V3541" t="s">
        <v>7915</v>
      </c>
      <c r="W3541" t="s">
        <v>6981</v>
      </c>
      <c r="AD3541" t="s">
        <v>7957</v>
      </c>
    </row>
    <row r="3542" spans="1:30" x14ac:dyDescent="0.25">
      <c r="A3542" t="s">
        <v>33</v>
      </c>
      <c r="D3542" t="s">
        <v>7912</v>
      </c>
      <c r="E3542" t="s">
        <v>2859</v>
      </c>
      <c r="F3542" t="s">
        <v>87</v>
      </c>
      <c r="G3542" t="s">
        <v>7950</v>
      </c>
      <c r="H3542" t="s">
        <v>143</v>
      </c>
      <c r="I3542" t="s">
        <v>180</v>
      </c>
      <c r="J3542" t="s">
        <v>145</v>
      </c>
      <c r="K3542" t="s">
        <v>146</v>
      </c>
      <c r="L3542" t="s">
        <v>7951</v>
      </c>
      <c r="M3542" t="s">
        <v>176</v>
      </c>
      <c r="N3542" t="s">
        <v>7952</v>
      </c>
      <c r="O3542" t="s">
        <v>181</v>
      </c>
      <c r="R3542" t="s">
        <v>6587</v>
      </c>
      <c r="S3542" t="s">
        <v>7914</v>
      </c>
      <c r="V3542" t="s">
        <v>7915</v>
      </c>
      <c r="W3542" t="s">
        <v>6981</v>
      </c>
      <c r="AD3542" t="s">
        <v>7958</v>
      </c>
    </row>
    <row r="3543" spans="1:30" x14ac:dyDescent="0.25">
      <c r="A3543" t="s">
        <v>33</v>
      </c>
      <c r="D3543" t="s">
        <v>7912</v>
      </c>
      <c r="E3543" t="s">
        <v>2859</v>
      </c>
      <c r="F3543" t="s">
        <v>87</v>
      </c>
      <c r="G3543" t="s">
        <v>7950</v>
      </c>
      <c r="H3543" t="s">
        <v>143</v>
      </c>
      <c r="I3543" t="s">
        <v>180</v>
      </c>
      <c r="J3543" t="s">
        <v>145</v>
      </c>
      <c r="K3543" t="s">
        <v>262</v>
      </c>
      <c r="L3543" t="s">
        <v>7951</v>
      </c>
      <c r="M3543" t="s">
        <v>176</v>
      </c>
      <c r="N3543" t="s">
        <v>7952</v>
      </c>
      <c r="O3543" t="s">
        <v>181</v>
      </c>
      <c r="R3543" t="s">
        <v>7228</v>
      </c>
      <c r="S3543" t="s">
        <v>7914</v>
      </c>
      <c r="V3543" t="s">
        <v>7915</v>
      </c>
      <c r="W3543" t="s">
        <v>6981</v>
      </c>
      <c r="AD3543" t="s">
        <v>7958</v>
      </c>
    </row>
    <row r="3544" spans="1:30" x14ac:dyDescent="0.25">
      <c r="A3544" t="s">
        <v>33</v>
      </c>
      <c r="D3544" t="s">
        <v>7912</v>
      </c>
      <c r="E3544" t="s">
        <v>2859</v>
      </c>
      <c r="F3544" t="s">
        <v>87</v>
      </c>
      <c r="G3544" t="s">
        <v>7950</v>
      </c>
      <c r="H3544" t="s">
        <v>38</v>
      </c>
      <c r="I3544" t="s">
        <v>106</v>
      </c>
      <c r="J3544" t="s">
        <v>40</v>
      </c>
      <c r="K3544" t="s">
        <v>41</v>
      </c>
      <c r="L3544" t="s">
        <v>7951</v>
      </c>
      <c r="M3544" t="s">
        <v>176</v>
      </c>
      <c r="N3544" t="s">
        <v>7952</v>
      </c>
      <c r="O3544" t="s">
        <v>109</v>
      </c>
      <c r="R3544" t="s">
        <v>7959</v>
      </c>
      <c r="S3544" t="s">
        <v>7914</v>
      </c>
      <c r="V3544" t="s">
        <v>7915</v>
      </c>
      <c r="W3544" t="s">
        <v>6981</v>
      </c>
      <c r="Y3544">
        <v>0</v>
      </c>
      <c r="Z3544">
        <v>100</v>
      </c>
      <c r="AD3544" t="s">
        <v>7960</v>
      </c>
    </row>
    <row r="3545" spans="1:30" x14ac:dyDescent="0.25">
      <c r="A3545" t="s">
        <v>33</v>
      </c>
      <c r="D3545" t="s">
        <v>7912</v>
      </c>
      <c r="E3545" t="s">
        <v>2859</v>
      </c>
      <c r="F3545" t="s">
        <v>87</v>
      </c>
      <c r="G3545" t="s">
        <v>7352</v>
      </c>
      <c r="H3545" t="s">
        <v>38</v>
      </c>
      <c r="I3545" t="s">
        <v>106</v>
      </c>
      <c r="J3545" t="s">
        <v>40</v>
      </c>
      <c r="K3545" t="s">
        <v>41</v>
      </c>
      <c r="L3545" t="s">
        <v>7353</v>
      </c>
      <c r="M3545" t="s">
        <v>176</v>
      </c>
      <c r="N3545" t="s">
        <v>7354</v>
      </c>
      <c r="O3545" t="s">
        <v>109</v>
      </c>
      <c r="R3545" t="s">
        <v>7961</v>
      </c>
      <c r="S3545" t="s">
        <v>7914</v>
      </c>
      <c r="V3545" t="s">
        <v>7915</v>
      </c>
      <c r="W3545" t="s">
        <v>6966</v>
      </c>
      <c r="AD3545" t="s">
        <v>7393</v>
      </c>
    </row>
    <row r="3546" spans="1:30" x14ac:dyDescent="0.25">
      <c r="A3546" t="s">
        <v>33</v>
      </c>
      <c r="D3546" t="s">
        <v>7912</v>
      </c>
      <c r="E3546" t="s">
        <v>2859</v>
      </c>
      <c r="F3546" t="s">
        <v>87</v>
      </c>
      <c r="G3546" t="s">
        <v>7352</v>
      </c>
      <c r="H3546" t="s">
        <v>38</v>
      </c>
      <c r="I3546" t="s">
        <v>25</v>
      </c>
      <c r="J3546" t="s">
        <v>69</v>
      </c>
      <c r="K3546" t="s">
        <v>41</v>
      </c>
      <c r="L3546" t="s">
        <v>7353</v>
      </c>
      <c r="M3546" t="s">
        <v>176</v>
      </c>
      <c r="N3546" t="s">
        <v>7354</v>
      </c>
      <c r="O3546" t="s">
        <v>512</v>
      </c>
      <c r="R3546" t="s">
        <v>7962</v>
      </c>
      <c r="S3546" t="s">
        <v>7914</v>
      </c>
      <c r="V3546" t="s">
        <v>7915</v>
      </c>
      <c r="W3546" t="s">
        <v>6966</v>
      </c>
      <c r="AD3546" t="s">
        <v>7356</v>
      </c>
    </row>
    <row r="3547" spans="1:30" x14ac:dyDescent="0.25">
      <c r="A3547" t="s">
        <v>33</v>
      </c>
      <c r="D3547" t="s">
        <v>7912</v>
      </c>
      <c r="E3547" t="s">
        <v>2859</v>
      </c>
      <c r="F3547" t="s">
        <v>87</v>
      </c>
      <c r="G3547" t="s">
        <v>7352</v>
      </c>
      <c r="H3547" t="s">
        <v>38</v>
      </c>
      <c r="I3547" t="s">
        <v>24</v>
      </c>
      <c r="J3547" t="s">
        <v>69</v>
      </c>
      <c r="K3547" t="s">
        <v>41</v>
      </c>
      <c r="L3547" t="s">
        <v>7353</v>
      </c>
      <c r="M3547" t="s">
        <v>176</v>
      </c>
      <c r="N3547" t="s">
        <v>7354</v>
      </c>
      <c r="O3547" t="s">
        <v>509</v>
      </c>
      <c r="R3547" t="s">
        <v>7963</v>
      </c>
      <c r="S3547" t="s">
        <v>7914</v>
      </c>
      <c r="V3547" t="s">
        <v>7915</v>
      </c>
      <c r="W3547" t="s">
        <v>6966</v>
      </c>
      <c r="AD3547" t="s">
        <v>7358</v>
      </c>
    </row>
    <row r="3548" spans="1:30" x14ac:dyDescent="0.25">
      <c r="A3548" t="s">
        <v>33</v>
      </c>
      <c r="D3548" t="s">
        <v>7912</v>
      </c>
      <c r="E3548" t="s">
        <v>2859</v>
      </c>
      <c r="F3548" t="s">
        <v>87</v>
      </c>
      <c r="G3548" t="s">
        <v>7359</v>
      </c>
      <c r="H3548" t="s">
        <v>38</v>
      </c>
      <c r="I3548" t="s">
        <v>106</v>
      </c>
      <c r="J3548" t="s">
        <v>40</v>
      </c>
      <c r="K3548" t="s">
        <v>41</v>
      </c>
      <c r="L3548" t="s">
        <v>7360</v>
      </c>
      <c r="M3548" t="s">
        <v>176</v>
      </c>
      <c r="N3548" t="s">
        <v>7361</v>
      </c>
      <c r="O3548" t="s">
        <v>109</v>
      </c>
      <c r="R3548" t="s">
        <v>7964</v>
      </c>
      <c r="S3548" t="s">
        <v>7914</v>
      </c>
      <c r="V3548" t="s">
        <v>7915</v>
      </c>
      <c r="W3548" t="s">
        <v>6966</v>
      </c>
      <c r="AD3548" t="s">
        <v>7774</v>
      </c>
    </row>
    <row r="3549" spans="1:30" x14ac:dyDescent="0.25">
      <c r="A3549" t="s">
        <v>33</v>
      </c>
      <c r="D3549" t="s">
        <v>7912</v>
      </c>
      <c r="E3549" t="s">
        <v>2859</v>
      </c>
      <c r="F3549" t="s">
        <v>87</v>
      </c>
      <c r="G3549" t="s">
        <v>7359</v>
      </c>
      <c r="H3549" t="s">
        <v>38</v>
      </c>
      <c r="I3549" t="s">
        <v>25</v>
      </c>
      <c r="J3549" t="s">
        <v>69</v>
      </c>
      <c r="K3549" t="s">
        <v>41</v>
      </c>
      <c r="L3549" t="s">
        <v>7360</v>
      </c>
      <c r="M3549" t="s">
        <v>176</v>
      </c>
      <c r="N3549" t="s">
        <v>7361</v>
      </c>
      <c r="O3549" t="s">
        <v>512</v>
      </c>
      <c r="R3549" t="s">
        <v>7965</v>
      </c>
      <c r="S3549" t="s">
        <v>7914</v>
      </c>
      <c r="V3549" t="s">
        <v>7915</v>
      </c>
      <c r="W3549" t="s">
        <v>6966</v>
      </c>
      <c r="AD3549" t="s">
        <v>7363</v>
      </c>
    </row>
    <row r="3550" spans="1:30" x14ac:dyDescent="0.25">
      <c r="A3550" t="s">
        <v>33</v>
      </c>
      <c r="D3550" t="s">
        <v>7912</v>
      </c>
      <c r="E3550" t="s">
        <v>2859</v>
      </c>
      <c r="F3550" t="s">
        <v>87</v>
      </c>
      <c r="G3550" t="s">
        <v>7359</v>
      </c>
      <c r="H3550" t="s">
        <v>38</v>
      </c>
      <c r="I3550" t="s">
        <v>24</v>
      </c>
      <c r="J3550" t="s">
        <v>69</v>
      </c>
      <c r="K3550" t="s">
        <v>41</v>
      </c>
      <c r="L3550" t="s">
        <v>7360</v>
      </c>
      <c r="M3550" t="s">
        <v>176</v>
      </c>
      <c r="N3550" t="s">
        <v>7361</v>
      </c>
      <c r="O3550" t="s">
        <v>509</v>
      </c>
      <c r="R3550" t="s">
        <v>7966</v>
      </c>
      <c r="S3550" t="s">
        <v>7914</v>
      </c>
      <c r="V3550" t="s">
        <v>7915</v>
      </c>
      <c r="W3550" t="s">
        <v>6966</v>
      </c>
      <c r="AD3550" t="s">
        <v>7365</v>
      </c>
    </row>
    <row r="3551" spans="1:30" x14ac:dyDescent="0.25">
      <c r="A3551" t="s">
        <v>33</v>
      </c>
      <c r="D3551" t="s">
        <v>7912</v>
      </c>
      <c r="E3551" t="s">
        <v>2859</v>
      </c>
      <c r="F3551" t="s">
        <v>87</v>
      </c>
      <c r="G3551" t="s">
        <v>7217</v>
      </c>
      <c r="H3551" t="s">
        <v>38</v>
      </c>
      <c r="I3551" t="s">
        <v>106</v>
      </c>
      <c r="J3551" t="s">
        <v>40</v>
      </c>
      <c r="K3551" t="s">
        <v>41</v>
      </c>
      <c r="L3551" t="s">
        <v>7218</v>
      </c>
      <c r="M3551" t="s">
        <v>176</v>
      </c>
      <c r="N3551" t="s">
        <v>7967</v>
      </c>
      <c r="O3551" t="s">
        <v>109</v>
      </c>
      <c r="R3551" t="s">
        <v>7968</v>
      </c>
      <c r="S3551" t="s">
        <v>7914</v>
      </c>
      <c r="V3551" t="s">
        <v>7915</v>
      </c>
      <c r="W3551" t="s">
        <v>6981</v>
      </c>
      <c r="AD3551" t="s">
        <v>7969</v>
      </c>
    </row>
    <row r="3552" spans="1:30" x14ac:dyDescent="0.25">
      <c r="A3552" t="s">
        <v>33</v>
      </c>
      <c r="D3552" t="s">
        <v>7912</v>
      </c>
      <c r="E3552" t="s">
        <v>2859</v>
      </c>
      <c r="F3552" t="s">
        <v>87</v>
      </c>
      <c r="G3552" t="s">
        <v>7217</v>
      </c>
      <c r="H3552" t="s">
        <v>38</v>
      </c>
      <c r="I3552" t="s">
        <v>25</v>
      </c>
      <c r="J3552" t="s">
        <v>69</v>
      </c>
      <c r="K3552" t="s">
        <v>41</v>
      </c>
      <c r="L3552" t="s">
        <v>7218</v>
      </c>
      <c r="M3552" t="s">
        <v>176</v>
      </c>
      <c r="N3552" t="s">
        <v>7967</v>
      </c>
      <c r="O3552" t="s">
        <v>512</v>
      </c>
      <c r="R3552" t="s">
        <v>7348</v>
      </c>
      <c r="S3552" t="s">
        <v>7914</v>
      </c>
      <c r="V3552" t="s">
        <v>7915</v>
      </c>
      <c r="W3552" t="s">
        <v>6981</v>
      </c>
      <c r="AD3552" t="s">
        <v>7970</v>
      </c>
    </row>
    <row r="3553" spans="1:30" x14ac:dyDescent="0.25">
      <c r="A3553" t="s">
        <v>33</v>
      </c>
      <c r="D3553" t="s">
        <v>7912</v>
      </c>
      <c r="E3553" t="s">
        <v>2859</v>
      </c>
      <c r="F3553" t="s">
        <v>87</v>
      </c>
      <c r="G3553" t="s">
        <v>7217</v>
      </c>
      <c r="H3553" t="s">
        <v>38</v>
      </c>
      <c r="I3553" t="s">
        <v>24</v>
      </c>
      <c r="J3553" t="s">
        <v>69</v>
      </c>
      <c r="K3553" t="s">
        <v>41</v>
      </c>
      <c r="L3553" t="s">
        <v>7218</v>
      </c>
      <c r="M3553" t="s">
        <v>176</v>
      </c>
      <c r="N3553" t="s">
        <v>7967</v>
      </c>
      <c r="O3553" t="s">
        <v>509</v>
      </c>
      <c r="R3553" t="s">
        <v>7350</v>
      </c>
      <c r="S3553" t="s">
        <v>7914</v>
      </c>
      <c r="V3553" t="s">
        <v>7915</v>
      </c>
      <c r="W3553" t="s">
        <v>6981</v>
      </c>
      <c r="AD3553" t="s">
        <v>7971</v>
      </c>
    </row>
    <row r="3554" spans="1:30" x14ac:dyDescent="0.25">
      <c r="A3554" t="s">
        <v>33</v>
      </c>
      <c r="D3554" t="s">
        <v>7912</v>
      </c>
      <c r="E3554" t="s">
        <v>2859</v>
      </c>
      <c r="F3554" t="s">
        <v>87</v>
      </c>
      <c r="G3554" t="s">
        <v>7972</v>
      </c>
      <c r="H3554" t="s">
        <v>38</v>
      </c>
      <c r="I3554" t="s">
        <v>106</v>
      </c>
      <c r="J3554" t="s">
        <v>40</v>
      </c>
      <c r="K3554" t="s">
        <v>41</v>
      </c>
      <c r="L3554" t="s">
        <v>7973</v>
      </c>
      <c r="M3554" t="s">
        <v>176</v>
      </c>
      <c r="N3554" t="s">
        <v>7974</v>
      </c>
      <c r="O3554" t="s">
        <v>109</v>
      </c>
      <c r="R3554" t="s">
        <v>7975</v>
      </c>
      <c r="S3554" t="s">
        <v>7914</v>
      </c>
      <c r="V3554" t="s">
        <v>7915</v>
      </c>
      <c r="W3554" t="s">
        <v>6981</v>
      </c>
      <c r="AD3554" t="s">
        <v>7976</v>
      </c>
    </row>
    <row r="3555" spans="1:30" x14ac:dyDescent="0.25">
      <c r="A3555" t="s">
        <v>33</v>
      </c>
      <c r="D3555" t="s">
        <v>7912</v>
      </c>
      <c r="E3555" t="s">
        <v>2859</v>
      </c>
      <c r="F3555" t="s">
        <v>87</v>
      </c>
      <c r="G3555" t="s">
        <v>7972</v>
      </c>
      <c r="H3555" t="s">
        <v>38</v>
      </c>
      <c r="I3555" t="s">
        <v>25</v>
      </c>
      <c r="J3555" t="s">
        <v>69</v>
      </c>
      <c r="K3555" t="s">
        <v>41</v>
      </c>
      <c r="L3555" t="s">
        <v>7973</v>
      </c>
      <c r="M3555" t="s">
        <v>176</v>
      </c>
      <c r="N3555" t="s">
        <v>7974</v>
      </c>
      <c r="O3555" t="s">
        <v>512</v>
      </c>
      <c r="R3555" t="s">
        <v>7977</v>
      </c>
      <c r="S3555" t="s">
        <v>7914</v>
      </c>
      <c r="V3555" t="s">
        <v>7915</v>
      </c>
      <c r="W3555" t="s">
        <v>6981</v>
      </c>
      <c r="AD3555" t="s">
        <v>7978</v>
      </c>
    </row>
    <row r="3556" spans="1:30" x14ac:dyDescent="0.25">
      <c r="A3556" t="s">
        <v>33</v>
      </c>
      <c r="D3556" t="s">
        <v>7912</v>
      </c>
      <c r="E3556" t="s">
        <v>2859</v>
      </c>
      <c r="F3556" t="s">
        <v>87</v>
      </c>
      <c r="G3556" t="s">
        <v>7972</v>
      </c>
      <c r="H3556" t="s">
        <v>38</v>
      </c>
      <c r="I3556" t="s">
        <v>24</v>
      </c>
      <c r="J3556" t="s">
        <v>69</v>
      </c>
      <c r="K3556" t="s">
        <v>41</v>
      </c>
      <c r="L3556" t="s">
        <v>7973</v>
      </c>
      <c r="M3556" t="s">
        <v>176</v>
      </c>
      <c r="N3556" t="s">
        <v>7974</v>
      </c>
      <c r="O3556" t="s">
        <v>509</v>
      </c>
      <c r="R3556" t="s">
        <v>7979</v>
      </c>
      <c r="S3556" t="s">
        <v>7914</v>
      </c>
      <c r="V3556" t="s">
        <v>7915</v>
      </c>
      <c r="W3556" t="s">
        <v>6981</v>
      </c>
      <c r="AD3556" t="s">
        <v>7980</v>
      </c>
    </row>
    <row r="3557" spans="1:30" x14ac:dyDescent="0.25">
      <c r="A3557" t="s">
        <v>33</v>
      </c>
      <c r="D3557" t="s">
        <v>7912</v>
      </c>
      <c r="E3557" t="s">
        <v>2859</v>
      </c>
      <c r="F3557" t="s">
        <v>866</v>
      </c>
      <c r="G3557" t="s">
        <v>7024</v>
      </c>
      <c r="H3557" t="s">
        <v>38</v>
      </c>
      <c r="I3557" t="s">
        <v>1053</v>
      </c>
      <c r="J3557" t="s">
        <v>40</v>
      </c>
      <c r="K3557" t="s">
        <v>41</v>
      </c>
      <c r="L3557" t="s">
        <v>7025</v>
      </c>
      <c r="M3557" t="s">
        <v>1004</v>
      </c>
      <c r="N3557" t="s">
        <v>3406</v>
      </c>
      <c r="O3557" t="s">
        <v>5228</v>
      </c>
      <c r="R3557" t="s">
        <v>7981</v>
      </c>
      <c r="S3557" t="s">
        <v>7914</v>
      </c>
      <c r="V3557" t="s">
        <v>7915</v>
      </c>
      <c r="W3557" t="s">
        <v>6981</v>
      </c>
      <c r="AD3557" t="s">
        <v>7982</v>
      </c>
    </row>
    <row r="3558" spans="1:30" x14ac:dyDescent="0.25">
      <c r="A3558" t="s">
        <v>33</v>
      </c>
      <c r="D3558" t="s">
        <v>7912</v>
      </c>
      <c r="E3558" t="s">
        <v>2859</v>
      </c>
      <c r="F3558" t="s">
        <v>866</v>
      </c>
      <c r="G3558" t="s">
        <v>7024</v>
      </c>
      <c r="H3558" t="s">
        <v>38</v>
      </c>
      <c r="I3558" t="s">
        <v>5224</v>
      </c>
      <c r="J3558" t="s">
        <v>40</v>
      </c>
      <c r="K3558" t="s">
        <v>41</v>
      </c>
      <c r="L3558" t="s">
        <v>7025</v>
      </c>
      <c r="M3558" t="s">
        <v>4345</v>
      </c>
      <c r="N3558" t="s">
        <v>3406</v>
      </c>
      <c r="O3558" t="s">
        <v>5225</v>
      </c>
      <c r="R3558" t="s">
        <v>7983</v>
      </c>
      <c r="S3558" t="s">
        <v>7914</v>
      </c>
      <c r="V3558" t="s">
        <v>7915</v>
      </c>
      <c r="W3558" t="s">
        <v>6981</v>
      </c>
      <c r="AD3558" t="s">
        <v>7984</v>
      </c>
    </row>
    <row r="3559" spans="1:30" x14ac:dyDescent="0.25">
      <c r="A3559" t="s">
        <v>33</v>
      </c>
      <c r="D3559" t="s">
        <v>7912</v>
      </c>
      <c r="E3559" t="s">
        <v>2859</v>
      </c>
      <c r="F3559" t="s">
        <v>866</v>
      </c>
      <c r="G3559" t="s">
        <v>7027</v>
      </c>
      <c r="H3559" t="s">
        <v>38</v>
      </c>
      <c r="I3559" t="s">
        <v>1053</v>
      </c>
      <c r="J3559" t="s">
        <v>40</v>
      </c>
      <c r="K3559" t="s">
        <v>41</v>
      </c>
      <c r="L3559" t="s">
        <v>7028</v>
      </c>
      <c r="M3559" t="s">
        <v>1004</v>
      </c>
      <c r="N3559" t="s">
        <v>3406</v>
      </c>
      <c r="O3559" t="s">
        <v>5228</v>
      </c>
      <c r="R3559" t="s">
        <v>7985</v>
      </c>
      <c r="S3559" t="s">
        <v>7914</v>
      </c>
      <c r="V3559" t="s">
        <v>7915</v>
      </c>
      <c r="W3559" t="s">
        <v>6981</v>
      </c>
      <c r="AD3559" t="s">
        <v>7982</v>
      </c>
    </row>
    <row r="3560" spans="1:30" x14ac:dyDescent="0.25">
      <c r="A3560" t="s">
        <v>33</v>
      </c>
      <c r="D3560" t="s">
        <v>7912</v>
      </c>
      <c r="E3560" t="s">
        <v>2859</v>
      </c>
      <c r="F3560" t="s">
        <v>866</v>
      </c>
      <c r="G3560" t="s">
        <v>7027</v>
      </c>
      <c r="H3560" t="s">
        <v>38</v>
      </c>
      <c r="I3560" t="s">
        <v>5224</v>
      </c>
      <c r="J3560" t="s">
        <v>40</v>
      </c>
      <c r="K3560" t="s">
        <v>41</v>
      </c>
      <c r="L3560" t="s">
        <v>7028</v>
      </c>
      <c r="M3560" t="s">
        <v>4345</v>
      </c>
      <c r="N3560" t="s">
        <v>3406</v>
      </c>
      <c r="O3560" t="s">
        <v>5225</v>
      </c>
      <c r="R3560" t="s">
        <v>7986</v>
      </c>
      <c r="S3560" t="s">
        <v>7914</v>
      </c>
      <c r="V3560" t="s">
        <v>7915</v>
      </c>
      <c r="W3560" t="s">
        <v>6981</v>
      </c>
      <c r="AD3560" t="s">
        <v>7984</v>
      </c>
    </row>
    <row r="3561" spans="1:30" x14ac:dyDescent="0.25">
      <c r="A3561" t="s">
        <v>33</v>
      </c>
      <c r="D3561" t="s">
        <v>7912</v>
      </c>
      <c r="E3561" t="s">
        <v>2859</v>
      </c>
      <c r="F3561" t="s">
        <v>78</v>
      </c>
      <c r="G3561" t="s">
        <v>7552</v>
      </c>
      <c r="H3561" t="s">
        <v>38</v>
      </c>
      <c r="I3561" t="s">
        <v>250</v>
      </c>
      <c r="J3561" t="s">
        <v>40</v>
      </c>
      <c r="K3561" t="s">
        <v>41</v>
      </c>
      <c r="L3561" t="s">
        <v>7553</v>
      </c>
      <c r="M3561" t="s">
        <v>252</v>
      </c>
      <c r="N3561" t="s">
        <v>7554</v>
      </c>
      <c r="O3561" t="s">
        <v>254</v>
      </c>
      <c r="Q3561" t="s">
        <v>1275</v>
      </c>
      <c r="R3561" t="s">
        <v>7569</v>
      </c>
      <c r="S3561" t="s">
        <v>7914</v>
      </c>
      <c r="V3561" t="s">
        <v>7915</v>
      </c>
      <c r="W3561" t="s">
        <v>6966</v>
      </c>
      <c r="AD3561" t="s">
        <v>7570</v>
      </c>
    </row>
    <row r="3562" spans="1:30" x14ac:dyDescent="0.25">
      <c r="A3562" t="s">
        <v>33</v>
      </c>
      <c r="D3562" t="s">
        <v>7912</v>
      </c>
      <c r="E3562" t="s">
        <v>2859</v>
      </c>
      <c r="F3562" t="s">
        <v>87</v>
      </c>
      <c r="G3562" t="s">
        <v>6954</v>
      </c>
      <c r="H3562" t="s">
        <v>38</v>
      </c>
      <c r="I3562" t="s">
        <v>106</v>
      </c>
      <c r="J3562" t="s">
        <v>40</v>
      </c>
      <c r="K3562" t="s">
        <v>41</v>
      </c>
      <c r="L3562" t="s">
        <v>6955</v>
      </c>
      <c r="M3562" t="s">
        <v>252</v>
      </c>
      <c r="N3562" t="s">
        <v>6956</v>
      </c>
      <c r="O3562" t="s">
        <v>109</v>
      </c>
      <c r="R3562" t="s">
        <v>7987</v>
      </c>
      <c r="S3562" t="s">
        <v>7914</v>
      </c>
      <c r="V3562" t="s">
        <v>7915</v>
      </c>
      <c r="W3562" t="s">
        <v>6960</v>
      </c>
      <c r="AD3562" t="s">
        <v>7721</v>
      </c>
    </row>
    <row r="3563" spans="1:30" x14ac:dyDescent="0.25">
      <c r="A3563" t="s">
        <v>33</v>
      </c>
      <c r="D3563" t="s">
        <v>7912</v>
      </c>
      <c r="E3563" t="s">
        <v>2859</v>
      </c>
      <c r="F3563" t="s">
        <v>87</v>
      </c>
      <c r="G3563" t="s">
        <v>7314</v>
      </c>
      <c r="H3563" t="s">
        <v>153</v>
      </c>
      <c r="I3563" t="s">
        <v>144</v>
      </c>
      <c r="J3563" t="s">
        <v>154</v>
      </c>
      <c r="K3563" t="s">
        <v>155</v>
      </c>
      <c r="L3563" t="s">
        <v>7315</v>
      </c>
      <c r="N3563" t="s">
        <v>7316</v>
      </c>
      <c r="O3563" t="s">
        <v>156</v>
      </c>
      <c r="R3563" t="s">
        <v>7736</v>
      </c>
      <c r="S3563" t="s">
        <v>7914</v>
      </c>
      <c r="V3563" t="s">
        <v>7915</v>
      </c>
      <c r="W3563" t="s">
        <v>6981</v>
      </c>
      <c r="AD3563" t="s">
        <v>7988</v>
      </c>
    </row>
    <row r="3564" spans="1:30" x14ac:dyDescent="0.25">
      <c r="A3564" t="s">
        <v>33</v>
      </c>
      <c r="D3564" t="s">
        <v>7912</v>
      </c>
      <c r="E3564" t="s">
        <v>2859</v>
      </c>
      <c r="F3564" t="s">
        <v>87</v>
      </c>
      <c r="G3564" t="s">
        <v>7314</v>
      </c>
      <c r="H3564" t="s">
        <v>89</v>
      </c>
      <c r="I3564" t="s">
        <v>144</v>
      </c>
      <c r="J3564" t="s">
        <v>91</v>
      </c>
      <c r="K3564" t="s">
        <v>92</v>
      </c>
      <c r="L3564" t="s">
        <v>7315</v>
      </c>
      <c r="M3564" t="s">
        <v>94</v>
      </c>
      <c r="N3564" t="s">
        <v>7316</v>
      </c>
      <c r="O3564" t="s">
        <v>150</v>
      </c>
      <c r="P3564">
        <v>1E-3</v>
      </c>
      <c r="R3564" t="s">
        <v>7740</v>
      </c>
      <c r="S3564" t="s">
        <v>7914</v>
      </c>
      <c r="V3564" t="s">
        <v>7915</v>
      </c>
      <c r="W3564" t="s">
        <v>6981</v>
      </c>
      <c r="AD3564" t="s">
        <v>7989</v>
      </c>
    </row>
    <row r="3565" spans="1:30" x14ac:dyDescent="0.25">
      <c r="A3565" t="s">
        <v>33</v>
      </c>
      <c r="D3565" t="s">
        <v>7912</v>
      </c>
      <c r="E3565" t="s">
        <v>2859</v>
      </c>
      <c r="F3565" t="s">
        <v>87</v>
      </c>
      <c r="G3565" t="s">
        <v>7314</v>
      </c>
      <c r="H3565" t="s">
        <v>143</v>
      </c>
      <c r="I3565" t="s">
        <v>144</v>
      </c>
      <c r="J3565" t="s">
        <v>145</v>
      </c>
      <c r="K3565" t="s">
        <v>146</v>
      </c>
      <c r="L3565" t="s">
        <v>7315</v>
      </c>
      <c r="M3565" t="s">
        <v>252</v>
      </c>
      <c r="N3565" t="s">
        <v>7316</v>
      </c>
      <c r="O3565" t="s">
        <v>147</v>
      </c>
      <c r="R3565" t="s">
        <v>7881</v>
      </c>
      <c r="S3565" t="s">
        <v>7914</v>
      </c>
      <c r="V3565" t="s">
        <v>7915</v>
      </c>
      <c r="W3565" t="s">
        <v>6981</v>
      </c>
      <c r="AD3565" t="s">
        <v>7990</v>
      </c>
    </row>
    <row r="3566" spans="1:30" x14ac:dyDescent="0.25">
      <c r="A3566" t="s">
        <v>33</v>
      </c>
      <c r="D3566" t="s">
        <v>7912</v>
      </c>
      <c r="E3566" t="s">
        <v>2859</v>
      </c>
      <c r="F3566" t="s">
        <v>87</v>
      </c>
      <c r="G3566" t="s">
        <v>7314</v>
      </c>
      <c r="H3566" t="s">
        <v>143</v>
      </c>
      <c r="I3566" t="s">
        <v>144</v>
      </c>
      <c r="J3566" t="s">
        <v>145</v>
      </c>
      <c r="K3566" t="s">
        <v>262</v>
      </c>
      <c r="L3566" t="s">
        <v>7315</v>
      </c>
      <c r="M3566" t="s">
        <v>252</v>
      </c>
      <c r="N3566" t="s">
        <v>7316</v>
      </c>
      <c r="O3566" t="s">
        <v>147</v>
      </c>
      <c r="R3566" t="s">
        <v>7738</v>
      </c>
      <c r="S3566" t="s">
        <v>7914</v>
      </c>
      <c r="V3566" t="s">
        <v>7915</v>
      </c>
      <c r="W3566" t="s">
        <v>6981</v>
      </c>
      <c r="AD3566" t="s">
        <v>7990</v>
      </c>
    </row>
    <row r="3567" spans="1:30" x14ac:dyDescent="0.25">
      <c r="A3567" t="s">
        <v>33</v>
      </c>
      <c r="D3567" t="s">
        <v>7912</v>
      </c>
      <c r="E3567" t="s">
        <v>2859</v>
      </c>
      <c r="F3567" t="s">
        <v>87</v>
      </c>
      <c r="G3567" t="s">
        <v>7314</v>
      </c>
      <c r="H3567" t="s">
        <v>153</v>
      </c>
      <c r="I3567" t="s">
        <v>180</v>
      </c>
      <c r="J3567" t="s">
        <v>154</v>
      </c>
      <c r="K3567" t="s">
        <v>155</v>
      </c>
      <c r="L3567" t="s">
        <v>7315</v>
      </c>
      <c r="N3567" t="s">
        <v>7316</v>
      </c>
      <c r="O3567" t="s">
        <v>187</v>
      </c>
      <c r="R3567" t="s">
        <v>7742</v>
      </c>
      <c r="S3567" t="s">
        <v>7914</v>
      </c>
      <c r="V3567" t="s">
        <v>7915</v>
      </c>
      <c r="W3567" t="s">
        <v>6981</v>
      </c>
      <c r="AD3567" t="s">
        <v>7699</v>
      </c>
    </row>
    <row r="3568" spans="1:30" x14ac:dyDescent="0.25">
      <c r="A3568" t="s">
        <v>33</v>
      </c>
      <c r="D3568" t="s">
        <v>7912</v>
      </c>
      <c r="E3568" t="s">
        <v>2859</v>
      </c>
      <c r="F3568" t="s">
        <v>87</v>
      </c>
      <c r="G3568" t="s">
        <v>7314</v>
      </c>
      <c r="H3568" t="s">
        <v>89</v>
      </c>
      <c r="I3568" t="s">
        <v>180</v>
      </c>
      <c r="J3568" t="s">
        <v>91</v>
      </c>
      <c r="K3568" t="s">
        <v>92</v>
      </c>
      <c r="L3568" t="s">
        <v>7315</v>
      </c>
      <c r="M3568" t="s">
        <v>94</v>
      </c>
      <c r="N3568" t="s">
        <v>7316</v>
      </c>
      <c r="O3568" t="s">
        <v>184</v>
      </c>
      <c r="P3568">
        <v>1E-3</v>
      </c>
      <c r="R3568" t="s">
        <v>7746</v>
      </c>
      <c r="S3568" t="s">
        <v>7914</v>
      </c>
      <c r="V3568" t="s">
        <v>7915</v>
      </c>
      <c r="W3568" t="s">
        <v>6981</v>
      </c>
      <c r="AD3568" t="s">
        <v>7703</v>
      </c>
    </row>
    <row r="3569" spans="1:32" x14ac:dyDescent="0.25">
      <c r="A3569" t="s">
        <v>33</v>
      </c>
      <c r="D3569" t="s">
        <v>7912</v>
      </c>
      <c r="E3569" t="s">
        <v>2859</v>
      </c>
      <c r="F3569" t="s">
        <v>87</v>
      </c>
      <c r="G3569" t="s">
        <v>7314</v>
      </c>
      <c r="H3569" t="s">
        <v>143</v>
      </c>
      <c r="I3569" t="s">
        <v>180</v>
      </c>
      <c r="J3569" t="s">
        <v>145</v>
      </c>
      <c r="K3569" t="s">
        <v>262</v>
      </c>
      <c r="L3569" t="s">
        <v>7315</v>
      </c>
      <c r="M3569" t="s">
        <v>252</v>
      </c>
      <c r="N3569" t="s">
        <v>7316</v>
      </c>
      <c r="O3569" t="s">
        <v>181</v>
      </c>
      <c r="R3569" t="s">
        <v>7744</v>
      </c>
      <c r="S3569" t="s">
        <v>7914</v>
      </c>
      <c r="V3569" t="s">
        <v>7915</v>
      </c>
      <c r="W3569" t="s">
        <v>6981</v>
      </c>
      <c r="AD3569" t="s">
        <v>7701</v>
      </c>
    </row>
    <row r="3570" spans="1:32" x14ac:dyDescent="0.25">
      <c r="A3570" t="s">
        <v>33</v>
      </c>
      <c r="D3570" t="s">
        <v>7912</v>
      </c>
      <c r="E3570" t="s">
        <v>2859</v>
      </c>
      <c r="F3570" t="s">
        <v>87</v>
      </c>
      <c r="G3570" t="s">
        <v>7385</v>
      </c>
      <c r="H3570" t="s">
        <v>143</v>
      </c>
      <c r="I3570" t="s">
        <v>180</v>
      </c>
      <c r="J3570" t="s">
        <v>145</v>
      </c>
      <c r="K3570" t="s">
        <v>146</v>
      </c>
      <c r="L3570" t="s">
        <v>7386</v>
      </c>
      <c r="M3570" t="s">
        <v>252</v>
      </c>
      <c r="N3570" t="s">
        <v>7387</v>
      </c>
      <c r="O3570" t="s">
        <v>181</v>
      </c>
      <c r="R3570" t="s">
        <v>7991</v>
      </c>
      <c r="S3570" t="s">
        <v>7914</v>
      </c>
      <c r="V3570" t="s">
        <v>7915</v>
      </c>
      <c r="W3570" t="s">
        <v>6966</v>
      </c>
      <c r="AD3570" t="s">
        <v>7731</v>
      </c>
    </row>
    <row r="3571" spans="1:32" x14ac:dyDescent="0.25">
      <c r="A3571" t="s">
        <v>33</v>
      </c>
      <c r="D3571" t="s">
        <v>7912</v>
      </c>
      <c r="E3571" t="s">
        <v>2859</v>
      </c>
      <c r="F3571" t="s">
        <v>87</v>
      </c>
      <c r="G3571" t="s">
        <v>7398</v>
      </c>
      <c r="H3571" t="s">
        <v>153</v>
      </c>
      <c r="I3571" t="s">
        <v>180</v>
      </c>
      <c r="J3571" t="s">
        <v>154</v>
      </c>
      <c r="K3571" t="s">
        <v>155</v>
      </c>
      <c r="L3571" t="s">
        <v>7399</v>
      </c>
      <c r="N3571" t="s">
        <v>7400</v>
      </c>
      <c r="O3571" t="s">
        <v>187</v>
      </c>
      <c r="R3571" t="s">
        <v>7698</v>
      </c>
      <c r="S3571" t="s">
        <v>7914</v>
      </c>
      <c r="V3571" t="s">
        <v>7915</v>
      </c>
      <c r="W3571" t="s">
        <v>6981</v>
      </c>
      <c r="AD3571" t="s">
        <v>7743</v>
      </c>
    </row>
    <row r="3572" spans="1:32" x14ac:dyDescent="0.25">
      <c r="A3572" t="s">
        <v>33</v>
      </c>
      <c r="D3572" t="s">
        <v>7912</v>
      </c>
      <c r="E3572" t="s">
        <v>2859</v>
      </c>
      <c r="F3572" t="s">
        <v>87</v>
      </c>
      <c r="G3572" t="s">
        <v>7398</v>
      </c>
      <c r="H3572" t="s">
        <v>89</v>
      </c>
      <c r="I3572" t="s">
        <v>180</v>
      </c>
      <c r="J3572" t="s">
        <v>91</v>
      </c>
      <c r="K3572" t="s">
        <v>92</v>
      </c>
      <c r="L3572" t="s">
        <v>7399</v>
      </c>
      <c r="M3572" t="s">
        <v>94</v>
      </c>
      <c r="N3572" t="s">
        <v>7400</v>
      </c>
      <c r="O3572" t="s">
        <v>184</v>
      </c>
      <c r="P3572">
        <v>1E-3</v>
      </c>
      <c r="R3572" t="s">
        <v>7702</v>
      </c>
      <c r="S3572" t="s">
        <v>7914</v>
      </c>
      <c r="V3572" t="s">
        <v>7915</v>
      </c>
      <c r="W3572" t="s">
        <v>6981</v>
      </c>
      <c r="AD3572" t="s">
        <v>7747</v>
      </c>
    </row>
    <row r="3573" spans="1:32" x14ac:dyDescent="0.25">
      <c r="A3573" t="s">
        <v>33</v>
      </c>
      <c r="D3573" t="s">
        <v>7912</v>
      </c>
      <c r="E3573" t="s">
        <v>2859</v>
      </c>
      <c r="F3573" t="s">
        <v>87</v>
      </c>
      <c r="G3573" t="s">
        <v>7398</v>
      </c>
      <c r="H3573" t="s">
        <v>143</v>
      </c>
      <c r="I3573" t="s">
        <v>180</v>
      </c>
      <c r="J3573" t="s">
        <v>145</v>
      </c>
      <c r="K3573" t="s">
        <v>262</v>
      </c>
      <c r="L3573" t="s">
        <v>7399</v>
      </c>
      <c r="M3573" t="s">
        <v>252</v>
      </c>
      <c r="N3573" t="s">
        <v>7400</v>
      </c>
      <c r="O3573" t="s">
        <v>181</v>
      </c>
      <c r="R3573" t="s">
        <v>7700</v>
      </c>
      <c r="S3573" t="s">
        <v>7914</v>
      </c>
      <c r="V3573" t="s">
        <v>7915</v>
      </c>
      <c r="W3573" t="s">
        <v>6981</v>
      </c>
      <c r="AD3573" t="s">
        <v>7745</v>
      </c>
    </row>
    <row r="3574" spans="1:32" x14ac:dyDescent="0.25">
      <c r="A3574" t="s">
        <v>33</v>
      </c>
      <c r="D3574" t="s">
        <v>7912</v>
      </c>
      <c r="E3574" t="s">
        <v>2859</v>
      </c>
      <c r="F3574" t="s">
        <v>87</v>
      </c>
      <c r="G3574" t="s">
        <v>7398</v>
      </c>
      <c r="H3574" t="s">
        <v>38</v>
      </c>
      <c r="I3574" t="s">
        <v>106</v>
      </c>
      <c r="J3574" t="s">
        <v>40</v>
      </c>
      <c r="K3574" t="s">
        <v>41</v>
      </c>
      <c r="L3574" t="s">
        <v>7399</v>
      </c>
      <c r="M3574" t="s">
        <v>252</v>
      </c>
      <c r="N3574" t="s">
        <v>7400</v>
      </c>
      <c r="O3574" t="s">
        <v>109</v>
      </c>
      <c r="R3574" t="s">
        <v>7704</v>
      </c>
      <c r="S3574" t="s">
        <v>7914</v>
      </c>
      <c r="V3574" t="s">
        <v>7915</v>
      </c>
      <c r="W3574" t="s">
        <v>6981</v>
      </c>
      <c r="AD3574" t="s">
        <v>7749</v>
      </c>
    </row>
    <row r="3575" spans="1:32" x14ac:dyDescent="0.25">
      <c r="A3575" t="s">
        <v>33</v>
      </c>
      <c r="D3575" t="s">
        <v>7912</v>
      </c>
      <c r="E3575" t="s">
        <v>2859</v>
      </c>
      <c r="F3575" t="s">
        <v>87</v>
      </c>
      <c r="G3575" t="s">
        <v>7314</v>
      </c>
      <c r="H3575" t="s">
        <v>38</v>
      </c>
      <c r="I3575" t="s">
        <v>106</v>
      </c>
      <c r="J3575" t="s">
        <v>40</v>
      </c>
      <c r="K3575" t="s">
        <v>41</v>
      </c>
      <c r="L3575" t="s">
        <v>7315</v>
      </c>
      <c r="M3575" t="s">
        <v>252</v>
      </c>
      <c r="N3575" t="s">
        <v>7316</v>
      </c>
      <c r="O3575" t="s">
        <v>109</v>
      </c>
      <c r="R3575" t="s">
        <v>7748</v>
      </c>
      <c r="S3575" t="s">
        <v>7914</v>
      </c>
      <c r="V3575" t="s">
        <v>7915</v>
      </c>
      <c r="W3575" t="s">
        <v>6981</v>
      </c>
      <c r="AD3575" t="s">
        <v>7705</v>
      </c>
    </row>
    <row r="3576" spans="1:32" x14ac:dyDescent="0.25">
      <c r="A3576" t="s">
        <v>33</v>
      </c>
      <c r="D3576" t="s">
        <v>7912</v>
      </c>
      <c r="E3576" t="s">
        <v>2869</v>
      </c>
      <c r="F3576" t="s">
        <v>2870</v>
      </c>
      <c r="G3576" t="s">
        <v>2871</v>
      </c>
      <c r="H3576" t="s">
        <v>153</v>
      </c>
      <c r="I3576" t="s">
        <v>7006</v>
      </c>
      <c r="J3576" t="s">
        <v>154</v>
      </c>
      <c r="K3576" t="s">
        <v>155</v>
      </c>
      <c r="L3576" t="s">
        <v>2873</v>
      </c>
      <c r="N3576" t="s">
        <v>2874</v>
      </c>
      <c r="O3576" t="s">
        <v>7007</v>
      </c>
      <c r="R3576" t="s">
        <v>409</v>
      </c>
      <c r="S3576" t="s">
        <v>7914</v>
      </c>
      <c r="V3576" t="s">
        <v>7915</v>
      </c>
      <c r="W3576" t="s">
        <v>7009</v>
      </c>
      <c r="AC3576" t="s">
        <v>7007</v>
      </c>
      <c r="AD3576" t="s">
        <v>7010</v>
      </c>
      <c r="AE3576" t="s">
        <v>2890</v>
      </c>
      <c r="AF3576">
        <v>6</v>
      </c>
    </row>
    <row r="3577" spans="1:32" x14ac:dyDescent="0.25">
      <c r="A3577" t="s">
        <v>33</v>
      </c>
      <c r="D3577" t="s">
        <v>7912</v>
      </c>
      <c r="E3577" t="s">
        <v>2869</v>
      </c>
      <c r="F3577" t="s">
        <v>2870</v>
      </c>
      <c r="G3577" t="s">
        <v>2871</v>
      </c>
      <c r="H3577" t="s">
        <v>153</v>
      </c>
      <c r="I3577" t="s">
        <v>3451</v>
      </c>
      <c r="J3577" t="s">
        <v>154</v>
      </c>
      <c r="K3577" t="s">
        <v>155</v>
      </c>
      <c r="L3577" t="s">
        <v>2873</v>
      </c>
      <c r="N3577" t="s">
        <v>2874</v>
      </c>
      <c r="O3577" t="s">
        <v>3452</v>
      </c>
      <c r="R3577" t="s">
        <v>7992</v>
      </c>
      <c r="S3577" t="s">
        <v>7914</v>
      </c>
      <c r="V3577" t="s">
        <v>7915</v>
      </c>
      <c r="W3577" t="s">
        <v>7009</v>
      </c>
      <c r="AD3577" t="s">
        <v>3454</v>
      </c>
    </row>
    <row r="3578" spans="1:32" x14ac:dyDescent="0.25">
      <c r="A3578" t="s">
        <v>33</v>
      </c>
      <c r="D3578" t="s">
        <v>7912</v>
      </c>
      <c r="E3578" t="s">
        <v>2869</v>
      </c>
      <c r="F3578" t="s">
        <v>87</v>
      </c>
      <c r="G3578" t="s">
        <v>7679</v>
      </c>
      <c r="H3578" t="s">
        <v>153</v>
      </c>
      <c r="I3578" t="s">
        <v>90</v>
      </c>
      <c r="J3578" t="s">
        <v>154</v>
      </c>
      <c r="K3578" t="s">
        <v>155</v>
      </c>
      <c r="L3578" t="s">
        <v>7993</v>
      </c>
      <c r="N3578" t="s">
        <v>7681</v>
      </c>
      <c r="O3578" t="s">
        <v>213</v>
      </c>
      <c r="R3578" t="s">
        <v>7682</v>
      </c>
      <c r="S3578" t="s">
        <v>7914</v>
      </c>
      <c r="V3578" t="s">
        <v>7915</v>
      </c>
      <c r="W3578" t="s">
        <v>7009</v>
      </c>
      <c r="AD3578" t="s">
        <v>7683</v>
      </c>
    </row>
    <row r="3579" spans="1:32" x14ac:dyDescent="0.25">
      <c r="A3579" t="s">
        <v>33</v>
      </c>
      <c r="D3579" t="s">
        <v>7912</v>
      </c>
      <c r="E3579" t="s">
        <v>2893</v>
      </c>
      <c r="F3579" t="s">
        <v>6408</v>
      </c>
      <c r="G3579" t="s">
        <v>7805</v>
      </c>
      <c r="H3579" t="s">
        <v>280</v>
      </c>
      <c r="I3579" t="s">
        <v>3311</v>
      </c>
      <c r="J3579" t="s">
        <v>282</v>
      </c>
      <c r="K3579" t="s">
        <v>283</v>
      </c>
      <c r="L3579" t="s">
        <v>7807</v>
      </c>
      <c r="N3579" t="s">
        <v>7808</v>
      </c>
      <c r="O3579" t="s">
        <v>3312</v>
      </c>
      <c r="Q3579" t="s">
        <v>7826</v>
      </c>
      <c r="R3579" t="s">
        <v>7994</v>
      </c>
      <c r="S3579" t="s">
        <v>7914</v>
      </c>
      <c r="V3579" t="s">
        <v>7915</v>
      </c>
      <c r="W3579" t="s">
        <v>6999</v>
      </c>
      <c r="AD3579" t="s">
        <v>7839</v>
      </c>
    </row>
    <row r="3580" spans="1:32" x14ac:dyDescent="0.25">
      <c r="A3580" t="s">
        <v>947</v>
      </c>
      <c r="B3580" t="s">
        <v>1948</v>
      </c>
      <c r="C3580" t="s">
        <v>949</v>
      </c>
      <c r="D3580" t="s">
        <v>7912</v>
      </c>
      <c r="E3580" t="s">
        <v>2859</v>
      </c>
      <c r="F3580" t="s">
        <v>1867</v>
      </c>
      <c r="G3580" t="s">
        <v>7823</v>
      </c>
      <c r="H3580" t="s">
        <v>280</v>
      </c>
      <c r="I3580" t="s">
        <v>7903</v>
      </c>
      <c r="J3580" t="s">
        <v>282</v>
      </c>
      <c r="K3580" t="s">
        <v>283</v>
      </c>
      <c r="L3580" t="s">
        <v>7824</v>
      </c>
      <c r="N3580" t="s">
        <v>7825</v>
      </c>
      <c r="O3580" t="s">
        <v>7904</v>
      </c>
      <c r="Q3580" t="s">
        <v>7905</v>
      </c>
      <c r="R3580" t="s">
        <v>7995</v>
      </c>
      <c r="S3580" t="s">
        <v>7914</v>
      </c>
      <c r="V3580" t="s">
        <v>7915</v>
      </c>
      <c r="W3580" t="s">
        <v>6966</v>
      </c>
      <c r="AD3580" t="s">
        <v>7907</v>
      </c>
    </row>
    <row r="3581" spans="1:32" x14ac:dyDescent="0.25">
      <c r="A3581" t="s">
        <v>947</v>
      </c>
      <c r="B3581" t="s">
        <v>1948</v>
      </c>
      <c r="C3581" t="s">
        <v>949</v>
      </c>
      <c r="D3581" t="s">
        <v>7912</v>
      </c>
      <c r="E3581" t="s">
        <v>2859</v>
      </c>
      <c r="F3581" t="s">
        <v>1867</v>
      </c>
      <c r="G3581" t="s">
        <v>7996</v>
      </c>
      <c r="H3581" t="s">
        <v>280</v>
      </c>
      <c r="I3581" t="s">
        <v>7903</v>
      </c>
      <c r="J3581" t="s">
        <v>282</v>
      </c>
      <c r="K3581" t="s">
        <v>283</v>
      </c>
      <c r="L3581" t="s">
        <v>7997</v>
      </c>
      <c r="N3581" t="s">
        <v>7998</v>
      </c>
      <c r="O3581" t="s">
        <v>7904</v>
      </c>
      <c r="Q3581" t="s">
        <v>7905</v>
      </c>
      <c r="R3581" t="s">
        <v>7999</v>
      </c>
      <c r="S3581" t="s">
        <v>7914</v>
      </c>
      <c r="V3581" t="s">
        <v>7915</v>
      </c>
      <c r="W3581" t="s">
        <v>6981</v>
      </c>
      <c r="AD3581" t="s">
        <v>8000</v>
      </c>
    </row>
    <row r="3582" spans="1:32" x14ac:dyDescent="0.25">
      <c r="A3582" t="s">
        <v>33</v>
      </c>
      <c r="D3582" t="s">
        <v>7912</v>
      </c>
      <c r="E3582" t="s">
        <v>2859</v>
      </c>
      <c r="F3582" t="s">
        <v>78</v>
      </c>
      <c r="G3582" t="s">
        <v>6962</v>
      </c>
      <c r="H3582" t="s">
        <v>166</v>
      </c>
      <c r="I3582" t="s">
        <v>243</v>
      </c>
      <c r="J3582" t="s">
        <v>167</v>
      </c>
      <c r="K3582" t="s">
        <v>41</v>
      </c>
      <c r="L3582" t="s">
        <v>6963</v>
      </c>
      <c r="N3582" t="s">
        <v>6964</v>
      </c>
      <c r="O3582" t="s">
        <v>244</v>
      </c>
      <c r="Q3582" t="s">
        <v>245</v>
      </c>
      <c r="R3582" t="s">
        <v>8001</v>
      </c>
      <c r="S3582" t="s">
        <v>7914</v>
      </c>
      <c r="V3582" t="s">
        <v>7915</v>
      </c>
      <c r="W3582" t="s">
        <v>6966</v>
      </c>
      <c r="AD3582" t="s">
        <v>7796</v>
      </c>
    </row>
    <row r="3583" spans="1:32" x14ac:dyDescent="0.25">
      <c r="A3583" t="s">
        <v>33</v>
      </c>
      <c r="D3583" t="s">
        <v>7912</v>
      </c>
      <c r="E3583" t="s">
        <v>2859</v>
      </c>
      <c r="F3583" t="s">
        <v>78</v>
      </c>
      <c r="G3583" t="s">
        <v>6962</v>
      </c>
      <c r="H3583" t="s">
        <v>166</v>
      </c>
      <c r="I3583" t="s">
        <v>160</v>
      </c>
      <c r="J3583" t="s">
        <v>167</v>
      </c>
      <c r="K3583" t="s">
        <v>41</v>
      </c>
      <c r="L3583" t="s">
        <v>6963</v>
      </c>
      <c r="N3583" t="s">
        <v>6964</v>
      </c>
      <c r="O3583" t="s">
        <v>168</v>
      </c>
      <c r="Q3583" t="s">
        <v>1972</v>
      </c>
      <c r="R3583" t="s">
        <v>8002</v>
      </c>
      <c r="S3583" t="s">
        <v>7914</v>
      </c>
      <c r="V3583" t="s">
        <v>7915</v>
      </c>
      <c r="W3583" t="s">
        <v>6966</v>
      </c>
      <c r="AD3583" t="s">
        <v>7790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34.42578125" customWidth="1"/>
    <col min="2" max="2" width="95.7109375" customWidth="1"/>
    <col min="3" max="3" width="60.7109375" customWidth="1"/>
    <col min="4" max="4" width="30.7109375" customWidth="1"/>
  </cols>
  <sheetData>
    <row r="1" spans="1:4" x14ac:dyDescent="0.25">
      <c r="A1" s="12" t="s">
        <v>8003</v>
      </c>
      <c r="B1" s="13" t="s">
        <v>8004</v>
      </c>
      <c r="C1" s="13" t="s">
        <v>8005</v>
      </c>
      <c r="D1" s="13" t="s">
        <v>8006</v>
      </c>
    </row>
    <row r="2" spans="1:4" ht="30" customHeight="1" x14ac:dyDescent="0.25">
      <c r="A2" t="s">
        <v>8007</v>
      </c>
      <c r="B2" s="14" t="s">
        <v>8008</v>
      </c>
      <c r="C2" s="14" t="s">
        <v>8009</v>
      </c>
    </row>
    <row r="3" spans="1:4" ht="60" customHeight="1" x14ac:dyDescent="0.25">
      <c r="A3" t="s">
        <v>8007</v>
      </c>
      <c r="B3" s="14" t="s">
        <v>8010</v>
      </c>
      <c r="C3" s="14" t="s">
        <v>8011</v>
      </c>
    </row>
    <row r="4" spans="1:4" x14ac:dyDescent="0.25">
      <c r="A4" t="s">
        <v>8012</v>
      </c>
      <c r="B4" s="14" t="s">
        <v>8013</v>
      </c>
    </row>
    <row r="5" spans="1:4" x14ac:dyDescent="0.25">
      <c r="A5" t="s">
        <v>8007</v>
      </c>
      <c r="B5" s="14" t="s">
        <v>8014</v>
      </c>
    </row>
    <row r="6" spans="1:4" ht="60" customHeight="1" x14ac:dyDescent="0.25">
      <c r="A6" t="s">
        <v>8015</v>
      </c>
      <c r="B6" s="14" t="s">
        <v>8016</v>
      </c>
      <c r="C6" s="14" t="s">
        <v>8017</v>
      </c>
      <c r="D6" s="14" t="s">
        <v>8018</v>
      </c>
    </row>
    <row r="7" spans="1:4" ht="30" customHeight="1" x14ac:dyDescent="0.25">
      <c r="A7" t="s">
        <v>8019</v>
      </c>
      <c r="B7" s="14" t="s">
        <v>8020</v>
      </c>
      <c r="C7" s="14" t="s">
        <v>8021</v>
      </c>
    </row>
    <row r="8" spans="1:4" ht="30" customHeight="1" x14ac:dyDescent="0.25">
      <c r="A8" t="s">
        <v>8022</v>
      </c>
      <c r="B8" s="14" t="s">
        <v>8020</v>
      </c>
      <c r="C8" s="14" t="s">
        <v>8021</v>
      </c>
    </row>
    <row r="9" spans="1:4" ht="30" customHeight="1" x14ac:dyDescent="0.25">
      <c r="A9" t="s">
        <v>8023</v>
      </c>
      <c r="B9" s="14" t="s">
        <v>8020</v>
      </c>
      <c r="C9" s="14" t="s">
        <v>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1" width="20.5703125" customWidth="1"/>
    <col min="2" max="2" width="25.42578125" customWidth="1"/>
    <col min="3" max="3" width="16.5703125" customWidth="1"/>
    <col min="4" max="4" width="31.85546875" customWidth="1"/>
    <col min="5" max="5" width="29.140625" customWidth="1"/>
  </cols>
  <sheetData>
    <row r="1" spans="1:5" x14ac:dyDescent="0.25">
      <c r="A1" s="12" t="s">
        <v>8024</v>
      </c>
      <c r="B1" s="12" t="s">
        <v>8025</v>
      </c>
      <c r="C1" s="12" t="s">
        <v>11</v>
      </c>
      <c r="D1" s="12" t="s">
        <v>8026</v>
      </c>
      <c r="E1" s="12" t="s">
        <v>8027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5" x14ac:dyDescent="0.25"/>
  <sheetData>
    <row r="1" spans="1:3" x14ac:dyDescent="0.25">
      <c r="A1" t="s">
        <v>8028</v>
      </c>
      <c r="B1">
        <f>SUM(B2:B5)</f>
        <v>3569</v>
      </c>
    </row>
    <row r="2" spans="1:3" x14ac:dyDescent="0.25">
      <c r="A2" t="s">
        <v>33</v>
      </c>
      <c r="B2">
        <f>COUNTIF(MASTER_TAG_LIST!A:A,"Pass")</f>
        <v>3517</v>
      </c>
      <c r="C2" s="15">
        <f>B2/B1</f>
        <v>0.98543009246287472</v>
      </c>
    </row>
    <row r="3" spans="1:3" x14ac:dyDescent="0.25">
      <c r="A3" t="s">
        <v>947</v>
      </c>
      <c r="B3">
        <f>COUNTIF(MASTER_TAG_LIST!A:A,"Bypass")</f>
        <v>47</v>
      </c>
      <c r="C3" s="15">
        <f>B3/B1</f>
        <v>1.3168954889324741E-2</v>
      </c>
    </row>
    <row r="4" spans="1:3" x14ac:dyDescent="0.25">
      <c r="A4" t="s">
        <v>238</v>
      </c>
      <c r="B4">
        <f>COUNTIF(MASTER_TAG_LIST!A:A,"Fail")</f>
        <v>5</v>
      </c>
      <c r="C4" s="15">
        <f>B4/B1</f>
        <v>1.4009526478005044E-3</v>
      </c>
    </row>
    <row r="5" spans="1:3" x14ac:dyDescent="0.25">
      <c r="A5" t="s">
        <v>8029</v>
      </c>
      <c r="B5">
        <f>COUNTIF(MASTER_TAG_LIST!A:A,"Skipped")</f>
        <v>0</v>
      </c>
      <c r="C5" s="15">
        <f>B5/B1</f>
        <v>0</v>
      </c>
    </row>
    <row r="6" spans="1:3" x14ac:dyDescent="0.25">
      <c r="C6" s="15"/>
    </row>
    <row r="8" spans="1:3" x14ac:dyDescent="0.25">
      <c r="A8" t="s">
        <v>8030</v>
      </c>
      <c r="B8">
        <f>COUNTIF(MASTER_TAG_LIST!U:U,"delete")</f>
        <v>0</v>
      </c>
      <c r="C8" s="15">
        <f>B8/B11</f>
        <v>0</v>
      </c>
    </row>
    <row r="9" spans="1:3" x14ac:dyDescent="0.25">
      <c r="A9" t="s">
        <v>8031</v>
      </c>
      <c r="B9">
        <f>COUNTIF(MASTER_TAG_LIST!U:U,"add")</f>
        <v>19</v>
      </c>
      <c r="C9" s="15">
        <f>B9/B11</f>
        <v>5.3236200616419167E-3</v>
      </c>
    </row>
    <row r="10" spans="1:3" x14ac:dyDescent="0.25">
      <c r="A10" t="s">
        <v>8032</v>
      </c>
      <c r="B10">
        <f>COUNTIF(MASTER_TAG_LIST!A:A,"*")-B9-B8</f>
        <v>3551</v>
      </c>
      <c r="C10" s="15">
        <f>B10/B11</f>
        <v>0.99495657046791819</v>
      </c>
    </row>
    <row r="11" spans="1:3" x14ac:dyDescent="0.25">
      <c r="A11" t="s">
        <v>8028</v>
      </c>
      <c r="B11">
        <f>B1</f>
        <v>3569</v>
      </c>
    </row>
    <row r="12" spans="1:3" x14ac:dyDescent="0.25">
      <c r="C1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9"/>
  <sheetViews>
    <sheetView workbookViewId="0"/>
  </sheetViews>
  <sheetFormatPr defaultRowHeight="15" x14ac:dyDescent="0.25"/>
  <cols>
    <col min="1" max="1" width="17.28515625" customWidth="1"/>
    <col min="2" max="3" width="9.140625" customWidth="1"/>
    <col min="4" max="5" width="17.28515625" customWidth="1"/>
    <col min="6" max="6" width="9.140625" customWidth="1"/>
    <col min="7" max="7" width="17.85546875" customWidth="1"/>
    <col min="8" max="8" width="14.140625" customWidth="1"/>
    <col min="13" max="13" width="18.42578125" customWidth="1"/>
    <col min="14" max="14" width="18.85546875" customWidth="1"/>
    <col min="17" max="17" width="14.140625" customWidth="1"/>
    <col min="18" max="18" width="21.28515625" customWidth="1"/>
    <col min="19" max="19" width="26.85546875" customWidth="1"/>
    <col min="20" max="20" width="15" customWidth="1"/>
    <col min="21" max="21" width="3.28515625" customWidth="1"/>
    <col min="22" max="22" width="15" customWidth="1"/>
    <col min="23" max="23" width="41.85546875" customWidth="1"/>
    <col min="24" max="24" width="58" customWidth="1"/>
    <col min="25" max="25" width="45.140625" customWidth="1"/>
    <col min="27" max="27" width="33.85546875" customWidth="1"/>
    <col min="28" max="28" width="26" customWidth="1"/>
    <col min="30" max="30" width="24.42578125" customWidth="1"/>
    <col min="31" max="31" width="24.140625" customWidth="1"/>
    <col min="32" max="32" width="28" customWidth="1"/>
  </cols>
  <sheetData>
    <row r="1" spans="1:32" ht="45" customHeight="1" x14ac:dyDescent="0.25">
      <c r="A1" s="14" t="s">
        <v>8033</v>
      </c>
      <c r="B1" s="16" t="s">
        <v>8034</v>
      </c>
      <c r="D1" s="17" t="s">
        <v>8035</v>
      </c>
      <c r="E1" s="18" t="s">
        <v>8036</v>
      </c>
      <c r="G1" s="17" t="s">
        <v>8037</v>
      </c>
      <c r="H1" s="16" t="s">
        <v>8038</v>
      </c>
      <c r="I1" s="19" t="s">
        <v>8039</v>
      </c>
      <c r="J1" s="14" t="s">
        <v>8040</v>
      </c>
      <c r="L1" s="20" t="s">
        <v>8041</v>
      </c>
      <c r="M1" s="21" t="s">
        <v>8042</v>
      </c>
      <c r="N1" s="22" t="s">
        <v>8043</v>
      </c>
      <c r="O1" s="21" t="s">
        <v>8044</v>
      </c>
      <c r="P1" s="23" t="s">
        <v>8045</v>
      </c>
      <c r="R1" s="24" t="s">
        <v>8046</v>
      </c>
      <c r="S1" s="12" t="s">
        <v>8047</v>
      </c>
      <c r="T1" s="14" t="s">
        <v>8048</v>
      </c>
      <c r="V1" s="25" t="s">
        <v>8049</v>
      </c>
      <c r="W1" s="26" t="s">
        <v>8050</v>
      </c>
      <c r="X1" s="26" t="s">
        <v>8051</v>
      </c>
      <c r="Y1" s="27" t="s">
        <v>8052</v>
      </c>
      <c r="AA1" s="25" t="s">
        <v>8053</v>
      </c>
      <c r="AB1" s="27" t="s">
        <v>16</v>
      </c>
      <c r="AD1" s="25" t="s">
        <v>8054</v>
      </c>
      <c r="AE1" s="26" t="s">
        <v>8055</v>
      </c>
      <c r="AF1" s="27" t="s">
        <v>23</v>
      </c>
    </row>
    <row r="2" spans="1:32" ht="15.75" customHeight="1" x14ac:dyDescent="0.25">
      <c r="A2" s="19" t="s">
        <v>8056</v>
      </c>
      <c r="B2" s="18" t="s">
        <v>866</v>
      </c>
      <c r="D2" s="17" t="s">
        <v>8056</v>
      </c>
      <c r="E2" s="18" t="s">
        <v>252</v>
      </c>
      <c r="G2" s="17" t="s">
        <v>8057</v>
      </c>
      <c r="H2" s="28" t="s">
        <v>87</v>
      </c>
      <c r="I2" s="19" t="s">
        <v>8058</v>
      </c>
      <c r="J2" t="s">
        <v>78</v>
      </c>
      <c r="L2" s="29" t="s">
        <v>8059</v>
      </c>
      <c r="M2" s="30" t="s">
        <v>8060</v>
      </c>
      <c r="N2" s="30" t="s">
        <v>263</v>
      </c>
      <c r="O2" s="30" t="s">
        <v>143</v>
      </c>
      <c r="P2" s="31" t="s">
        <v>261</v>
      </c>
      <c r="R2" s="19" t="s">
        <v>8061</v>
      </c>
      <c r="S2" t="s">
        <v>8062</v>
      </c>
      <c r="T2" s="18" t="s">
        <v>252</v>
      </c>
      <c r="V2" s="32" t="s">
        <v>2849</v>
      </c>
      <c r="W2" s="33" t="s">
        <v>8063</v>
      </c>
      <c r="X2" s="33"/>
      <c r="Y2" s="34"/>
      <c r="AA2" s="35" t="s">
        <v>872</v>
      </c>
      <c r="AB2" s="34" t="s">
        <v>873</v>
      </c>
      <c r="AD2" s="35" t="s">
        <v>8064</v>
      </c>
      <c r="AE2" s="33" t="s">
        <v>267</v>
      </c>
      <c r="AF2" s="34" t="s">
        <v>270</v>
      </c>
    </row>
    <row r="3" spans="1:32" x14ac:dyDescent="0.25">
      <c r="A3" s="19" t="s">
        <v>8065</v>
      </c>
      <c r="B3" s="18" t="s">
        <v>6408</v>
      </c>
      <c r="D3" s="17" t="s">
        <v>8066</v>
      </c>
      <c r="E3" s="18" t="s">
        <v>840</v>
      </c>
      <c r="G3" s="17" t="s">
        <v>8067</v>
      </c>
      <c r="H3" s="28" t="s">
        <v>87</v>
      </c>
      <c r="I3" s="19" t="s">
        <v>8068</v>
      </c>
      <c r="J3" t="s">
        <v>78</v>
      </c>
      <c r="L3" s="35" t="s">
        <v>8059</v>
      </c>
      <c r="M3" s="33" t="s">
        <v>8069</v>
      </c>
      <c r="N3" s="33" t="s">
        <v>4476</v>
      </c>
      <c r="O3" s="33" t="s">
        <v>143</v>
      </c>
      <c r="P3" s="34" t="s">
        <v>4475</v>
      </c>
      <c r="R3" s="19" t="s">
        <v>8070</v>
      </c>
      <c r="S3" t="s">
        <v>8071</v>
      </c>
      <c r="T3" s="18" t="s">
        <v>840</v>
      </c>
      <c r="V3" s="32" t="s">
        <v>854</v>
      </c>
      <c r="W3" s="33" t="s">
        <v>8072</v>
      </c>
      <c r="X3" s="33"/>
      <c r="Y3" s="34"/>
      <c r="AA3" s="35" t="s">
        <v>858</v>
      </c>
      <c r="AB3" s="34" t="s">
        <v>859</v>
      </c>
      <c r="AD3" s="35" t="s">
        <v>8064</v>
      </c>
      <c r="AE3" s="33" t="s">
        <v>272</v>
      </c>
      <c r="AF3" s="34" t="s">
        <v>270</v>
      </c>
    </row>
    <row r="4" spans="1:32" x14ac:dyDescent="0.25">
      <c r="A4" s="19" t="s">
        <v>8073</v>
      </c>
      <c r="B4" s="18" t="s">
        <v>1867</v>
      </c>
      <c r="D4" s="17" t="s">
        <v>8074</v>
      </c>
      <c r="E4" s="18" t="s">
        <v>840</v>
      </c>
      <c r="G4" s="17" t="s">
        <v>8065</v>
      </c>
      <c r="H4" s="28" t="s">
        <v>87</v>
      </c>
      <c r="I4" s="19" t="s">
        <v>8075</v>
      </c>
      <c r="J4" t="s">
        <v>78</v>
      </c>
      <c r="L4" s="35" t="s">
        <v>8059</v>
      </c>
      <c r="M4" s="33" t="s">
        <v>8076</v>
      </c>
      <c r="N4" s="33" t="s">
        <v>4402</v>
      </c>
      <c r="O4" s="33" t="s">
        <v>143</v>
      </c>
      <c r="P4" s="34" t="s">
        <v>4401</v>
      </c>
      <c r="R4" s="19" t="s">
        <v>8077</v>
      </c>
      <c r="T4" t="s">
        <v>43</v>
      </c>
      <c r="V4" s="35" t="s">
        <v>36</v>
      </c>
      <c r="W4" s="33" t="s">
        <v>8078</v>
      </c>
      <c r="X4" s="33"/>
      <c r="Y4" s="34"/>
      <c r="AA4" s="35" t="s">
        <v>284</v>
      </c>
      <c r="AB4" s="34" t="s">
        <v>285</v>
      </c>
      <c r="AD4" s="35" t="s">
        <v>8064</v>
      </c>
      <c r="AE4" s="33" t="s">
        <v>276</v>
      </c>
      <c r="AF4" s="34" t="s">
        <v>270</v>
      </c>
    </row>
    <row r="5" spans="1:32" ht="45" customHeight="1" x14ac:dyDescent="0.25">
      <c r="A5" s="19" t="s">
        <v>8079</v>
      </c>
      <c r="B5" s="18" t="s">
        <v>5419</v>
      </c>
      <c r="D5" s="17" t="s">
        <v>8080</v>
      </c>
      <c r="E5" s="18" t="s">
        <v>176</v>
      </c>
      <c r="G5" s="17" t="s">
        <v>8073</v>
      </c>
      <c r="H5" s="28" t="s">
        <v>78</v>
      </c>
      <c r="I5" s="19" t="s">
        <v>8081</v>
      </c>
      <c r="J5" t="s">
        <v>78</v>
      </c>
      <c r="L5" s="35" t="s">
        <v>8059</v>
      </c>
      <c r="M5" s="33" t="s">
        <v>8082</v>
      </c>
      <c r="N5" s="33" t="s">
        <v>254</v>
      </c>
      <c r="O5" s="33" t="s">
        <v>38</v>
      </c>
      <c r="P5" s="34" t="s">
        <v>250</v>
      </c>
      <c r="R5" s="19" t="s">
        <v>8083</v>
      </c>
      <c r="T5" t="s">
        <v>53</v>
      </c>
      <c r="V5" s="35" t="s">
        <v>36</v>
      </c>
      <c r="W5" s="33" t="s">
        <v>8084</v>
      </c>
      <c r="X5" s="36" t="s">
        <v>8085</v>
      </c>
      <c r="Y5" s="37" t="s">
        <v>8086</v>
      </c>
      <c r="AA5" s="35" t="s">
        <v>168</v>
      </c>
      <c r="AB5" s="34" t="s">
        <v>169</v>
      </c>
      <c r="AD5" s="35" t="s">
        <v>8064</v>
      </c>
      <c r="AE5" s="33" t="s">
        <v>8087</v>
      </c>
      <c r="AF5" s="34" t="s">
        <v>1881</v>
      </c>
    </row>
    <row r="6" spans="1:32" ht="60" customHeight="1" x14ac:dyDescent="0.25">
      <c r="A6" s="19" t="s">
        <v>8088</v>
      </c>
      <c r="B6" s="18" t="s">
        <v>36</v>
      </c>
      <c r="D6" s="17" t="s">
        <v>8065</v>
      </c>
      <c r="E6" s="18" t="s">
        <v>493</v>
      </c>
      <c r="G6" s="17" t="s">
        <v>8089</v>
      </c>
      <c r="H6" s="28" t="s">
        <v>78</v>
      </c>
      <c r="I6" s="19" t="s">
        <v>8090</v>
      </c>
      <c r="J6" t="s">
        <v>78</v>
      </c>
      <c r="L6" s="35" t="s">
        <v>8059</v>
      </c>
      <c r="M6" s="33" t="s">
        <v>8091</v>
      </c>
      <c r="N6" s="33" t="s">
        <v>258</v>
      </c>
      <c r="O6" s="33" t="s">
        <v>38</v>
      </c>
      <c r="P6" s="34" t="s">
        <v>257</v>
      </c>
      <c r="R6" s="19" t="s">
        <v>8092</v>
      </c>
      <c r="T6" t="s">
        <v>8093</v>
      </c>
      <c r="V6" s="35" t="s">
        <v>36</v>
      </c>
      <c r="W6" s="33" t="s">
        <v>8094</v>
      </c>
      <c r="X6" s="38" t="s">
        <v>8095</v>
      </c>
      <c r="Y6" s="39" t="s">
        <v>8096</v>
      </c>
      <c r="AA6" s="35" t="s">
        <v>244</v>
      </c>
      <c r="AB6" s="34" t="s">
        <v>2803</v>
      </c>
      <c r="AD6" s="35" t="s">
        <v>1879</v>
      </c>
      <c r="AE6" s="33"/>
      <c r="AF6" s="34" t="s">
        <v>1881</v>
      </c>
    </row>
    <row r="7" spans="1:32" x14ac:dyDescent="0.25">
      <c r="A7" s="19" t="s">
        <v>8097</v>
      </c>
      <c r="B7" s="18" t="s">
        <v>36</v>
      </c>
      <c r="D7" s="17" t="s">
        <v>8079</v>
      </c>
      <c r="E7" s="18" t="s">
        <v>3483</v>
      </c>
      <c r="G7" s="17" t="s">
        <v>8098</v>
      </c>
      <c r="H7" s="28" t="s">
        <v>248</v>
      </c>
      <c r="I7" s="19" t="s">
        <v>8099</v>
      </c>
      <c r="J7" t="s">
        <v>78</v>
      </c>
      <c r="L7" s="35" t="s">
        <v>8059</v>
      </c>
      <c r="M7" s="33" t="s">
        <v>8100</v>
      </c>
      <c r="N7" s="33" t="s">
        <v>296</v>
      </c>
      <c r="O7" s="33" t="s">
        <v>143</v>
      </c>
      <c r="P7" s="34" t="s">
        <v>295</v>
      </c>
      <c r="R7" s="19"/>
      <c r="T7" s="18" t="s">
        <v>176</v>
      </c>
      <c r="V7" s="35" t="s">
        <v>36</v>
      </c>
      <c r="W7" s="33" t="s">
        <v>8101</v>
      </c>
      <c r="X7" s="33" t="s">
        <v>8102</v>
      </c>
      <c r="Y7" s="34" t="s">
        <v>8103</v>
      </c>
      <c r="AA7" s="35" t="s">
        <v>84</v>
      </c>
      <c r="AB7" s="34" t="s">
        <v>1958</v>
      </c>
      <c r="AD7" s="35" t="s">
        <v>53</v>
      </c>
      <c r="AE7" s="33"/>
      <c r="AF7" s="34" t="s">
        <v>56</v>
      </c>
    </row>
    <row r="8" spans="1:32" x14ac:dyDescent="0.25">
      <c r="A8" s="19" t="s">
        <v>8104</v>
      </c>
      <c r="B8" s="28" t="s">
        <v>36</v>
      </c>
      <c r="D8" s="17" t="s">
        <v>8105</v>
      </c>
      <c r="E8" s="18" t="s">
        <v>3483</v>
      </c>
      <c r="G8" s="17" t="s">
        <v>8106</v>
      </c>
      <c r="H8" s="28" t="s">
        <v>78</v>
      </c>
      <c r="I8" s="19" t="s">
        <v>8107</v>
      </c>
      <c r="J8" t="s">
        <v>78</v>
      </c>
      <c r="L8" s="35" t="s">
        <v>8059</v>
      </c>
      <c r="M8" s="33" t="s">
        <v>8108</v>
      </c>
      <c r="N8" s="33" t="s">
        <v>300</v>
      </c>
      <c r="O8" s="33" t="s">
        <v>143</v>
      </c>
      <c r="P8" s="34" t="s">
        <v>299</v>
      </c>
      <c r="R8" s="19"/>
      <c r="T8" s="19" t="s">
        <v>3327</v>
      </c>
      <c r="V8" s="35" t="s">
        <v>36</v>
      </c>
      <c r="W8" s="33" t="s">
        <v>8109</v>
      </c>
      <c r="X8" s="33" t="s">
        <v>8110</v>
      </c>
      <c r="Y8" s="34" t="s">
        <v>8111</v>
      </c>
      <c r="AA8" s="35" t="s">
        <v>289</v>
      </c>
      <c r="AB8" s="34" t="s">
        <v>285</v>
      </c>
      <c r="AD8" s="35" t="s">
        <v>139</v>
      </c>
      <c r="AE8" s="33"/>
      <c r="AF8" s="34" t="s">
        <v>56</v>
      </c>
    </row>
    <row r="9" spans="1:32" x14ac:dyDescent="0.25">
      <c r="A9" s="19" t="s">
        <v>8112</v>
      </c>
      <c r="B9" s="18" t="s">
        <v>36</v>
      </c>
      <c r="D9" s="17" t="s">
        <v>8113</v>
      </c>
      <c r="E9" s="18" t="s">
        <v>176</v>
      </c>
      <c r="F9" s="19"/>
      <c r="G9" s="40" t="s">
        <v>8114</v>
      </c>
      <c r="H9" s="28" t="s">
        <v>87</v>
      </c>
      <c r="I9" s="19" t="s">
        <v>8115</v>
      </c>
      <c r="J9" s="19" t="s">
        <v>36</v>
      </c>
      <c r="L9" s="35" t="s">
        <v>8059</v>
      </c>
      <c r="M9" s="33" t="s">
        <v>8116</v>
      </c>
      <c r="N9" s="33" t="s">
        <v>268</v>
      </c>
      <c r="O9" s="33" t="s">
        <v>143</v>
      </c>
      <c r="P9" s="34" t="s">
        <v>267</v>
      </c>
      <c r="T9" s="18" t="s">
        <v>493</v>
      </c>
      <c r="V9" s="35" t="s">
        <v>8117</v>
      </c>
      <c r="W9" s="33" t="s">
        <v>8118</v>
      </c>
      <c r="X9" s="33"/>
      <c r="Y9" s="34"/>
      <c r="AA9" s="35" t="s">
        <v>1106</v>
      </c>
      <c r="AB9" s="34" t="s">
        <v>1107</v>
      </c>
      <c r="AD9" s="35" t="s">
        <v>3327</v>
      </c>
      <c r="AE9" s="33"/>
      <c r="AF9" s="34" t="s">
        <v>1193</v>
      </c>
    </row>
    <row r="10" spans="1:32" x14ac:dyDescent="0.25">
      <c r="A10" s="19" t="s">
        <v>8119</v>
      </c>
      <c r="B10" s="18" t="s">
        <v>36</v>
      </c>
      <c r="D10" s="17" t="s">
        <v>8073</v>
      </c>
      <c r="E10" s="18" t="s">
        <v>1879</v>
      </c>
      <c r="F10" s="19"/>
      <c r="G10" s="40" t="s">
        <v>8120</v>
      </c>
      <c r="H10" s="28" t="s">
        <v>87</v>
      </c>
      <c r="I10" s="19" t="s">
        <v>8121</v>
      </c>
      <c r="J10" s="19" t="s">
        <v>78</v>
      </c>
      <c r="L10" s="35" t="s">
        <v>8059</v>
      </c>
      <c r="M10" s="33" t="s">
        <v>8092</v>
      </c>
      <c r="N10" s="33" t="s">
        <v>273</v>
      </c>
      <c r="O10" s="33" t="s">
        <v>143</v>
      </c>
      <c r="P10" s="34" t="s">
        <v>272</v>
      </c>
      <c r="T10" s="19" t="s">
        <v>8122</v>
      </c>
      <c r="V10" s="35" t="s">
        <v>248</v>
      </c>
      <c r="W10" s="33" t="s">
        <v>8123</v>
      </c>
      <c r="X10" s="33"/>
      <c r="Y10" s="34"/>
      <c r="AA10" s="35" t="s">
        <v>862</v>
      </c>
      <c r="AB10" s="34" t="s">
        <v>863</v>
      </c>
      <c r="AD10" s="35" t="s">
        <v>1191</v>
      </c>
      <c r="AE10" s="33"/>
      <c r="AF10" s="34" t="s">
        <v>1193</v>
      </c>
    </row>
    <row r="11" spans="1:32" ht="30" customHeight="1" x14ac:dyDescent="0.25">
      <c r="A11" s="19" t="s">
        <v>8124</v>
      </c>
      <c r="B11" s="18" t="s">
        <v>36</v>
      </c>
      <c r="D11" s="17" t="s">
        <v>8125</v>
      </c>
      <c r="E11" s="18" t="s">
        <v>82</v>
      </c>
      <c r="F11" s="19"/>
      <c r="G11" s="40" t="s">
        <v>8126</v>
      </c>
      <c r="H11" s="28" t="s">
        <v>87</v>
      </c>
      <c r="I11" s="19" t="s">
        <v>8127</v>
      </c>
      <c r="J11" s="19" t="s">
        <v>87</v>
      </c>
      <c r="L11" s="35" t="s">
        <v>8059</v>
      </c>
      <c r="M11" s="33" t="s">
        <v>8128</v>
      </c>
      <c r="N11" s="33" t="s">
        <v>277</v>
      </c>
      <c r="O11" s="33" t="s">
        <v>143</v>
      </c>
      <c r="P11" s="34" t="s">
        <v>276</v>
      </c>
      <c r="T11" s="18" t="s">
        <v>3483</v>
      </c>
      <c r="V11" s="35" t="s">
        <v>866</v>
      </c>
      <c r="W11" s="33" t="s">
        <v>8129</v>
      </c>
      <c r="X11" s="33"/>
      <c r="Y11" s="34"/>
      <c r="AA11" s="35" t="s">
        <v>1282</v>
      </c>
      <c r="AB11" s="34" t="s">
        <v>1133</v>
      </c>
      <c r="AD11" s="35" t="s">
        <v>8093</v>
      </c>
      <c r="AE11" s="33"/>
      <c r="AF11" s="34" t="s">
        <v>1193</v>
      </c>
    </row>
    <row r="12" spans="1:32" ht="30" customHeight="1" x14ac:dyDescent="0.25">
      <c r="A12" s="19" t="s">
        <v>8115</v>
      </c>
      <c r="B12" s="18" t="s">
        <v>36</v>
      </c>
      <c r="D12" s="17"/>
      <c r="E12" s="18"/>
      <c r="F12" s="19"/>
      <c r="G12" s="40" t="s">
        <v>8130</v>
      </c>
      <c r="H12" s="28" t="s">
        <v>87</v>
      </c>
      <c r="L12" s="35" t="s">
        <v>8059</v>
      </c>
      <c r="M12" s="33" t="s">
        <v>8131</v>
      </c>
      <c r="N12" s="33" t="s">
        <v>284</v>
      </c>
      <c r="O12" s="33" t="s">
        <v>280</v>
      </c>
      <c r="P12" s="34" t="s">
        <v>281</v>
      </c>
      <c r="T12" s="19" t="s">
        <v>139</v>
      </c>
      <c r="V12" s="35" t="s">
        <v>87</v>
      </c>
      <c r="W12" s="33" t="s">
        <v>8132</v>
      </c>
      <c r="X12" s="33"/>
      <c r="Y12" s="34"/>
      <c r="AA12" s="35" t="s">
        <v>2229</v>
      </c>
      <c r="AB12" s="34" t="s">
        <v>1133</v>
      </c>
      <c r="AD12" s="35" t="s">
        <v>3483</v>
      </c>
      <c r="AE12" s="33"/>
      <c r="AF12" s="34" t="s">
        <v>963</v>
      </c>
    </row>
    <row r="13" spans="1:32" ht="30" customHeight="1" x14ac:dyDescent="0.25">
      <c r="A13" s="19" t="s">
        <v>8133</v>
      </c>
      <c r="B13" s="18" t="s">
        <v>2849</v>
      </c>
      <c r="D13" s="17"/>
      <c r="E13" s="18"/>
      <c r="F13" s="19"/>
      <c r="G13" s="40" t="s">
        <v>8134</v>
      </c>
      <c r="H13" s="28" t="s">
        <v>87</v>
      </c>
      <c r="L13" s="35" t="s">
        <v>8059</v>
      </c>
      <c r="M13" s="33" t="s">
        <v>8135</v>
      </c>
      <c r="N13" s="33" t="s">
        <v>284</v>
      </c>
      <c r="O13" s="33" t="s">
        <v>280</v>
      </c>
      <c r="P13" s="34" t="s">
        <v>281</v>
      </c>
      <c r="T13" s="19" t="s">
        <v>64</v>
      </c>
      <c r="V13" s="35" t="s">
        <v>87</v>
      </c>
      <c r="W13" s="33" t="s">
        <v>8084</v>
      </c>
      <c r="X13" s="41" t="s">
        <v>8136</v>
      </c>
      <c r="Y13" s="34" t="s">
        <v>8137</v>
      </c>
      <c r="AA13" s="35" t="s">
        <v>8138</v>
      </c>
      <c r="AB13" s="34" t="s">
        <v>1133</v>
      </c>
      <c r="AD13" s="42" t="s">
        <v>960</v>
      </c>
      <c r="AE13" s="33"/>
      <c r="AF13" s="34" t="s">
        <v>963</v>
      </c>
    </row>
    <row r="14" spans="1:32" ht="30" customHeight="1" x14ac:dyDescent="0.25">
      <c r="A14" s="19" t="s">
        <v>8139</v>
      </c>
      <c r="B14" s="18" t="s">
        <v>2849</v>
      </c>
      <c r="D14" s="17"/>
      <c r="E14" s="18"/>
      <c r="F14" s="19"/>
      <c r="G14" s="40"/>
      <c r="H14" s="28"/>
      <c r="L14" s="35" t="s">
        <v>8059</v>
      </c>
      <c r="M14" s="33" t="s">
        <v>8140</v>
      </c>
      <c r="N14" s="43" t="s">
        <v>292</v>
      </c>
      <c r="O14" s="33" t="s">
        <v>143</v>
      </c>
      <c r="P14" s="34" t="s">
        <v>257</v>
      </c>
      <c r="T14" s="19" t="s">
        <v>2109</v>
      </c>
      <c r="V14" s="35" t="s">
        <v>87</v>
      </c>
      <c r="W14" s="33" t="s">
        <v>8094</v>
      </c>
      <c r="X14" s="33" t="s">
        <v>8141</v>
      </c>
      <c r="Y14" s="34" t="s">
        <v>8142</v>
      </c>
      <c r="AA14" s="35" t="s">
        <v>8143</v>
      </c>
      <c r="AB14" s="34" t="s">
        <v>8144</v>
      </c>
      <c r="AD14" s="35" t="s">
        <v>889</v>
      </c>
      <c r="AE14" s="33"/>
      <c r="AF14" s="34" t="s">
        <v>892</v>
      </c>
    </row>
    <row r="15" spans="1:32" ht="30.75" customHeight="1" x14ac:dyDescent="0.25">
      <c r="A15" s="19" t="s">
        <v>8145</v>
      </c>
      <c r="B15" s="28" t="s">
        <v>2849</v>
      </c>
      <c r="D15" s="17"/>
      <c r="E15" s="18"/>
      <c r="F15" s="19"/>
      <c r="L15" s="44" t="s">
        <v>8059</v>
      </c>
      <c r="M15" s="45" t="s">
        <v>8146</v>
      </c>
      <c r="N15" s="45" t="s">
        <v>8147</v>
      </c>
      <c r="O15" s="45" t="s">
        <v>143</v>
      </c>
      <c r="P15" s="46" t="s">
        <v>8148</v>
      </c>
      <c r="T15" s="19" t="s">
        <v>8149</v>
      </c>
      <c r="V15" s="35" t="s">
        <v>87</v>
      </c>
      <c r="W15" s="33" t="s">
        <v>8101</v>
      </c>
      <c r="X15" s="41" t="s">
        <v>8150</v>
      </c>
      <c r="Y15" s="34" t="s">
        <v>8151</v>
      </c>
      <c r="AA15" s="35" t="s">
        <v>8152</v>
      </c>
      <c r="AB15" s="34" t="s">
        <v>863</v>
      </c>
      <c r="AD15" s="44" t="s">
        <v>2109</v>
      </c>
      <c r="AE15" s="45"/>
      <c r="AF15" s="46" t="s">
        <v>892</v>
      </c>
    </row>
    <row r="16" spans="1:32" x14ac:dyDescent="0.25">
      <c r="A16" s="19" t="s">
        <v>8153</v>
      </c>
      <c r="B16" s="28" t="s">
        <v>8117</v>
      </c>
      <c r="D16" s="17"/>
      <c r="E16" s="18"/>
      <c r="F16" s="19"/>
      <c r="G16" s="40"/>
      <c r="H16" s="28"/>
      <c r="L16" s="42" t="s">
        <v>8154</v>
      </c>
      <c r="M16" s="47" t="s">
        <v>8155</v>
      </c>
      <c r="N16" s="47" t="s">
        <v>858</v>
      </c>
      <c r="O16" s="47" t="s">
        <v>166</v>
      </c>
      <c r="P16" s="48" t="s">
        <v>281</v>
      </c>
      <c r="T16" s="19" t="s">
        <v>960</v>
      </c>
      <c r="V16" s="35" t="s">
        <v>87</v>
      </c>
      <c r="W16" s="33" t="s">
        <v>8109</v>
      </c>
      <c r="X16" s="33" t="s">
        <v>8156</v>
      </c>
      <c r="Y16" s="34" t="s">
        <v>8157</v>
      </c>
      <c r="AA16" s="35" t="s">
        <v>4252</v>
      </c>
      <c r="AB16" s="34" t="s">
        <v>863</v>
      </c>
    </row>
    <row r="17" spans="1:28" x14ac:dyDescent="0.25">
      <c r="A17" s="19" t="s">
        <v>8158</v>
      </c>
      <c r="B17" s="28" t="s">
        <v>8117</v>
      </c>
      <c r="D17" s="17"/>
      <c r="E17" s="18"/>
      <c r="F17" s="19"/>
      <c r="G17" s="40"/>
      <c r="H17" s="28"/>
      <c r="L17" s="42" t="s">
        <v>8154</v>
      </c>
      <c r="M17" s="47" t="s">
        <v>8159</v>
      </c>
      <c r="N17" s="47" t="s">
        <v>1106</v>
      </c>
      <c r="O17" s="47" t="s">
        <v>166</v>
      </c>
      <c r="P17" s="48" t="s">
        <v>1105</v>
      </c>
      <c r="T17" s="19" t="s">
        <v>6821</v>
      </c>
      <c r="V17" s="35" t="s">
        <v>87</v>
      </c>
      <c r="W17" s="33" t="s">
        <v>8160</v>
      </c>
      <c r="X17" s="33" t="s">
        <v>8161</v>
      </c>
      <c r="Y17" s="34" t="s">
        <v>8162</v>
      </c>
      <c r="AA17" s="35" t="s">
        <v>483</v>
      </c>
      <c r="AB17" s="34" t="s">
        <v>2677</v>
      </c>
    </row>
    <row r="18" spans="1:28" x14ac:dyDescent="0.25">
      <c r="A18" s="19" t="s">
        <v>8114</v>
      </c>
      <c r="B18" s="28" t="s">
        <v>854</v>
      </c>
      <c r="D18" s="17"/>
      <c r="E18" s="18"/>
      <c r="F18" s="19"/>
      <c r="G18" s="40"/>
      <c r="H18" s="28"/>
      <c r="L18" s="42" t="s">
        <v>8154</v>
      </c>
      <c r="M18" s="47" t="s">
        <v>8163</v>
      </c>
      <c r="N18" s="47" t="s">
        <v>8164</v>
      </c>
      <c r="O18" s="47" t="s">
        <v>153</v>
      </c>
      <c r="P18" s="48" t="s">
        <v>281</v>
      </c>
      <c r="T18" s="19" t="s">
        <v>8165</v>
      </c>
      <c r="V18" s="35" t="s">
        <v>6408</v>
      </c>
      <c r="W18" s="33" t="s">
        <v>8166</v>
      </c>
      <c r="X18" s="33"/>
      <c r="Y18" s="34"/>
      <c r="AA18" s="35" t="s">
        <v>8167</v>
      </c>
      <c r="AB18" s="34" t="s">
        <v>863</v>
      </c>
    </row>
    <row r="19" spans="1:28" x14ac:dyDescent="0.25">
      <c r="A19" s="19"/>
      <c r="D19" s="17"/>
      <c r="E19" s="18"/>
      <c r="F19" s="19"/>
      <c r="G19" s="40"/>
      <c r="H19" s="28"/>
      <c r="L19" s="42" t="s">
        <v>8154</v>
      </c>
      <c r="M19" s="47" t="s">
        <v>8168</v>
      </c>
      <c r="N19" s="47" t="s">
        <v>599</v>
      </c>
      <c r="O19" s="47" t="s">
        <v>153</v>
      </c>
      <c r="P19" s="48" t="s">
        <v>598</v>
      </c>
      <c r="T19" s="19" t="s">
        <v>70</v>
      </c>
      <c r="V19" s="35" t="s">
        <v>78</v>
      </c>
      <c r="W19" s="33" t="s">
        <v>8169</v>
      </c>
      <c r="X19" s="33"/>
      <c r="Y19" s="34"/>
      <c r="AA19" s="35" t="s">
        <v>8170</v>
      </c>
      <c r="AB19" s="34" t="s">
        <v>863</v>
      </c>
    </row>
    <row r="20" spans="1:28" x14ac:dyDescent="0.25">
      <c r="A20" s="19"/>
      <c r="D20" s="17"/>
      <c r="E20" s="18"/>
      <c r="F20" s="19"/>
      <c r="G20" s="40"/>
      <c r="H20" s="28"/>
      <c r="L20" s="42" t="s">
        <v>8154</v>
      </c>
      <c r="M20" s="47" t="s">
        <v>8171</v>
      </c>
      <c r="N20" s="47" t="s">
        <v>8172</v>
      </c>
      <c r="O20" s="47" t="s">
        <v>153</v>
      </c>
      <c r="P20" s="48" t="s">
        <v>8173</v>
      </c>
      <c r="T20" s="19" t="s">
        <v>889</v>
      </c>
      <c r="V20" s="35" t="s">
        <v>78</v>
      </c>
      <c r="W20" s="33" t="s">
        <v>8084</v>
      </c>
      <c r="X20" s="33" t="s">
        <v>8174</v>
      </c>
      <c r="Y20" s="34" t="s">
        <v>8175</v>
      </c>
      <c r="AA20" s="35" t="s">
        <v>8176</v>
      </c>
      <c r="AB20" s="34" t="s">
        <v>1275</v>
      </c>
    </row>
    <row r="21" spans="1:28" ht="15.75" customHeight="1" x14ac:dyDescent="0.25">
      <c r="A21" s="19"/>
      <c r="D21" s="17"/>
      <c r="E21" s="18"/>
      <c r="F21" s="19"/>
      <c r="G21" s="40"/>
      <c r="H21" s="28"/>
      <c r="L21" s="42" t="s">
        <v>8154</v>
      </c>
      <c r="M21" s="47" t="s">
        <v>8177</v>
      </c>
      <c r="N21" s="47" t="s">
        <v>284</v>
      </c>
      <c r="O21" s="47" t="s">
        <v>280</v>
      </c>
      <c r="P21" s="48" t="s">
        <v>281</v>
      </c>
      <c r="T21" s="18" t="s">
        <v>1879</v>
      </c>
      <c r="V21" s="35" t="s">
        <v>78</v>
      </c>
      <c r="W21" s="33" t="s">
        <v>8094</v>
      </c>
      <c r="X21" s="33" t="s">
        <v>8178</v>
      </c>
      <c r="Y21" s="34" t="s">
        <v>8179</v>
      </c>
      <c r="AA21" s="44" t="s">
        <v>8180</v>
      </c>
      <c r="AB21" s="46" t="s">
        <v>8181</v>
      </c>
    </row>
    <row r="22" spans="1:28" x14ac:dyDescent="0.25">
      <c r="A22" s="19"/>
      <c r="D22" s="17"/>
      <c r="E22" s="18"/>
      <c r="F22" s="19"/>
      <c r="G22" s="40"/>
      <c r="H22" s="28"/>
      <c r="L22" s="42" t="s">
        <v>8182</v>
      </c>
      <c r="M22" s="47" t="s">
        <v>8183</v>
      </c>
      <c r="N22" s="47" t="s">
        <v>1942</v>
      </c>
      <c r="O22" s="47" t="s">
        <v>166</v>
      </c>
      <c r="P22" s="48" t="s">
        <v>1941</v>
      </c>
      <c r="T22" s="18" t="s">
        <v>8184</v>
      </c>
      <c r="V22" s="35" t="s">
        <v>78</v>
      </c>
      <c r="W22" s="33" t="s">
        <v>8101</v>
      </c>
      <c r="X22" s="33" t="s">
        <v>8185</v>
      </c>
      <c r="Y22" s="34" t="s">
        <v>8186</v>
      </c>
    </row>
    <row r="23" spans="1:28" ht="15.75" customHeight="1" x14ac:dyDescent="0.25">
      <c r="A23" s="19"/>
      <c r="D23" s="17"/>
      <c r="E23" s="18"/>
      <c r="F23" s="19"/>
      <c r="G23" s="40"/>
      <c r="H23" s="28"/>
      <c r="L23" s="42" t="s">
        <v>8182</v>
      </c>
      <c r="M23" s="47" t="s">
        <v>8187</v>
      </c>
      <c r="N23" s="47" t="s">
        <v>8188</v>
      </c>
      <c r="O23" s="47" t="s">
        <v>280</v>
      </c>
      <c r="P23" s="48" t="s">
        <v>8189</v>
      </c>
      <c r="T23" s="18" t="s">
        <v>8190</v>
      </c>
      <c r="V23" s="49" t="s">
        <v>1867</v>
      </c>
      <c r="W23" s="50" t="s">
        <v>8191</v>
      </c>
      <c r="X23" s="50"/>
      <c r="Y23" s="51"/>
    </row>
    <row r="24" spans="1:28" x14ac:dyDescent="0.25">
      <c r="A24" s="19"/>
      <c r="D24" s="17"/>
      <c r="E24" s="18"/>
      <c r="F24" s="19"/>
      <c r="G24" s="40"/>
      <c r="H24" s="28"/>
      <c r="L24" s="42" t="s">
        <v>8182</v>
      </c>
      <c r="M24" s="47" t="s">
        <v>8192</v>
      </c>
      <c r="N24" s="47" t="s">
        <v>8193</v>
      </c>
      <c r="O24" s="47" t="s">
        <v>280</v>
      </c>
      <c r="P24" s="48" t="s">
        <v>8194</v>
      </c>
      <c r="T24" s="18" t="s">
        <v>8195</v>
      </c>
    </row>
    <row r="25" spans="1:28" x14ac:dyDescent="0.25">
      <c r="A25" s="19"/>
      <c r="G25" s="40"/>
      <c r="H25" s="28"/>
      <c r="L25" s="42" t="s">
        <v>8182</v>
      </c>
      <c r="M25" s="47" t="s">
        <v>8196</v>
      </c>
      <c r="N25" s="47" t="s">
        <v>8197</v>
      </c>
      <c r="O25" s="47" t="s">
        <v>280</v>
      </c>
      <c r="P25" s="48" t="s">
        <v>8198</v>
      </c>
      <c r="T25" s="19" t="s">
        <v>82</v>
      </c>
    </row>
    <row r="26" spans="1:28" x14ac:dyDescent="0.25">
      <c r="A26" s="19"/>
      <c r="G26" s="40"/>
      <c r="H26" s="28"/>
      <c r="L26" s="42" t="s">
        <v>8182</v>
      </c>
      <c r="M26" s="47" t="s">
        <v>8199</v>
      </c>
      <c r="N26" s="47" t="s">
        <v>8200</v>
      </c>
      <c r="O26" s="47" t="s">
        <v>280</v>
      </c>
      <c r="P26" s="48" t="s">
        <v>8201</v>
      </c>
      <c r="T26" s="19" t="s">
        <v>1191</v>
      </c>
    </row>
    <row r="27" spans="1:28" x14ac:dyDescent="0.25">
      <c r="A27" s="19"/>
      <c r="G27" s="40"/>
      <c r="H27" s="28"/>
      <c r="L27" s="42" t="s">
        <v>8182</v>
      </c>
      <c r="M27" s="47" t="s">
        <v>8202</v>
      </c>
      <c r="N27" s="47" t="s">
        <v>8203</v>
      </c>
      <c r="O27" s="47" t="s">
        <v>280</v>
      </c>
      <c r="P27" s="48" t="s">
        <v>3311</v>
      </c>
      <c r="T27" s="19" t="s">
        <v>1004</v>
      </c>
    </row>
    <row r="28" spans="1:28" x14ac:dyDescent="0.25">
      <c r="G28" s="40"/>
      <c r="H28" s="28"/>
      <c r="L28" s="42" t="s">
        <v>87</v>
      </c>
      <c r="M28" s="47" t="s">
        <v>8204</v>
      </c>
      <c r="N28" s="47" t="s">
        <v>109</v>
      </c>
      <c r="O28" s="47" t="s">
        <v>38</v>
      </c>
      <c r="P28" s="48" t="s">
        <v>106</v>
      </c>
      <c r="T28" s="19" t="s">
        <v>8205</v>
      </c>
    </row>
    <row r="29" spans="1:28" x14ac:dyDescent="0.25">
      <c r="G29" s="40"/>
      <c r="H29" s="28"/>
      <c r="L29" s="42" t="s">
        <v>36</v>
      </c>
      <c r="M29" s="47" t="s">
        <v>8204</v>
      </c>
      <c r="N29" s="47" t="s">
        <v>65</v>
      </c>
      <c r="O29" s="47" t="s">
        <v>38</v>
      </c>
      <c r="P29" s="48" t="s">
        <v>63</v>
      </c>
      <c r="T29" s="19" t="s">
        <v>1101</v>
      </c>
    </row>
    <row r="30" spans="1:28" x14ac:dyDescent="0.25">
      <c r="G30" s="40"/>
      <c r="H30" s="28"/>
      <c r="L30" s="42" t="s">
        <v>8182</v>
      </c>
      <c r="M30" s="47" t="s">
        <v>8206</v>
      </c>
      <c r="N30" s="47" t="s">
        <v>386</v>
      </c>
      <c r="O30" s="47" t="s">
        <v>153</v>
      </c>
      <c r="P30" s="48" t="s">
        <v>90</v>
      </c>
      <c r="T30" s="19" t="s">
        <v>8207</v>
      </c>
    </row>
    <row r="31" spans="1:28" x14ac:dyDescent="0.25">
      <c r="G31" s="40"/>
      <c r="H31" s="28"/>
      <c r="L31" s="42" t="s">
        <v>8182</v>
      </c>
      <c r="M31" s="47" t="s">
        <v>8208</v>
      </c>
      <c r="N31" s="47" t="s">
        <v>156</v>
      </c>
      <c r="O31" s="47" t="s">
        <v>153</v>
      </c>
      <c r="P31" s="48" t="s">
        <v>144</v>
      </c>
      <c r="T31" s="19" t="s">
        <v>1115</v>
      </c>
    </row>
    <row r="32" spans="1:28" x14ac:dyDescent="0.25">
      <c r="G32" s="40"/>
      <c r="H32" s="28"/>
      <c r="L32" s="42" t="s">
        <v>8182</v>
      </c>
      <c r="M32" s="47" t="s">
        <v>8209</v>
      </c>
      <c r="N32" s="47" t="s">
        <v>187</v>
      </c>
      <c r="O32" s="47" t="s">
        <v>153</v>
      </c>
      <c r="P32" s="48" t="s">
        <v>180</v>
      </c>
      <c r="T32" s="19" t="s">
        <v>1124</v>
      </c>
    </row>
    <row r="33" spans="7:20" x14ac:dyDescent="0.25">
      <c r="G33" s="40"/>
      <c r="H33" s="28"/>
      <c r="L33" s="42" t="s">
        <v>8182</v>
      </c>
      <c r="M33" s="47" t="s">
        <v>8210</v>
      </c>
      <c r="N33" s="47" t="s">
        <v>448</v>
      </c>
      <c r="O33" s="47" t="s">
        <v>153</v>
      </c>
      <c r="P33" s="48" t="s">
        <v>100</v>
      </c>
      <c r="T33" s="19" t="s">
        <v>94</v>
      </c>
    </row>
    <row r="34" spans="7:20" x14ac:dyDescent="0.25">
      <c r="G34" s="40"/>
      <c r="H34" s="28"/>
      <c r="L34" s="42" t="s">
        <v>87</v>
      </c>
      <c r="M34" s="47" t="s">
        <v>8211</v>
      </c>
      <c r="N34" s="47" t="s">
        <v>213</v>
      </c>
      <c r="O34" s="47" t="s">
        <v>153</v>
      </c>
      <c r="P34" s="48" t="s">
        <v>213</v>
      </c>
    </row>
    <row r="35" spans="7:20" x14ac:dyDescent="0.25">
      <c r="G35" s="40"/>
      <c r="H35" s="28"/>
      <c r="L35" s="42" t="s">
        <v>8182</v>
      </c>
      <c r="M35" s="47" t="s">
        <v>8212</v>
      </c>
      <c r="N35" s="47" t="s">
        <v>1762</v>
      </c>
      <c r="O35" s="47" t="s">
        <v>153</v>
      </c>
      <c r="P35" s="52" t="s">
        <v>235</v>
      </c>
    </row>
    <row r="36" spans="7:20" x14ac:dyDescent="0.25">
      <c r="G36" s="40"/>
      <c r="H36" s="28"/>
      <c r="L36" s="42" t="s">
        <v>8182</v>
      </c>
      <c r="M36" t="s">
        <v>8213</v>
      </c>
      <c r="N36" s="47" t="s">
        <v>181</v>
      </c>
      <c r="O36" s="47" t="s">
        <v>143</v>
      </c>
      <c r="P36" t="s">
        <v>180</v>
      </c>
    </row>
    <row r="37" spans="7:20" x14ac:dyDescent="0.25">
      <c r="G37" s="40"/>
      <c r="H37" s="28"/>
      <c r="L37" s="42" t="s">
        <v>8182</v>
      </c>
      <c r="M37" t="s">
        <v>8214</v>
      </c>
      <c r="N37" s="47" t="s">
        <v>187</v>
      </c>
      <c r="O37" s="47" t="s">
        <v>153</v>
      </c>
      <c r="P37" t="s">
        <v>180</v>
      </c>
    </row>
    <row r="38" spans="7:20" x14ac:dyDescent="0.25">
      <c r="G38" s="40"/>
      <c r="H38" s="28"/>
      <c r="L38" s="42" t="s">
        <v>8182</v>
      </c>
      <c r="M38" t="s">
        <v>8215</v>
      </c>
      <c r="N38" s="47" t="s">
        <v>442</v>
      </c>
      <c r="O38" s="47" t="s">
        <v>143</v>
      </c>
      <c r="P38" t="s">
        <v>100</v>
      </c>
    </row>
    <row r="39" spans="7:20" x14ac:dyDescent="0.25">
      <c r="G39" s="40"/>
      <c r="H39" s="28"/>
      <c r="L39" s="42" t="s">
        <v>8182</v>
      </c>
      <c r="M39" t="s">
        <v>8216</v>
      </c>
      <c r="N39" s="47" t="s">
        <v>448</v>
      </c>
      <c r="O39" s="47" t="s">
        <v>153</v>
      </c>
      <c r="P39" t="s">
        <v>100</v>
      </c>
    </row>
    <row r="40" spans="7:20" x14ac:dyDescent="0.25">
      <c r="G40" s="40"/>
      <c r="H40" s="28"/>
      <c r="L40" s="42" t="s">
        <v>8182</v>
      </c>
      <c r="M40" t="s">
        <v>8217</v>
      </c>
      <c r="N40" s="47" t="s">
        <v>147</v>
      </c>
      <c r="O40" s="47" t="s">
        <v>143</v>
      </c>
      <c r="P40" t="s">
        <v>144</v>
      </c>
    </row>
    <row r="41" spans="7:20" x14ac:dyDescent="0.25">
      <c r="G41" s="40"/>
      <c r="H41" s="28"/>
      <c r="L41" s="42" t="s">
        <v>8182</v>
      </c>
      <c r="M41" t="s">
        <v>8218</v>
      </c>
      <c r="N41" s="47" t="s">
        <v>156</v>
      </c>
      <c r="O41" s="47" t="s">
        <v>153</v>
      </c>
      <c r="P41" t="s">
        <v>144</v>
      </c>
    </row>
    <row r="42" spans="7:20" x14ac:dyDescent="0.25">
      <c r="G42" s="40"/>
      <c r="H42" s="28"/>
      <c r="L42" s="42" t="s">
        <v>8182</v>
      </c>
      <c r="M42" t="s">
        <v>8219</v>
      </c>
      <c r="N42" s="47" t="s">
        <v>380</v>
      </c>
      <c r="O42" s="47" t="s">
        <v>143</v>
      </c>
      <c r="P42" t="s">
        <v>90</v>
      </c>
    </row>
    <row r="43" spans="7:20" x14ac:dyDescent="0.25">
      <c r="G43" s="40"/>
      <c r="H43" s="28"/>
      <c r="L43" s="42" t="s">
        <v>8182</v>
      </c>
      <c r="M43" t="s">
        <v>8220</v>
      </c>
      <c r="N43" s="47" t="s">
        <v>386</v>
      </c>
      <c r="O43" s="47" t="s">
        <v>153</v>
      </c>
      <c r="P43" t="s">
        <v>90</v>
      </c>
    </row>
    <row r="44" spans="7:20" x14ac:dyDescent="0.25">
      <c r="G44" s="40"/>
      <c r="H44" s="28"/>
      <c r="L44" s="42" t="s">
        <v>8182</v>
      </c>
      <c r="M44" t="s">
        <v>8221</v>
      </c>
      <c r="N44" s="47" t="s">
        <v>1762</v>
      </c>
      <c r="O44" s="47" t="s">
        <v>153</v>
      </c>
      <c r="P44" t="s">
        <v>235</v>
      </c>
    </row>
    <row r="45" spans="7:20" x14ac:dyDescent="0.25">
      <c r="G45" s="40"/>
      <c r="H45" s="28"/>
      <c r="L45" s="42" t="s">
        <v>8222</v>
      </c>
      <c r="M45" t="s">
        <v>8223</v>
      </c>
      <c r="N45" s="47" t="s">
        <v>599</v>
      </c>
      <c r="O45" s="47" t="s">
        <v>153</v>
      </c>
      <c r="P45" t="s">
        <v>598</v>
      </c>
    </row>
    <row r="46" spans="7:20" x14ac:dyDescent="0.25">
      <c r="G46" s="40"/>
      <c r="H46" s="28"/>
      <c r="L46" s="42" t="s">
        <v>8222</v>
      </c>
      <c r="M46" t="s">
        <v>8224</v>
      </c>
      <c r="N46" s="47" t="s">
        <v>1264</v>
      </c>
      <c r="O46" s="47" t="s">
        <v>166</v>
      </c>
      <c r="P46" t="s">
        <v>1263</v>
      </c>
    </row>
    <row r="47" spans="7:20" x14ac:dyDescent="0.25">
      <c r="G47" s="40"/>
      <c r="H47" s="28"/>
      <c r="L47" s="42" t="s">
        <v>8222</v>
      </c>
      <c r="M47" t="s">
        <v>8225</v>
      </c>
      <c r="N47" s="47" t="s">
        <v>872</v>
      </c>
      <c r="O47" s="47" t="s">
        <v>166</v>
      </c>
      <c r="P47" t="s">
        <v>216</v>
      </c>
    </row>
    <row r="48" spans="7:20" x14ac:dyDescent="0.25">
      <c r="G48" s="40"/>
      <c r="H48" s="28"/>
      <c r="L48" s="42" t="s">
        <v>8222</v>
      </c>
      <c r="M48" t="s">
        <v>8226</v>
      </c>
      <c r="N48" s="47" t="s">
        <v>862</v>
      </c>
      <c r="O48" s="47" t="s">
        <v>166</v>
      </c>
      <c r="P48" t="s">
        <v>80</v>
      </c>
    </row>
    <row r="49" spans="12:16" x14ac:dyDescent="0.25">
      <c r="L49" s="42" t="s">
        <v>8222</v>
      </c>
      <c r="M49" t="s">
        <v>8227</v>
      </c>
      <c r="N49" s="47" t="s">
        <v>858</v>
      </c>
      <c r="O49" s="47" t="s">
        <v>166</v>
      </c>
      <c r="P49" t="s">
        <v>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9"/>
  <sheetViews>
    <sheetView workbookViewId="0"/>
  </sheetViews>
  <sheetFormatPr defaultRowHeight="15" x14ac:dyDescent="0.25"/>
  <cols>
    <col min="1" max="1" width="22.42578125" customWidth="1"/>
    <col min="2" max="2" width="15.28515625" customWidth="1"/>
    <col min="3" max="3" width="29.42578125" customWidth="1"/>
    <col min="4" max="4" width="31.7109375" customWidth="1"/>
    <col min="5" max="5" width="17.140625" customWidth="1"/>
    <col min="6" max="6" width="35.85546875" customWidth="1"/>
    <col min="7" max="7" width="41.85546875" customWidth="1"/>
    <col min="8" max="8" width="9.140625" customWidth="1"/>
    <col min="9" max="9" width="19.5703125" customWidth="1"/>
    <col min="10" max="10" width="20.85546875" customWidth="1"/>
    <col min="11" max="11" width="29.28515625" customWidth="1"/>
  </cols>
  <sheetData>
    <row r="1" spans="1:11" ht="30" customHeight="1" x14ac:dyDescent="0.25">
      <c r="A1" s="52" t="s">
        <v>5</v>
      </c>
      <c r="B1" s="53" t="s">
        <v>7</v>
      </c>
      <c r="C1" s="52" t="s">
        <v>8</v>
      </c>
      <c r="D1" s="52" t="s">
        <v>9</v>
      </c>
      <c r="E1" s="52" t="s">
        <v>10</v>
      </c>
      <c r="F1" s="52" t="s">
        <v>14</v>
      </c>
      <c r="G1" s="14" t="s">
        <v>8228</v>
      </c>
      <c r="I1" s="52" t="s">
        <v>8229</v>
      </c>
      <c r="J1" s="52" t="s">
        <v>8230</v>
      </c>
      <c r="K1" s="52" t="s">
        <v>8231</v>
      </c>
    </row>
    <row r="2" spans="1:11" x14ac:dyDescent="0.25">
      <c r="A2" s="52" t="s">
        <v>8232</v>
      </c>
      <c r="B2" s="52" t="s">
        <v>153</v>
      </c>
      <c r="C2" s="52" t="s">
        <v>281</v>
      </c>
      <c r="D2" t="s">
        <v>154</v>
      </c>
      <c r="E2" t="s">
        <v>155</v>
      </c>
      <c r="F2" s="52" t="s">
        <v>8233</v>
      </c>
      <c r="I2" s="52" t="s">
        <v>5</v>
      </c>
      <c r="J2" s="52" t="s">
        <v>8232</v>
      </c>
      <c r="K2" s="52" t="s">
        <v>8234</v>
      </c>
    </row>
    <row r="3" spans="1:11" x14ac:dyDescent="0.25">
      <c r="A3" t="s">
        <v>8232</v>
      </c>
      <c r="B3" t="s">
        <v>153</v>
      </c>
      <c r="C3" t="s">
        <v>479</v>
      </c>
      <c r="D3" t="s">
        <v>154</v>
      </c>
      <c r="E3" t="s">
        <v>155</v>
      </c>
      <c r="F3" t="s">
        <v>480</v>
      </c>
      <c r="I3" s="52" t="s">
        <v>5</v>
      </c>
      <c r="J3" t="s">
        <v>8235</v>
      </c>
      <c r="K3" t="s">
        <v>8236</v>
      </c>
    </row>
    <row r="4" spans="1:11" x14ac:dyDescent="0.25">
      <c r="A4" s="52" t="s">
        <v>8232</v>
      </c>
      <c r="B4" t="s">
        <v>153</v>
      </c>
      <c r="C4" t="s">
        <v>622</v>
      </c>
      <c r="D4" t="s">
        <v>154</v>
      </c>
      <c r="E4" t="s">
        <v>155</v>
      </c>
      <c r="F4" t="s">
        <v>623</v>
      </c>
      <c r="I4" s="52" t="s">
        <v>10</v>
      </c>
      <c r="J4" t="s">
        <v>8237</v>
      </c>
      <c r="K4" t="s">
        <v>8238</v>
      </c>
    </row>
    <row r="5" spans="1:11" x14ac:dyDescent="0.25">
      <c r="A5" s="52" t="s">
        <v>8232</v>
      </c>
      <c r="B5" t="s">
        <v>153</v>
      </c>
      <c r="C5" t="s">
        <v>834</v>
      </c>
      <c r="D5" t="s">
        <v>154</v>
      </c>
      <c r="E5" t="s">
        <v>155</v>
      </c>
      <c r="F5" t="s">
        <v>835</v>
      </c>
      <c r="I5" s="52" t="s">
        <v>10</v>
      </c>
      <c r="J5" t="s">
        <v>8239</v>
      </c>
      <c r="K5" t="s">
        <v>8240</v>
      </c>
    </row>
    <row r="6" spans="1:11" x14ac:dyDescent="0.25">
      <c r="A6" s="52" t="s">
        <v>8232</v>
      </c>
      <c r="B6" t="s">
        <v>153</v>
      </c>
      <c r="C6" t="s">
        <v>8241</v>
      </c>
      <c r="D6" t="s">
        <v>154</v>
      </c>
      <c r="E6" t="s">
        <v>155</v>
      </c>
      <c r="F6" t="s">
        <v>8242</v>
      </c>
      <c r="I6" s="52" t="s">
        <v>5</v>
      </c>
      <c r="J6" t="s">
        <v>8243</v>
      </c>
      <c r="K6" t="s">
        <v>8244</v>
      </c>
    </row>
    <row r="7" spans="1:11" x14ac:dyDescent="0.25">
      <c r="A7" s="52" t="s">
        <v>8232</v>
      </c>
      <c r="B7" t="s">
        <v>153</v>
      </c>
      <c r="C7" t="s">
        <v>598</v>
      </c>
      <c r="D7" t="s">
        <v>154</v>
      </c>
      <c r="E7" t="s">
        <v>155</v>
      </c>
      <c r="F7" t="s">
        <v>599</v>
      </c>
      <c r="I7" s="52" t="s">
        <v>10</v>
      </c>
      <c r="J7" t="s">
        <v>8245</v>
      </c>
      <c r="K7" t="s">
        <v>8246</v>
      </c>
    </row>
    <row r="8" spans="1:11" x14ac:dyDescent="0.25">
      <c r="A8" s="52" t="s">
        <v>8232</v>
      </c>
      <c r="B8" s="52" t="s">
        <v>153</v>
      </c>
      <c r="C8" s="52" t="s">
        <v>8173</v>
      </c>
      <c r="D8" s="52" t="s">
        <v>154</v>
      </c>
      <c r="E8" s="52" t="s">
        <v>155</v>
      </c>
      <c r="F8" s="52" t="s">
        <v>8172</v>
      </c>
      <c r="I8" s="52" t="s">
        <v>9</v>
      </c>
      <c r="J8" s="52" t="s">
        <v>8247</v>
      </c>
      <c r="K8" t="s">
        <v>8248</v>
      </c>
    </row>
    <row r="9" spans="1:11" x14ac:dyDescent="0.25">
      <c r="A9" t="s">
        <v>8232</v>
      </c>
      <c r="B9" s="52" t="s">
        <v>153</v>
      </c>
      <c r="C9" s="52" t="s">
        <v>8249</v>
      </c>
      <c r="D9" s="52" t="s">
        <v>154</v>
      </c>
      <c r="E9" s="52" t="s">
        <v>155</v>
      </c>
      <c r="F9" s="52" t="s">
        <v>8250</v>
      </c>
      <c r="I9" s="52" t="s">
        <v>10</v>
      </c>
      <c r="J9" t="s">
        <v>8251</v>
      </c>
      <c r="K9" t="s">
        <v>8252</v>
      </c>
    </row>
    <row r="10" spans="1:11" ht="30" customHeight="1" x14ac:dyDescent="0.25">
      <c r="A10" s="52" t="s">
        <v>8232</v>
      </c>
      <c r="B10" t="s">
        <v>38</v>
      </c>
      <c r="C10" t="s">
        <v>1053</v>
      </c>
      <c r="D10" t="s">
        <v>40</v>
      </c>
      <c r="E10" t="s">
        <v>41</v>
      </c>
      <c r="F10" t="s">
        <v>5228</v>
      </c>
      <c r="G10" s="14" t="s">
        <v>8253</v>
      </c>
      <c r="I10" s="52" t="s">
        <v>9</v>
      </c>
      <c r="J10" t="s">
        <v>8254</v>
      </c>
      <c r="K10" t="s">
        <v>8255</v>
      </c>
    </row>
    <row r="11" spans="1:11" x14ac:dyDescent="0.25">
      <c r="A11" s="52" t="s">
        <v>8232</v>
      </c>
      <c r="B11" t="s">
        <v>38</v>
      </c>
      <c r="C11" t="s">
        <v>1087</v>
      </c>
      <c r="D11" t="s">
        <v>40</v>
      </c>
      <c r="E11" t="s">
        <v>41</v>
      </c>
      <c r="F11" t="s">
        <v>1088</v>
      </c>
      <c r="I11" s="52" t="s">
        <v>9</v>
      </c>
      <c r="J11" t="s">
        <v>8256</v>
      </c>
      <c r="K11" t="s">
        <v>8257</v>
      </c>
    </row>
    <row r="12" spans="1:11" x14ac:dyDescent="0.25">
      <c r="A12" t="s">
        <v>8232</v>
      </c>
      <c r="B12" s="52" t="s">
        <v>38</v>
      </c>
      <c r="C12" s="52" t="s">
        <v>8258</v>
      </c>
      <c r="D12" s="52" t="s">
        <v>40</v>
      </c>
      <c r="E12" s="52" t="s">
        <v>41</v>
      </c>
      <c r="F12" s="52" t="s">
        <v>8259</v>
      </c>
      <c r="G12" s="53"/>
    </row>
    <row r="13" spans="1:11" x14ac:dyDescent="0.25">
      <c r="A13" s="52" t="s">
        <v>8232</v>
      </c>
      <c r="B13" t="s">
        <v>38</v>
      </c>
      <c r="C13" t="s">
        <v>1114</v>
      </c>
      <c r="D13" t="s">
        <v>69</v>
      </c>
      <c r="E13" t="s">
        <v>41</v>
      </c>
      <c r="F13" t="s">
        <v>1116</v>
      </c>
    </row>
    <row r="14" spans="1:11" x14ac:dyDescent="0.25">
      <c r="A14" t="s">
        <v>8232</v>
      </c>
      <c r="B14" s="52" t="s">
        <v>38</v>
      </c>
      <c r="C14" s="52" t="s">
        <v>8260</v>
      </c>
      <c r="D14" t="s">
        <v>69</v>
      </c>
      <c r="E14" s="52" t="s">
        <v>41</v>
      </c>
      <c r="F14" s="52" t="s">
        <v>8261</v>
      </c>
    </row>
    <row r="15" spans="1:11" x14ac:dyDescent="0.25">
      <c r="A15" t="s">
        <v>8232</v>
      </c>
      <c r="B15" s="52" t="s">
        <v>38</v>
      </c>
      <c r="C15" s="52" t="s">
        <v>8262</v>
      </c>
      <c r="D15" t="s">
        <v>69</v>
      </c>
      <c r="E15" s="52" t="s">
        <v>41</v>
      </c>
      <c r="F15" s="52" t="s">
        <v>8263</v>
      </c>
    </row>
    <row r="16" spans="1:11" x14ac:dyDescent="0.25">
      <c r="A16" s="52" t="s">
        <v>8232</v>
      </c>
      <c r="B16" t="s">
        <v>38</v>
      </c>
      <c r="C16" t="s">
        <v>8264</v>
      </c>
      <c r="D16" t="s">
        <v>69</v>
      </c>
      <c r="E16" t="s">
        <v>41</v>
      </c>
      <c r="F16" t="s">
        <v>8265</v>
      </c>
    </row>
    <row r="17" spans="1:7" x14ac:dyDescent="0.25">
      <c r="A17" s="52" t="s">
        <v>8232</v>
      </c>
      <c r="B17" t="s">
        <v>38</v>
      </c>
      <c r="C17" t="s">
        <v>5224</v>
      </c>
      <c r="D17" t="s">
        <v>40</v>
      </c>
      <c r="E17" t="s">
        <v>41</v>
      </c>
      <c r="F17" t="s">
        <v>5225</v>
      </c>
    </row>
    <row r="18" spans="1:7" x14ac:dyDescent="0.25">
      <c r="A18" s="52" t="s">
        <v>8232</v>
      </c>
      <c r="B18" t="s">
        <v>38</v>
      </c>
      <c r="C18" t="s">
        <v>8266</v>
      </c>
      <c r="D18" t="s">
        <v>40</v>
      </c>
      <c r="E18" t="s">
        <v>41</v>
      </c>
      <c r="F18" t="s">
        <v>8267</v>
      </c>
    </row>
    <row r="19" spans="1:7" x14ac:dyDescent="0.25">
      <c r="A19" t="s">
        <v>8232</v>
      </c>
      <c r="B19" s="52" t="s">
        <v>38</v>
      </c>
      <c r="C19" s="54" t="s">
        <v>8268</v>
      </c>
      <c r="D19" t="s">
        <v>69</v>
      </c>
      <c r="E19" s="52" t="s">
        <v>41</v>
      </c>
      <c r="F19" s="52" t="s">
        <v>8269</v>
      </c>
    </row>
    <row r="20" spans="1:7" x14ac:dyDescent="0.25">
      <c r="A20" t="s">
        <v>8232</v>
      </c>
      <c r="B20" s="52" t="s">
        <v>38</v>
      </c>
      <c r="C20" s="55" t="s">
        <v>8270</v>
      </c>
      <c r="D20" t="s">
        <v>69</v>
      </c>
      <c r="E20" s="52" t="s">
        <v>41</v>
      </c>
      <c r="F20" s="52" t="s">
        <v>8271</v>
      </c>
    </row>
    <row r="21" spans="1:7" x14ac:dyDescent="0.25">
      <c r="A21" t="s">
        <v>8232</v>
      </c>
      <c r="B21" s="52" t="s">
        <v>38</v>
      </c>
      <c r="C21" s="55" t="s">
        <v>8272</v>
      </c>
      <c r="D21" t="s">
        <v>69</v>
      </c>
      <c r="E21" s="52" t="s">
        <v>41</v>
      </c>
      <c r="F21" s="52" t="s">
        <v>8273</v>
      </c>
    </row>
    <row r="22" spans="1:7" x14ac:dyDescent="0.25">
      <c r="A22" t="s">
        <v>8232</v>
      </c>
      <c r="B22" s="52" t="s">
        <v>38</v>
      </c>
      <c r="C22" s="55" t="s">
        <v>1100</v>
      </c>
      <c r="D22" t="s">
        <v>40</v>
      </c>
      <c r="E22" t="s">
        <v>41</v>
      </c>
      <c r="F22" s="52" t="s">
        <v>1102</v>
      </c>
    </row>
    <row r="23" spans="1:7" ht="30" customHeight="1" x14ac:dyDescent="0.25">
      <c r="A23" s="52" t="s">
        <v>8232</v>
      </c>
      <c r="B23" s="52" t="s">
        <v>280</v>
      </c>
      <c r="C23" s="52" t="s">
        <v>281</v>
      </c>
      <c r="D23" t="s">
        <v>282</v>
      </c>
      <c r="E23" t="s">
        <v>8237</v>
      </c>
      <c r="F23" s="52" t="s">
        <v>284</v>
      </c>
      <c r="G23" s="53" t="s">
        <v>8274</v>
      </c>
    </row>
    <row r="24" spans="1:7" x14ac:dyDescent="0.25">
      <c r="A24" s="52" t="s">
        <v>8232</v>
      </c>
      <c r="B24" s="52" t="s">
        <v>280</v>
      </c>
      <c r="C24" s="52" t="s">
        <v>3311</v>
      </c>
      <c r="D24" t="s">
        <v>282</v>
      </c>
      <c r="E24" t="s">
        <v>8237</v>
      </c>
      <c r="F24" s="52" t="s">
        <v>3312</v>
      </c>
      <c r="G24" s="53" t="s">
        <v>8275</v>
      </c>
    </row>
    <row r="25" spans="1:7" x14ac:dyDescent="0.25">
      <c r="A25" s="52" t="s">
        <v>8232</v>
      </c>
      <c r="B25" s="52" t="s">
        <v>280</v>
      </c>
      <c r="C25" s="52" t="s">
        <v>1263</v>
      </c>
      <c r="D25" s="52" t="s">
        <v>282</v>
      </c>
      <c r="E25" t="s">
        <v>8237</v>
      </c>
      <c r="F25" s="52" t="s">
        <v>1264</v>
      </c>
    </row>
    <row r="26" spans="1:7" x14ac:dyDescent="0.25">
      <c r="A26" s="52" t="s">
        <v>8232</v>
      </c>
      <c r="B26" s="52" t="s">
        <v>280</v>
      </c>
      <c r="C26" s="52" t="s">
        <v>8276</v>
      </c>
      <c r="D26" t="s">
        <v>282</v>
      </c>
      <c r="E26" t="s">
        <v>8237</v>
      </c>
      <c r="F26" s="52" t="s">
        <v>8277</v>
      </c>
    </row>
    <row r="27" spans="1:7" ht="45" customHeight="1" x14ac:dyDescent="0.25">
      <c r="A27" s="52" t="s">
        <v>8232</v>
      </c>
      <c r="B27" s="52" t="s">
        <v>280</v>
      </c>
      <c r="C27" s="52" t="s">
        <v>2087</v>
      </c>
      <c r="D27" s="52" t="s">
        <v>282</v>
      </c>
      <c r="E27" t="s">
        <v>8237</v>
      </c>
      <c r="F27" s="52" t="s">
        <v>8278</v>
      </c>
      <c r="G27" s="53" t="s">
        <v>8279</v>
      </c>
    </row>
    <row r="28" spans="1:7" x14ac:dyDescent="0.25">
      <c r="A28" s="52" t="s">
        <v>8232</v>
      </c>
      <c r="B28" s="52" t="s">
        <v>280</v>
      </c>
      <c r="C28" s="52" t="s">
        <v>1147</v>
      </c>
      <c r="D28" s="52" t="s">
        <v>282</v>
      </c>
      <c r="E28" t="s">
        <v>8237</v>
      </c>
      <c r="F28" s="52" t="s">
        <v>1148</v>
      </c>
    </row>
    <row r="29" spans="1:7" x14ac:dyDescent="0.25">
      <c r="A29" s="52" t="s">
        <v>8232</v>
      </c>
      <c r="B29" t="s">
        <v>143</v>
      </c>
      <c r="C29" t="s">
        <v>1087</v>
      </c>
      <c r="D29" t="s">
        <v>745</v>
      </c>
      <c r="E29" t="s">
        <v>262</v>
      </c>
      <c r="F29" t="s">
        <v>1091</v>
      </c>
    </row>
    <row r="30" spans="1:7" x14ac:dyDescent="0.25">
      <c r="A30" s="52" t="s">
        <v>8232</v>
      </c>
      <c r="B30" t="s">
        <v>143</v>
      </c>
      <c r="C30" t="s">
        <v>2232</v>
      </c>
      <c r="D30" t="s">
        <v>8256</v>
      </c>
      <c r="E30" t="s">
        <v>8239</v>
      </c>
      <c r="F30" t="s">
        <v>2233</v>
      </c>
    </row>
    <row r="31" spans="1:7" x14ac:dyDescent="0.25">
      <c r="A31" s="52" t="s">
        <v>8232</v>
      </c>
      <c r="B31" t="s">
        <v>143</v>
      </c>
      <c r="C31" t="s">
        <v>2546</v>
      </c>
      <c r="D31" t="s">
        <v>8256</v>
      </c>
      <c r="E31" t="s">
        <v>8239</v>
      </c>
      <c r="F31" t="s">
        <v>2547</v>
      </c>
    </row>
    <row r="32" spans="1:7" x14ac:dyDescent="0.25">
      <c r="A32" s="52" t="s">
        <v>8232</v>
      </c>
      <c r="B32" t="s">
        <v>143</v>
      </c>
      <c r="C32" t="s">
        <v>1285</v>
      </c>
      <c r="D32" t="s">
        <v>8256</v>
      </c>
      <c r="E32" t="s">
        <v>8239</v>
      </c>
      <c r="F32" t="s">
        <v>1286</v>
      </c>
    </row>
    <row r="33" spans="1:7" x14ac:dyDescent="0.25">
      <c r="A33" s="52" t="s">
        <v>8232</v>
      </c>
      <c r="B33" t="s">
        <v>143</v>
      </c>
      <c r="C33" t="s">
        <v>1289</v>
      </c>
      <c r="D33" t="s">
        <v>8256</v>
      </c>
      <c r="E33" t="s">
        <v>8239</v>
      </c>
      <c r="F33" t="s">
        <v>1290</v>
      </c>
    </row>
    <row r="34" spans="1:7" x14ac:dyDescent="0.25">
      <c r="A34" s="52" t="s">
        <v>8232</v>
      </c>
      <c r="B34" s="52" t="s">
        <v>143</v>
      </c>
      <c r="C34" s="52" t="s">
        <v>2087</v>
      </c>
      <c r="D34" t="s">
        <v>8256</v>
      </c>
      <c r="E34" t="s">
        <v>8239</v>
      </c>
      <c r="F34" s="52" t="s">
        <v>2088</v>
      </c>
      <c r="G34" s="53" t="s">
        <v>8280</v>
      </c>
    </row>
    <row r="35" spans="1:7" x14ac:dyDescent="0.25">
      <c r="A35" s="52" t="s">
        <v>8232</v>
      </c>
      <c r="B35" s="52" t="s">
        <v>143</v>
      </c>
      <c r="C35" s="52" t="s">
        <v>1147</v>
      </c>
      <c r="D35" t="s">
        <v>8256</v>
      </c>
      <c r="E35" t="s">
        <v>8239</v>
      </c>
      <c r="F35" s="52" t="s">
        <v>2091</v>
      </c>
      <c r="G35" s="53" t="s">
        <v>8280</v>
      </c>
    </row>
    <row r="36" spans="1:7" x14ac:dyDescent="0.25">
      <c r="A36" t="s">
        <v>8232</v>
      </c>
      <c r="B36" s="52" t="s">
        <v>166</v>
      </c>
      <c r="C36" s="52" t="s">
        <v>310</v>
      </c>
      <c r="D36" s="52" t="s">
        <v>167</v>
      </c>
      <c r="E36" s="52" t="s">
        <v>41</v>
      </c>
      <c r="F36" s="52" t="s">
        <v>311</v>
      </c>
    </row>
    <row r="37" spans="1:7" x14ac:dyDescent="0.25">
      <c r="A37" s="52" t="s">
        <v>8232</v>
      </c>
      <c r="B37" s="52" t="s">
        <v>166</v>
      </c>
      <c r="C37" s="52" t="s">
        <v>281</v>
      </c>
      <c r="D37" s="52" t="s">
        <v>167</v>
      </c>
      <c r="E37" s="52" t="s">
        <v>41</v>
      </c>
      <c r="F37" s="52" t="s">
        <v>858</v>
      </c>
    </row>
    <row r="38" spans="1:7" x14ac:dyDescent="0.25">
      <c r="A38" s="52" t="s">
        <v>8232</v>
      </c>
      <c r="B38" s="52" t="s">
        <v>166</v>
      </c>
      <c r="C38" s="52" t="s">
        <v>8281</v>
      </c>
      <c r="D38" s="52" t="s">
        <v>167</v>
      </c>
      <c r="E38" s="52" t="s">
        <v>41</v>
      </c>
      <c r="F38" t="s">
        <v>8282</v>
      </c>
    </row>
    <row r="39" spans="1:7" x14ac:dyDescent="0.25">
      <c r="A39" t="s">
        <v>8232</v>
      </c>
      <c r="B39" s="52" t="s">
        <v>166</v>
      </c>
      <c r="C39" s="52" t="s">
        <v>479</v>
      </c>
      <c r="D39" s="52" t="s">
        <v>167</v>
      </c>
      <c r="E39" s="52" t="s">
        <v>41</v>
      </c>
      <c r="F39" s="52" t="s">
        <v>487</v>
      </c>
    </row>
    <row r="40" spans="1:7" ht="30" customHeight="1" x14ac:dyDescent="0.25">
      <c r="A40" s="52" t="s">
        <v>8232</v>
      </c>
      <c r="B40" s="52" t="s">
        <v>166</v>
      </c>
      <c r="C40" s="52" t="s">
        <v>8283</v>
      </c>
      <c r="D40" s="52" t="s">
        <v>167</v>
      </c>
      <c r="E40" s="52" t="s">
        <v>41</v>
      </c>
      <c r="F40" s="52" t="s">
        <v>8284</v>
      </c>
      <c r="G40" s="53" t="s">
        <v>8285</v>
      </c>
    </row>
    <row r="41" spans="1:7" ht="30" customHeight="1" x14ac:dyDescent="0.25">
      <c r="A41" s="52" t="s">
        <v>8232</v>
      </c>
      <c r="B41" s="52" t="s">
        <v>166</v>
      </c>
      <c r="C41" s="52" t="s">
        <v>8286</v>
      </c>
      <c r="D41" s="52" t="s">
        <v>167</v>
      </c>
      <c r="E41" s="52" t="s">
        <v>41</v>
      </c>
      <c r="F41" s="52" t="s">
        <v>8287</v>
      </c>
      <c r="G41" s="53" t="s">
        <v>8288</v>
      </c>
    </row>
    <row r="42" spans="1:7" x14ac:dyDescent="0.25">
      <c r="A42" s="52" t="s">
        <v>8232</v>
      </c>
      <c r="B42" s="52" t="s">
        <v>166</v>
      </c>
      <c r="C42" s="52" t="s">
        <v>1263</v>
      </c>
      <c r="D42" s="52" t="s">
        <v>167</v>
      </c>
      <c r="E42" s="52" t="s">
        <v>41</v>
      </c>
      <c r="F42" s="52" t="s">
        <v>1264</v>
      </c>
    </row>
    <row r="43" spans="1:7" x14ac:dyDescent="0.25">
      <c r="A43" t="s">
        <v>8232</v>
      </c>
      <c r="B43" t="s">
        <v>166</v>
      </c>
      <c r="C43" t="s">
        <v>1131</v>
      </c>
      <c r="D43" t="s">
        <v>167</v>
      </c>
      <c r="E43" t="s">
        <v>41</v>
      </c>
      <c r="F43" t="s">
        <v>1132</v>
      </c>
    </row>
    <row r="44" spans="1:7" x14ac:dyDescent="0.25">
      <c r="A44" s="52" t="s">
        <v>8232</v>
      </c>
      <c r="B44" t="s">
        <v>166</v>
      </c>
      <c r="C44" t="s">
        <v>622</v>
      </c>
      <c r="D44" s="52" t="s">
        <v>167</v>
      </c>
      <c r="E44" s="52" t="s">
        <v>41</v>
      </c>
      <c r="F44" t="s">
        <v>1094</v>
      </c>
    </row>
    <row r="45" spans="1:7" x14ac:dyDescent="0.25">
      <c r="A45" s="52" t="s">
        <v>8232</v>
      </c>
      <c r="B45" t="s">
        <v>166</v>
      </c>
      <c r="C45" t="s">
        <v>834</v>
      </c>
      <c r="D45" s="52" t="s">
        <v>167</v>
      </c>
      <c r="E45" s="52" t="s">
        <v>41</v>
      </c>
      <c r="F45" t="s">
        <v>1097</v>
      </c>
    </row>
    <row r="46" spans="1:7" x14ac:dyDescent="0.25">
      <c r="A46" s="52" t="s">
        <v>8232</v>
      </c>
      <c r="B46" s="52" t="s">
        <v>166</v>
      </c>
      <c r="C46" s="52" t="s">
        <v>80</v>
      </c>
      <c r="D46" s="52" t="s">
        <v>167</v>
      </c>
      <c r="E46" s="52" t="s">
        <v>41</v>
      </c>
      <c r="F46" s="52" t="s">
        <v>862</v>
      </c>
    </row>
    <row r="47" spans="1:7" x14ac:dyDescent="0.25">
      <c r="A47" s="52" t="s">
        <v>8232</v>
      </c>
      <c r="B47" s="52" t="s">
        <v>166</v>
      </c>
      <c r="C47" s="52" t="s">
        <v>1105</v>
      </c>
      <c r="D47" t="s">
        <v>167</v>
      </c>
      <c r="E47" t="s">
        <v>41</v>
      </c>
      <c r="F47" s="52" t="s">
        <v>1106</v>
      </c>
    </row>
    <row r="48" spans="1:7" x14ac:dyDescent="0.25">
      <c r="A48" s="52" t="s">
        <v>8232</v>
      </c>
      <c r="B48" s="52" t="s">
        <v>166</v>
      </c>
      <c r="C48" s="52" t="s">
        <v>216</v>
      </c>
      <c r="D48" s="52" t="s">
        <v>167</v>
      </c>
      <c r="E48" s="52" t="s">
        <v>41</v>
      </c>
      <c r="F48" s="52" t="s">
        <v>872</v>
      </c>
    </row>
    <row r="49" spans="1:12" x14ac:dyDescent="0.25">
      <c r="A49" t="s">
        <v>8232</v>
      </c>
      <c r="B49" t="s">
        <v>166</v>
      </c>
      <c r="C49" t="s">
        <v>8249</v>
      </c>
      <c r="D49" s="52" t="s">
        <v>167</v>
      </c>
      <c r="E49" s="52" t="s">
        <v>41</v>
      </c>
      <c r="F49" t="s">
        <v>8289</v>
      </c>
    </row>
    <row r="50" spans="1:12" x14ac:dyDescent="0.25">
      <c r="A50" t="s">
        <v>8232</v>
      </c>
      <c r="B50" t="s">
        <v>89</v>
      </c>
      <c r="C50" t="s">
        <v>1131</v>
      </c>
      <c r="D50" s="52" t="s">
        <v>8247</v>
      </c>
      <c r="E50" t="s">
        <v>8251</v>
      </c>
      <c r="F50" t="s">
        <v>1136</v>
      </c>
    </row>
    <row r="51" spans="1:12" x14ac:dyDescent="0.25">
      <c r="A51" t="s">
        <v>8232</v>
      </c>
      <c r="B51" t="s">
        <v>89</v>
      </c>
      <c r="C51" t="s">
        <v>1131</v>
      </c>
      <c r="D51" s="52" t="s">
        <v>1571</v>
      </c>
      <c r="E51" s="52" t="s">
        <v>1572</v>
      </c>
      <c r="F51" t="s">
        <v>1136</v>
      </c>
    </row>
    <row r="52" spans="1:12" x14ac:dyDescent="0.25">
      <c r="A52" t="s">
        <v>8232</v>
      </c>
      <c r="B52" s="52" t="s">
        <v>89</v>
      </c>
      <c r="C52" s="52" t="s">
        <v>8290</v>
      </c>
      <c r="D52" s="52" t="s">
        <v>8247</v>
      </c>
      <c r="E52" t="s">
        <v>8251</v>
      </c>
      <c r="F52" s="52" t="s">
        <v>8291</v>
      </c>
      <c r="H52" s="52"/>
      <c r="I52" s="52"/>
      <c r="J52" s="52"/>
      <c r="K52" s="52"/>
      <c r="L52" s="52"/>
    </row>
    <row r="53" spans="1:12" x14ac:dyDescent="0.25">
      <c r="A53" t="s">
        <v>8235</v>
      </c>
      <c r="B53" s="52" t="s">
        <v>153</v>
      </c>
      <c r="C53" s="52" t="s">
        <v>235</v>
      </c>
      <c r="D53" s="56" t="s">
        <v>154</v>
      </c>
      <c r="E53" s="56" t="s">
        <v>155</v>
      </c>
      <c r="F53" s="52" t="s">
        <v>1762</v>
      </c>
      <c r="H53" s="52"/>
    </row>
    <row r="54" spans="1:12" x14ac:dyDescent="0.25">
      <c r="A54" t="s">
        <v>8235</v>
      </c>
      <c r="B54" s="52" t="s">
        <v>153</v>
      </c>
      <c r="C54" s="52" t="s">
        <v>144</v>
      </c>
      <c r="D54" s="52" t="s">
        <v>154</v>
      </c>
      <c r="E54" s="52" t="s">
        <v>155</v>
      </c>
      <c r="F54" s="52" t="s">
        <v>156</v>
      </c>
    </row>
    <row r="55" spans="1:12" x14ac:dyDescent="0.25">
      <c r="A55" t="s">
        <v>8235</v>
      </c>
      <c r="B55" s="52" t="s">
        <v>153</v>
      </c>
      <c r="C55" s="52" t="s">
        <v>90</v>
      </c>
      <c r="D55" s="56" t="s">
        <v>154</v>
      </c>
      <c r="E55" s="56" t="s">
        <v>155</v>
      </c>
      <c r="F55" s="52" t="s">
        <v>386</v>
      </c>
    </row>
    <row r="56" spans="1:12" x14ac:dyDescent="0.25">
      <c r="A56" t="s">
        <v>8235</v>
      </c>
      <c r="B56" s="52" t="s">
        <v>153</v>
      </c>
      <c r="C56" s="52" t="s">
        <v>180</v>
      </c>
      <c r="D56" s="52" t="s">
        <v>154</v>
      </c>
      <c r="E56" s="52" t="s">
        <v>155</v>
      </c>
      <c r="F56" s="52" t="s">
        <v>187</v>
      </c>
    </row>
    <row r="57" spans="1:12" x14ac:dyDescent="0.25">
      <c r="A57" t="s">
        <v>8235</v>
      </c>
      <c r="B57" s="52" t="s">
        <v>153</v>
      </c>
      <c r="C57" s="52" t="s">
        <v>100</v>
      </c>
      <c r="D57" s="56" t="s">
        <v>154</v>
      </c>
      <c r="E57" s="56" t="s">
        <v>155</v>
      </c>
      <c r="F57" s="52" t="s">
        <v>448</v>
      </c>
    </row>
    <row r="58" spans="1:12" ht="60" customHeight="1" x14ac:dyDescent="0.25">
      <c r="A58" t="s">
        <v>8235</v>
      </c>
      <c r="B58" s="52" t="s">
        <v>153</v>
      </c>
      <c r="C58" s="52" t="s">
        <v>716</v>
      </c>
      <c r="D58" s="56" t="s">
        <v>154</v>
      </c>
      <c r="E58" s="56" t="s">
        <v>155</v>
      </c>
      <c r="F58" s="52" t="s">
        <v>717</v>
      </c>
      <c r="G58" s="53" t="s">
        <v>8292</v>
      </c>
    </row>
    <row r="59" spans="1:12" ht="60" customHeight="1" x14ac:dyDescent="0.25">
      <c r="A59" t="s">
        <v>8235</v>
      </c>
      <c r="B59" s="52" t="s">
        <v>153</v>
      </c>
      <c r="C59" s="52" t="s">
        <v>721</v>
      </c>
      <c r="D59" s="56" t="s">
        <v>154</v>
      </c>
      <c r="E59" s="56" t="s">
        <v>155</v>
      </c>
      <c r="F59" s="52" t="s">
        <v>722</v>
      </c>
      <c r="G59" s="53" t="s">
        <v>8292</v>
      </c>
    </row>
    <row r="60" spans="1:12" x14ac:dyDescent="0.25">
      <c r="A60" t="s">
        <v>8235</v>
      </c>
      <c r="B60" s="52" t="s">
        <v>153</v>
      </c>
      <c r="C60" s="52" t="s">
        <v>8293</v>
      </c>
      <c r="D60" s="52" t="s">
        <v>154</v>
      </c>
      <c r="E60" s="52" t="s">
        <v>155</v>
      </c>
      <c r="F60" s="52" t="s">
        <v>8294</v>
      </c>
    </row>
    <row r="61" spans="1:12" x14ac:dyDescent="0.25">
      <c r="A61" t="s">
        <v>8235</v>
      </c>
      <c r="B61" s="52" t="s">
        <v>38</v>
      </c>
      <c r="C61" s="52" t="s">
        <v>25</v>
      </c>
      <c r="D61" t="s">
        <v>69</v>
      </c>
      <c r="E61" t="s">
        <v>41</v>
      </c>
      <c r="F61" s="52" t="s">
        <v>512</v>
      </c>
    </row>
    <row r="62" spans="1:12" x14ac:dyDescent="0.25">
      <c r="A62" t="s">
        <v>8235</v>
      </c>
      <c r="B62" s="52" t="s">
        <v>38</v>
      </c>
      <c r="C62" s="52" t="s">
        <v>24</v>
      </c>
      <c r="D62" t="s">
        <v>69</v>
      </c>
      <c r="E62" t="s">
        <v>41</v>
      </c>
      <c r="F62" s="52" t="s">
        <v>509</v>
      </c>
    </row>
    <row r="63" spans="1:12" x14ac:dyDescent="0.25">
      <c r="A63" t="s">
        <v>8235</v>
      </c>
      <c r="B63" s="52" t="s">
        <v>280</v>
      </c>
      <c r="C63" s="52" t="s">
        <v>3311</v>
      </c>
      <c r="D63" t="s">
        <v>282</v>
      </c>
      <c r="E63" t="s">
        <v>8237</v>
      </c>
      <c r="F63" s="52" t="s">
        <v>8203</v>
      </c>
    </row>
    <row r="64" spans="1:12" x14ac:dyDescent="0.25">
      <c r="A64" t="s">
        <v>8235</v>
      </c>
      <c r="B64" s="52" t="s">
        <v>280</v>
      </c>
      <c r="C64" s="52" t="s">
        <v>8189</v>
      </c>
      <c r="D64" t="s">
        <v>282</v>
      </c>
      <c r="E64" t="s">
        <v>8237</v>
      </c>
      <c r="F64" s="52" t="s">
        <v>8188</v>
      </c>
    </row>
    <row r="65" spans="1:7" x14ac:dyDescent="0.25">
      <c r="A65" t="s">
        <v>8235</v>
      </c>
      <c r="B65" s="52" t="s">
        <v>280</v>
      </c>
      <c r="C65" s="52" t="s">
        <v>8194</v>
      </c>
      <c r="D65" t="s">
        <v>282</v>
      </c>
      <c r="E65" t="s">
        <v>8237</v>
      </c>
      <c r="F65" s="52" t="s">
        <v>8193</v>
      </c>
    </row>
    <row r="66" spans="1:7" x14ac:dyDescent="0.25">
      <c r="A66" t="s">
        <v>8235</v>
      </c>
      <c r="B66" s="52" t="s">
        <v>280</v>
      </c>
      <c r="C66" s="52" t="s">
        <v>8198</v>
      </c>
      <c r="D66" t="s">
        <v>282</v>
      </c>
      <c r="E66" t="s">
        <v>8237</v>
      </c>
      <c r="F66" s="52" t="s">
        <v>8197</v>
      </c>
    </row>
    <row r="67" spans="1:7" x14ac:dyDescent="0.25">
      <c r="A67" t="s">
        <v>8235</v>
      </c>
      <c r="B67" s="52" t="s">
        <v>280</v>
      </c>
      <c r="C67" s="52" t="s">
        <v>8201</v>
      </c>
      <c r="D67" t="s">
        <v>282</v>
      </c>
      <c r="E67" t="s">
        <v>8237</v>
      </c>
      <c r="F67" s="52" t="s">
        <v>8200</v>
      </c>
    </row>
    <row r="68" spans="1:7" x14ac:dyDescent="0.25">
      <c r="A68" t="s">
        <v>8235</v>
      </c>
      <c r="B68" s="52" t="s">
        <v>280</v>
      </c>
      <c r="C68" s="52" t="s">
        <v>1570</v>
      </c>
      <c r="D68" s="52" t="s">
        <v>282</v>
      </c>
      <c r="E68" t="s">
        <v>8237</v>
      </c>
      <c r="F68" s="52" t="s">
        <v>1573</v>
      </c>
    </row>
    <row r="69" spans="1:7" x14ac:dyDescent="0.25">
      <c r="A69" t="s">
        <v>8235</v>
      </c>
      <c r="B69" s="52" t="s">
        <v>143</v>
      </c>
      <c r="C69" s="52" t="s">
        <v>144</v>
      </c>
      <c r="D69" s="52" t="s">
        <v>8256</v>
      </c>
      <c r="E69" t="s">
        <v>8239</v>
      </c>
      <c r="F69" s="52" t="s">
        <v>147</v>
      </c>
    </row>
    <row r="70" spans="1:7" x14ac:dyDescent="0.25">
      <c r="A70" t="s">
        <v>8235</v>
      </c>
      <c r="B70" s="52" t="s">
        <v>143</v>
      </c>
      <c r="C70" s="52" t="s">
        <v>90</v>
      </c>
      <c r="D70" s="52" t="s">
        <v>8256</v>
      </c>
      <c r="E70" t="s">
        <v>8239</v>
      </c>
      <c r="F70" s="52" t="s">
        <v>380</v>
      </c>
    </row>
    <row r="71" spans="1:7" x14ac:dyDescent="0.25">
      <c r="A71" t="s">
        <v>8235</v>
      </c>
      <c r="B71" s="52" t="s">
        <v>143</v>
      </c>
      <c r="C71" s="52" t="s">
        <v>180</v>
      </c>
      <c r="D71" s="52" t="s">
        <v>8256</v>
      </c>
      <c r="E71" t="s">
        <v>8239</v>
      </c>
      <c r="F71" s="52" t="s">
        <v>181</v>
      </c>
    </row>
    <row r="72" spans="1:7" x14ac:dyDescent="0.25">
      <c r="A72" t="s">
        <v>8235</v>
      </c>
      <c r="B72" s="52" t="s">
        <v>143</v>
      </c>
      <c r="C72" s="52" t="s">
        <v>100</v>
      </c>
      <c r="D72" s="52" t="s">
        <v>8256</v>
      </c>
      <c r="E72" t="s">
        <v>8239</v>
      </c>
      <c r="F72" s="52" t="s">
        <v>442</v>
      </c>
    </row>
    <row r="73" spans="1:7" ht="60" customHeight="1" x14ac:dyDescent="0.25">
      <c r="A73" t="s">
        <v>8235</v>
      </c>
      <c r="B73" s="52" t="s">
        <v>143</v>
      </c>
      <c r="C73" s="52" t="s">
        <v>716</v>
      </c>
      <c r="D73" t="s">
        <v>8256</v>
      </c>
      <c r="E73" t="s">
        <v>8239</v>
      </c>
      <c r="F73" s="52" t="s">
        <v>977</v>
      </c>
      <c r="G73" s="53" t="s">
        <v>8292</v>
      </c>
    </row>
    <row r="74" spans="1:7" ht="60" customHeight="1" x14ac:dyDescent="0.25">
      <c r="A74" t="s">
        <v>8235</v>
      </c>
      <c r="B74" s="52" t="s">
        <v>143</v>
      </c>
      <c r="C74" s="52" t="s">
        <v>721</v>
      </c>
      <c r="D74" t="s">
        <v>8256</v>
      </c>
      <c r="E74" t="s">
        <v>8239</v>
      </c>
      <c r="F74" s="52" t="s">
        <v>986</v>
      </c>
      <c r="G74" s="53" t="s">
        <v>8292</v>
      </c>
    </row>
    <row r="75" spans="1:7" x14ac:dyDescent="0.25">
      <c r="A75" t="s">
        <v>8235</v>
      </c>
      <c r="B75" s="52" t="s">
        <v>166</v>
      </c>
      <c r="C75" s="52" t="s">
        <v>1941</v>
      </c>
      <c r="D75" t="s">
        <v>167</v>
      </c>
      <c r="E75" t="s">
        <v>41</v>
      </c>
      <c r="F75" s="52" t="s">
        <v>1942</v>
      </c>
    </row>
    <row r="76" spans="1:7" x14ac:dyDescent="0.25">
      <c r="A76" t="s">
        <v>8235</v>
      </c>
      <c r="B76" s="52" t="s">
        <v>89</v>
      </c>
      <c r="C76" s="52" t="s">
        <v>144</v>
      </c>
      <c r="D76" s="52" t="s">
        <v>8247</v>
      </c>
      <c r="E76" t="s">
        <v>8251</v>
      </c>
      <c r="F76" s="52" t="s">
        <v>150</v>
      </c>
    </row>
    <row r="77" spans="1:7" x14ac:dyDescent="0.25">
      <c r="A77" t="s">
        <v>8235</v>
      </c>
      <c r="B77" s="52" t="s">
        <v>89</v>
      </c>
      <c r="C77" s="52" t="s">
        <v>90</v>
      </c>
      <c r="D77" s="52" t="s">
        <v>8247</v>
      </c>
      <c r="E77" t="s">
        <v>8251</v>
      </c>
      <c r="F77" s="52" t="s">
        <v>383</v>
      </c>
    </row>
    <row r="78" spans="1:7" x14ac:dyDescent="0.25">
      <c r="A78" t="s">
        <v>8235</v>
      </c>
      <c r="B78" s="52" t="s">
        <v>89</v>
      </c>
      <c r="C78" s="52" t="s">
        <v>8295</v>
      </c>
      <c r="D78" s="52" t="s">
        <v>8247</v>
      </c>
      <c r="E78" t="s">
        <v>8251</v>
      </c>
      <c r="F78" s="52" t="s">
        <v>8296</v>
      </c>
    </row>
    <row r="79" spans="1:7" x14ac:dyDescent="0.25">
      <c r="A79" t="s">
        <v>8235</v>
      </c>
      <c r="B79" s="52" t="s">
        <v>89</v>
      </c>
      <c r="C79" s="52" t="s">
        <v>8297</v>
      </c>
      <c r="D79" s="52" t="s">
        <v>8247</v>
      </c>
      <c r="E79" t="s">
        <v>8251</v>
      </c>
      <c r="F79" s="52" t="s">
        <v>8298</v>
      </c>
    </row>
    <row r="80" spans="1:7" x14ac:dyDescent="0.25">
      <c r="A80" t="s">
        <v>8235</v>
      </c>
      <c r="B80" s="52" t="s">
        <v>89</v>
      </c>
      <c r="C80" s="52" t="s">
        <v>180</v>
      </c>
      <c r="D80" s="52" t="s">
        <v>8247</v>
      </c>
      <c r="E80" t="s">
        <v>8251</v>
      </c>
      <c r="F80" s="52" t="s">
        <v>184</v>
      </c>
    </row>
    <row r="81" spans="1:7" x14ac:dyDescent="0.25">
      <c r="A81" t="s">
        <v>8235</v>
      </c>
      <c r="B81" s="52" t="s">
        <v>89</v>
      </c>
      <c r="C81" s="52" t="s">
        <v>100</v>
      </c>
      <c r="D81" s="52" t="s">
        <v>8247</v>
      </c>
      <c r="E81" t="s">
        <v>8251</v>
      </c>
      <c r="F81" s="52" t="s">
        <v>445</v>
      </c>
    </row>
    <row r="82" spans="1:7" ht="60" customHeight="1" x14ac:dyDescent="0.25">
      <c r="A82" t="s">
        <v>8235</v>
      </c>
      <c r="B82" s="52" t="s">
        <v>89</v>
      </c>
      <c r="C82" s="52" t="s">
        <v>716</v>
      </c>
      <c r="D82" s="52" t="s">
        <v>8247</v>
      </c>
      <c r="E82" t="s">
        <v>8251</v>
      </c>
      <c r="F82" s="52" t="s">
        <v>974</v>
      </c>
      <c r="G82" s="53" t="s">
        <v>8292</v>
      </c>
    </row>
    <row r="83" spans="1:7" ht="60" customHeight="1" x14ac:dyDescent="0.25">
      <c r="A83" t="s">
        <v>8235</v>
      </c>
      <c r="B83" s="52" t="s">
        <v>89</v>
      </c>
      <c r="C83" s="52" t="s">
        <v>721</v>
      </c>
      <c r="D83" s="52" t="s">
        <v>8247</v>
      </c>
      <c r="E83" t="s">
        <v>8251</v>
      </c>
      <c r="F83" s="52" t="s">
        <v>983</v>
      </c>
      <c r="G83" s="53" t="s">
        <v>8292</v>
      </c>
    </row>
    <row r="84" spans="1:7" x14ac:dyDescent="0.25">
      <c r="A84" t="s">
        <v>8235</v>
      </c>
      <c r="B84" s="52" t="s">
        <v>89</v>
      </c>
      <c r="C84" s="52" t="s">
        <v>8299</v>
      </c>
      <c r="D84" s="52" t="s">
        <v>8247</v>
      </c>
      <c r="E84" t="s">
        <v>8251</v>
      </c>
      <c r="F84" s="52" t="s">
        <v>8300</v>
      </c>
    </row>
    <row r="85" spans="1:7" x14ac:dyDescent="0.25">
      <c r="A85" t="s">
        <v>8235</v>
      </c>
      <c r="B85" s="52" t="s">
        <v>89</v>
      </c>
      <c r="C85" s="52" t="s">
        <v>8301</v>
      </c>
      <c r="D85" s="52" t="s">
        <v>8247</v>
      </c>
      <c r="E85" t="s">
        <v>8251</v>
      </c>
      <c r="F85" s="52" t="s">
        <v>8302</v>
      </c>
    </row>
    <row r="86" spans="1:7" x14ac:dyDescent="0.25">
      <c r="A86" t="s">
        <v>8235</v>
      </c>
      <c r="B86" s="52" t="s">
        <v>89</v>
      </c>
      <c r="C86" s="52" t="s">
        <v>1570</v>
      </c>
      <c r="D86" s="52" t="s">
        <v>1571</v>
      </c>
      <c r="E86" s="52" t="s">
        <v>1572</v>
      </c>
      <c r="F86" s="52" t="s">
        <v>1932</v>
      </c>
    </row>
    <row r="87" spans="1:7" x14ac:dyDescent="0.25">
      <c r="A87" t="s">
        <v>8243</v>
      </c>
      <c r="B87" s="52" t="s">
        <v>38</v>
      </c>
      <c r="C87" s="52" t="s">
        <v>257</v>
      </c>
      <c r="D87" t="s">
        <v>8254</v>
      </c>
      <c r="E87" s="52" t="s">
        <v>41</v>
      </c>
      <c r="F87" s="52" t="s">
        <v>258</v>
      </c>
    </row>
    <row r="88" spans="1:7" x14ac:dyDescent="0.25">
      <c r="A88" t="s">
        <v>8243</v>
      </c>
      <c r="B88" s="52" t="s">
        <v>38</v>
      </c>
      <c r="C88" s="52" t="s">
        <v>250</v>
      </c>
      <c r="D88" t="s">
        <v>8254</v>
      </c>
      <c r="E88" s="52" t="s">
        <v>41</v>
      </c>
      <c r="F88" s="52" t="s">
        <v>254</v>
      </c>
    </row>
    <row r="89" spans="1:7" x14ac:dyDescent="0.25">
      <c r="A89" t="s">
        <v>8243</v>
      </c>
      <c r="B89" s="52" t="s">
        <v>280</v>
      </c>
      <c r="C89" s="52" t="s">
        <v>281</v>
      </c>
      <c r="D89" s="52" t="s">
        <v>282</v>
      </c>
      <c r="E89" s="52" t="s">
        <v>8237</v>
      </c>
      <c r="F89" s="52" t="s">
        <v>284</v>
      </c>
    </row>
    <row r="90" spans="1:7" x14ac:dyDescent="0.25">
      <c r="A90" t="s">
        <v>8243</v>
      </c>
      <c r="B90" s="52" t="s">
        <v>143</v>
      </c>
      <c r="C90" s="52" t="s">
        <v>257</v>
      </c>
      <c r="D90" t="s">
        <v>8256</v>
      </c>
      <c r="E90" t="s">
        <v>8239</v>
      </c>
      <c r="F90" s="52" t="s">
        <v>292</v>
      </c>
    </row>
    <row r="91" spans="1:7" x14ac:dyDescent="0.25">
      <c r="A91" t="s">
        <v>8243</v>
      </c>
      <c r="B91" s="52" t="s">
        <v>143</v>
      </c>
      <c r="C91" s="52" t="s">
        <v>295</v>
      </c>
      <c r="D91" t="s">
        <v>8256</v>
      </c>
      <c r="E91" t="s">
        <v>8239</v>
      </c>
      <c r="F91" s="52" t="s">
        <v>296</v>
      </c>
    </row>
    <row r="92" spans="1:7" x14ac:dyDescent="0.25">
      <c r="A92" t="s">
        <v>8243</v>
      </c>
      <c r="B92" s="52" t="s">
        <v>143</v>
      </c>
      <c r="C92" s="52" t="s">
        <v>299</v>
      </c>
      <c r="D92" t="s">
        <v>8256</v>
      </c>
      <c r="E92" t="s">
        <v>8239</v>
      </c>
      <c r="F92" s="52" t="s">
        <v>300</v>
      </c>
    </row>
    <row r="93" spans="1:7" x14ac:dyDescent="0.25">
      <c r="A93" t="s">
        <v>8243</v>
      </c>
      <c r="B93" s="52" t="s">
        <v>143</v>
      </c>
      <c r="C93" s="52" t="s">
        <v>8148</v>
      </c>
      <c r="D93" t="s">
        <v>8256</v>
      </c>
      <c r="E93" t="s">
        <v>8239</v>
      </c>
      <c r="F93" s="52" t="s">
        <v>8147</v>
      </c>
    </row>
    <row r="94" spans="1:7" x14ac:dyDescent="0.25">
      <c r="A94" t="s">
        <v>8243</v>
      </c>
      <c r="B94" s="52" t="s">
        <v>143</v>
      </c>
      <c r="C94" s="54" t="s">
        <v>276</v>
      </c>
      <c r="D94" t="s">
        <v>8256</v>
      </c>
      <c r="E94" t="s">
        <v>8239</v>
      </c>
      <c r="F94" s="52" t="s">
        <v>277</v>
      </c>
    </row>
    <row r="95" spans="1:7" x14ac:dyDescent="0.25">
      <c r="A95" t="s">
        <v>8243</v>
      </c>
      <c r="B95" s="52" t="s">
        <v>143</v>
      </c>
      <c r="C95" s="54" t="s">
        <v>272</v>
      </c>
      <c r="D95" t="s">
        <v>8256</v>
      </c>
      <c r="E95" t="s">
        <v>8239</v>
      </c>
      <c r="F95" s="52" t="s">
        <v>273</v>
      </c>
    </row>
    <row r="96" spans="1:7" x14ac:dyDescent="0.25">
      <c r="A96" t="s">
        <v>8243</v>
      </c>
      <c r="B96" s="52" t="s">
        <v>143</v>
      </c>
      <c r="C96" s="54" t="s">
        <v>267</v>
      </c>
      <c r="D96" t="s">
        <v>8256</v>
      </c>
      <c r="E96" t="s">
        <v>8239</v>
      </c>
      <c r="F96" s="52" t="s">
        <v>268</v>
      </c>
    </row>
    <row r="97" spans="1:7" x14ac:dyDescent="0.25">
      <c r="A97" t="s">
        <v>8243</v>
      </c>
      <c r="B97" s="52" t="s">
        <v>143</v>
      </c>
      <c r="C97" s="52" t="s">
        <v>8303</v>
      </c>
      <c r="D97" t="s">
        <v>8256</v>
      </c>
      <c r="E97" t="s">
        <v>8239</v>
      </c>
      <c r="F97" s="52" t="s">
        <v>8304</v>
      </c>
    </row>
    <row r="98" spans="1:7" x14ac:dyDescent="0.25">
      <c r="A98" t="s">
        <v>8243</v>
      </c>
      <c r="B98" s="52" t="s">
        <v>143</v>
      </c>
      <c r="C98" s="52" t="s">
        <v>261</v>
      </c>
      <c r="D98" s="52" t="s">
        <v>8256</v>
      </c>
      <c r="E98" t="s">
        <v>8239</v>
      </c>
      <c r="F98" s="52" t="s">
        <v>263</v>
      </c>
    </row>
    <row r="99" spans="1:7" x14ac:dyDescent="0.25">
      <c r="A99" t="s">
        <v>8243</v>
      </c>
      <c r="B99" s="52" t="s">
        <v>143</v>
      </c>
      <c r="C99" s="52" t="s">
        <v>4475</v>
      </c>
      <c r="D99" t="s">
        <v>8256</v>
      </c>
      <c r="E99" t="s">
        <v>8239</v>
      </c>
      <c r="F99" s="52" t="s">
        <v>4476</v>
      </c>
    </row>
    <row r="100" spans="1:7" x14ac:dyDescent="0.25">
      <c r="A100" t="s">
        <v>8243</v>
      </c>
      <c r="B100" t="s">
        <v>143</v>
      </c>
      <c r="C100" t="s">
        <v>4401</v>
      </c>
      <c r="D100" t="s">
        <v>8256</v>
      </c>
      <c r="E100" t="s">
        <v>8239</v>
      </c>
      <c r="F100" t="s">
        <v>4402</v>
      </c>
    </row>
    <row r="101" spans="1:7" x14ac:dyDescent="0.25">
      <c r="A101" t="s">
        <v>8243</v>
      </c>
      <c r="B101" t="s">
        <v>143</v>
      </c>
      <c r="C101" t="s">
        <v>8305</v>
      </c>
      <c r="D101" t="s">
        <v>145</v>
      </c>
      <c r="E101" t="s">
        <v>146</v>
      </c>
      <c r="F101" t="s">
        <v>8306</v>
      </c>
    </row>
    <row r="102" spans="1:7" x14ac:dyDescent="0.25">
      <c r="A102" t="s">
        <v>8243</v>
      </c>
      <c r="B102" t="s">
        <v>143</v>
      </c>
      <c r="C102" t="s">
        <v>8307</v>
      </c>
      <c r="D102" t="s">
        <v>8256</v>
      </c>
      <c r="E102" t="s">
        <v>8239</v>
      </c>
      <c r="F102" t="s">
        <v>8308</v>
      </c>
    </row>
    <row r="103" spans="1:7" x14ac:dyDescent="0.25">
      <c r="A103" t="s">
        <v>8243</v>
      </c>
      <c r="B103" t="s">
        <v>143</v>
      </c>
      <c r="C103" t="s">
        <v>8309</v>
      </c>
      <c r="D103" t="s">
        <v>145</v>
      </c>
      <c r="E103" t="s">
        <v>146</v>
      </c>
      <c r="F103" t="s">
        <v>8310</v>
      </c>
    </row>
    <row r="104" spans="1:7" x14ac:dyDescent="0.25">
      <c r="A104" t="s">
        <v>8243</v>
      </c>
      <c r="B104" t="s">
        <v>166</v>
      </c>
      <c r="C104" t="s">
        <v>288</v>
      </c>
      <c r="D104" t="s">
        <v>167</v>
      </c>
      <c r="E104" t="s">
        <v>41</v>
      </c>
      <c r="F104" t="s">
        <v>289</v>
      </c>
    </row>
    <row r="105" spans="1:7" x14ac:dyDescent="0.25">
      <c r="A105" t="s">
        <v>8243</v>
      </c>
      <c r="B105" t="s">
        <v>166</v>
      </c>
      <c r="C105" t="s">
        <v>8311</v>
      </c>
      <c r="D105" t="s">
        <v>167</v>
      </c>
      <c r="E105" t="s">
        <v>41</v>
      </c>
      <c r="F105" t="s">
        <v>8312</v>
      </c>
    </row>
    <row r="106" spans="1:7" x14ac:dyDescent="0.25">
      <c r="A106" t="s">
        <v>8313</v>
      </c>
      <c r="B106" t="s">
        <v>280</v>
      </c>
      <c r="C106" t="s">
        <v>504</v>
      </c>
      <c r="D106" t="s">
        <v>282</v>
      </c>
      <c r="E106" t="s">
        <v>283</v>
      </c>
      <c r="F106" t="s">
        <v>505</v>
      </c>
    </row>
    <row r="107" spans="1:7" x14ac:dyDescent="0.25">
      <c r="A107" t="s">
        <v>2849</v>
      </c>
      <c r="B107" t="s">
        <v>153</v>
      </c>
      <c r="C107" t="s">
        <v>2419</v>
      </c>
      <c r="D107" t="s">
        <v>154</v>
      </c>
      <c r="E107" t="s">
        <v>155</v>
      </c>
      <c r="F107" t="s">
        <v>4242</v>
      </c>
    </row>
    <row r="108" spans="1:7" ht="30" customHeight="1" x14ac:dyDescent="0.25">
      <c r="A108" t="s">
        <v>2849</v>
      </c>
      <c r="B108" t="s">
        <v>153</v>
      </c>
      <c r="C108" t="s">
        <v>8314</v>
      </c>
      <c r="D108" t="s">
        <v>154</v>
      </c>
      <c r="E108" t="s">
        <v>155</v>
      </c>
      <c r="F108" t="s">
        <v>8315</v>
      </c>
      <c r="G108" s="14" t="s">
        <v>8316</v>
      </c>
    </row>
    <row r="109" spans="1:7" ht="30" customHeight="1" x14ac:dyDescent="0.25">
      <c r="A109" t="s">
        <v>2849</v>
      </c>
      <c r="B109" t="s">
        <v>153</v>
      </c>
      <c r="C109" t="s">
        <v>583</v>
      </c>
      <c r="D109" t="s">
        <v>154</v>
      </c>
      <c r="E109" t="s">
        <v>155</v>
      </c>
      <c r="F109" t="s">
        <v>584</v>
      </c>
      <c r="G109" s="14" t="s">
        <v>8317</v>
      </c>
    </row>
    <row r="110" spans="1:7" x14ac:dyDescent="0.25">
      <c r="A110" t="s">
        <v>2849</v>
      </c>
      <c r="B110" t="s">
        <v>153</v>
      </c>
      <c r="C110" t="s">
        <v>8318</v>
      </c>
      <c r="D110" t="s">
        <v>154</v>
      </c>
      <c r="E110" t="s">
        <v>155</v>
      </c>
      <c r="F110" t="s">
        <v>8319</v>
      </c>
    </row>
    <row r="111" spans="1:7" ht="30" customHeight="1" x14ac:dyDescent="0.25">
      <c r="A111" t="s">
        <v>2849</v>
      </c>
      <c r="B111" t="s">
        <v>153</v>
      </c>
      <c r="C111" t="s">
        <v>617</v>
      </c>
      <c r="D111" t="s">
        <v>154</v>
      </c>
      <c r="E111" t="s">
        <v>155</v>
      </c>
      <c r="F111" t="s">
        <v>618</v>
      </c>
      <c r="G111" s="14" t="s">
        <v>8317</v>
      </c>
    </row>
    <row r="112" spans="1:7" ht="30" customHeight="1" x14ac:dyDescent="0.25">
      <c r="A112" t="s">
        <v>2849</v>
      </c>
      <c r="B112" t="s">
        <v>153</v>
      </c>
      <c r="C112" t="s">
        <v>612</v>
      </c>
      <c r="D112" t="s">
        <v>154</v>
      </c>
      <c r="E112" t="s">
        <v>155</v>
      </c>
      <c r="F112" t="s">
        <v>613</v>
      </c>
      <c r="G112" s="14" t="s">
        <v>8317</v>
      </c>
    </row>
    <row r="113" spans="1:7" ht="30" customHeight="1" x14ac:dyDescent="0.25">
      <c r="A113" t="s">
        <v>2849</v>
      </c>
      <c r="B113" t="s">
        <v>153</v>
      </c>
      <c r="C113" t="s">
        <v>8320</v>
      </c>
      <c r="D113" t="s">
        <v>154</v>
      </c>
      <c r="E113" t="s">
        <v>155</v>
      </c>
      <c r="F113" t="s">
        <v>8321</v>
      </c>
      <c r="G113" s="14" t="s">
        <v>8316</v>
      </c>
    </row>
    <row r="114" spans="1:7" ht="30" customHeight="1" x14ac:dyDescent="0.25">
      <c r="A114" t="s">
        <v>2849</v>
      </c>
      <c r="B114" t="s">
        <v>153</v>
      </c>
      <c r="C114" t="s">
        <v>627</v>
      </c>
      <c r="D114" t="s">
        <v>154</v>
      </c>
      <c r="E114" t="s">
        <v>155</v>
      </c>
      <c r="F114" t="s">
        <v>628</v>
      </c>
      <c r="G114" s="14" t="s">
        <v>8317</v>
      </c>
    </row>
    <row r="115" spans="1:7" x14ac:dyDescent="0.25">
      <c r="A115" t="s">
        <v>2849</v>
      </c>
      <c r="B115" t="s">
        <v>153</v>
      </c>
      <c r="C115" t="s">
        <v>8322</v>
      </c>
      <c r="D115" t="s">
        <v>154</v>
      </c>
      <c r="E115" t="s">
        <v>155</v>
      </c>
      <c r="F115" t="s">
        <v>8323</v>
      </c>
      <c r="G115" s="14" t="s">
        <v>8324</v>
      </c>
    </row>
    <row r="116" spans="1:7" x14ac:dyDescent="0.25">
      <c r="A116" t="s">
        <v>2849</v>
      </c>
      <c r="B116" t="s">
        <v>153</v>
      </c>
      <c r="C116" t="s">
        <v>8325</v>
      </c>
      <c r="D116" t="s">
        <v>154</v>
      </c>
      <c r="E116" t="s">
        <v>155</v>
      </c>
      <c r="F116" t="s">
        <v>8326</v>
      </c>
    </row>
    <row r="117" spans="1:7" ht="30" customHeight="1" x14ac:dyDescent="0.25">
      <c r="A117" t="s">
        <v>2849</v>
      </c>
      <c r="B117" t="s">
        <v>153</v>
      </c>
      <c r="C117" t="s">
        <v>593</v>
      </c>
      <c r="D117" t="s">
        <v>154</v>
      </c>
      <c r="E117" t="s">
        <v>155</v>
      </c>
      <c r="F117" t="s">
        <v>594</v>
      </c>
      <c r="G117" s="14" t="s">
        <v>8317</v>
      </c>
    </row>
    <row r="118" spans="1:7" ht="30" customHeight="1" x14ac:dyDescent="0.25">
      <c r="A118" t="s">
        <v>2849</v>
      </c>
      <c r="B118" t="s">
        <v>153</v>
      </c>
      <c r="C118" t="s">
        <v>588</v>
      </c>
      <c r="D118" t="s">
        <v>154</v>
      </c>
      <c r="E118" t="s">
        <v>155</v>
      </c>
      <c r="F118" t="s">
        <v>589</v>
      </c>
      <c r="G118" s="14" t="s">
        <v>8317</v>
      </c>
    </row>
    <row r="119" spans="1:7" ht="30" customHeight="1" x14ac:dyDescent="0.25">
      <c r="A119" t="s">
        <v>2849</v>
      </c>
      <c r="B119" t="s">
        <v>153</v>
      </c>
      <c r="C119" t="s">
        <v>607</v>
      </c>
      <c r="D119" t="s">
        <v>154</v>
      </c>
      <c r="E119" t="s">
        <v>155</v>
      </c>
      <c r="F119" t="s">
        <v>608</v>
      </c>
      <c r="G119" s="14" t="s">
        <v>8317</v>
      </c>
    </row>
    <row r="120" spans="1:7" ht="30" customHeight="1" x14ac:dyDescent="0.25">
      <c r="A120" t="s">
        <v>2849</v>
      </c>
      <c r="B120" t="s">
        <v>153</v>
      </c>
      <c r="C120" t="s">
        <v>602</v>
      </c>
      <c r="D120" t="s">
        <v>154</v>
      </c>
      <c r="E120" t="s">
        <v>155</v>
      </c>
      <c r="F120" t="s">
        <v>603</v>
      </c>
      <c r="G120" s="14" t="s">
        <v>8317</v>
      </c>
    </row>
    <row r="121" spans="1:7" ht="30" customHeight="1" x14ac:dyDescent="0.25">
      <c r="A121" t="s">
        <v>2849</v>
      </c>
      <c r="B121" t="s">
        <v>153</v>
      </c>
      <c r="C121" t="s">
        <v>1073</v>
      </c>
      <c r="D121" t="s">
        <v>154</v>
      </c>
      <c r="E121" t="s">
        <v>155</v>
      </c>
      <c r="F121" t="s">
        <v>1074</v>
      </c>
      <c r="G121" s="14" t="s">
        <v>8317</v>
      </c>
    </row>
    <row r="122" spans="1:7" x14ac:dyDescent="0.25">
      <c r="A122" t="s">
        <v>2849</v>
      </c>
      <c r="B122" t="s">
        <v>153</v>
      </c>
      <c r="C122" t="s">
        <v>8327</v>
      </c>
      <c r="D122" t="s">
        <v>154</v>
      </c>
      <c r="E122" t="s">
        <v>155</v>
      </c>
      <c r="F122" t="s">
        <v>8328</v>
      </c>
    </row>
    <row r="123" spans="1:7" x14ac:dyDescent="0.25">
      <c r="A123" t="s">
        <v>2849</v>
      </c>
      <c r="B123" t="s">
        <v>153</v>
      </c>
      <c r="C123" t="s">
        <v>8329</v>
      </c>
      <c r="D123" t="s">
        <v>154</v>
      </c>
      <c r="E123" t="s">
        <v>155</v>
      </c>
      <c r="F123" t="s">
        <v>8330</v>
      </c>
    </row>
    <row r="124" spans="1:7" x14ac:dyDescent="0.25">
      <c r="A124" t="s">
        <v>2849</v>
      </c>
      <c r="B124" t="s">
        <v>38</v>
      </c>
      <c r="C124" t="s">
        <v>8331</v>
      </c>
      <c r="D124" t="s">
        <v>69</v>
      </c>
      <c r="E124" t="s">
        <v>41</v>
      </c>
      <c r="F124" t="s">
        <v>8332</v>
      </c>
    </row>
    <row r="125" spans="1:7" x14ac:dyDescent="0.25">
      <c r="A125" t="s">
        <v>2849</v>
      </c>
      <c r="B125" t="s">
        <v>38</v>
      </c>
      <c r="C125" t="s">
        <v>1119</v>
      </c>
      <c r="D125" t="s">
        <v>69</v>
      </c>
      <c r="E125" t="s">
        <v>41</v>
      </c>
      <c r="F125" t="s">
        <v>1120</v>
      </c>
    </row>
    <row r="126" spans="1:7" x14ac:dyDescent="0.25">
      <c r="A126" t="s">
        <v>2849</v>
      </c>
      <c r="B126" t="s">
        <v>38</v>
      </c>
      <c r="C126" t="s">
        <v>8333</v>
      </c>
      <c r="D126" t="s">
        <v>69</v>
      </c>
      <c r="E126" t="s">
        <v>41</v>
      </c>
      <c r="F126" t="s">
        <v>8334</v>
      </c>
    </row>
    <row r="127" spans="1:7" x14ac:dyDescent="0.25">
      <c r="A127" t="s">
        <v>2849</v>
      </c>
      <c r="B127" t="s">
        <v>38</v>
      </c>
      <c r="C127" t="s">
        <v>1123</v>
      </c>
      <c r="D127" t="s">
        <v>69</v>
      </c>
      <c r="E127" t="s">
        <v>41</v>
      </c>
      <c r="F127" t="s">
        <v>1125</v>
      </c>
    </row>
    <row r="128" spans="1:7" x14ac:dyDescent="0.25">
      <c r="A128" t="s">
        <v>2849</v>
      </c>
      <c r="B128" t="s">
        <v>38</v>
      </c>
      <c r="C128" t="s">
        <v>8335</v>
      </c>
      <c r="D128" t="s">
        <v>69</v>
      </c>
      <c r="E128" t="s">
        <v>41</v>
      </c>
      <c r="F128" t="s">
        <v>8336</v>
      </c>
    </row>
    <row r="129" spans="1:7" x14ac:dyDescent="0.25">
      <c r="A129" t="s">
        <v>2849</v>
      </c>
      <c r="B129" t="s">
        <v>38</v>
      </c>
      <c r="C129" t="s">
        <v>8337</v>
      </c>
      <c r="D129" t="s">
        <v>8254</v>
      </c>
      <c r="E129" t="s">
        <v>41</v>
      </c>
      <c r="F129" t="s">
        <v>8338</v>
      </c>
    </row>
    <row r="130" spans="1:7" x14ac:dyDescent="0.25">
      <c r="A130" t="s">
        <v>2849</v>
      </c>
      <c r="B130" t="s">
        <v>38</v>
      </c>
      <c r="C130" t="s">
        <v>8339</v>
      </c>
      <c r="D130" t="s">
        <v>8254</v>
      </c>
      <c r="E130" t="s">
        <v>41</v>
      </c>
      <c r="F130" t="s">
        <v>8340</v>
      </c>
    </row>
    <row r="131" spans="1:7" x14ac:dyDescent="0.25">
      <c r="A131" t="s">
        <v>2849</v>
      </c>
      <c r="B131" t="s">
        <v>143</v>
      </c>
      <c r="C131" t="s">
        <v>1053</v>
      </c>
      <c r="D131" t="s">
        <v>8256</v>
      </c>
      <c r="E131" t="s">
        <v>8239</v>
      </c>
      <c r="F131" t="s">
        <v>1054</v>
      </c>
    </row>
    <row r="132" spans="1:7" x14ac:dyDescent="0.25">
      <c r="A132" t="s">
        <v>2849</v>
      </c>
      <c r="B132" t="s">
        <v>143</v>
      </c>
      <c r="C132" t="s">
        <v>1057</v>
      </c>
      <c r="D132" t="s">
        <v>8256</v>
      </c>
      <c r="E132" t="s">
        <v>8239</v>
      </c>
      <c r="F132" t="s">
        <v>1058</v>
      </c>
    </row>
    <row r="133" spans="1:7" x14ac:dyDescent="0.25">
      <c r="A133" t="s">
        <v>2849</v>
      </c>
      <c r="B133" t="s">
        <v>143</v>
      </c>
      <c r="C133" t="s">
        <v>1049</v>
      </c>
      <c r="D133" t="s">
        <v>8256</v>
      </c>
      <c r="E133" t="s">
        <v>8239</v>
      </c>
      <c r="F133" t="s">
        <v>1050</v>
      </c>
    </row>
    <row r="134" spans="1:7" x14ac:dyDescent="0.25">
      <c r="A134" t="s">
        <v>2849</v>
      </c>
      <c r="B134" t="s">
        <v>143</v>
      </c>
      <c r="C134" t="s">
        <v>1036</v>
      </c>
      <c r="D134" t="s">
        <v>8256</v>
      </c>
      <c r="E134" t="s">
        <v>8239</v>
      </c>
      <c r="F134" t="s">
        <v>1037</v>
      </c>
    </row>
    <row r="135" spans="1:7" x14ac:dyDescent="0.25">
      <c r="A135" t="s">
        <v>2849</v>
      </c>
      <c r="B135" t="s">
        <v>143</v>
      </c>
      <c r="C135" t="s">
        <v>1040</v>
      </c>
      <c r="D135" t="s">
        <v>8256</v>
      </c>
      <c r="E135" t="s">
        <v>8239</v>
      </c>
      <c r="F135" t="s">
        <v>1041</v>
      </c>
    </row>
    <row r="136" spans="1:7" x14ac:dyDescent="0.25">
      <c r="A136" t="s">
        <v>2849</v>
      </c>
      <c r="B136" t="s">
        <v>143</v>
      </c>
      <c r="C136" t="s">
        <v>1032</v>
      </c>
      <c r="D136" t="s">
        <v>8256</v>
      </c>
      <c r="E136" t="s">
        <v>8239</v>
      </c>
      <c r="F136" t="s">
        <v>1033</v>
      </c>
    </row>
    <row r="137" spans="1:7" ht="30" customHeight="1" x14ac:dyDescent="0.25">
      <c r="A137" t="s">
        <v>2849</v>
      </c>
      <c r="B137" t="s">
        <v>143</v>
      </c>
      <c r="C137" t="s">
        <v>583</v>
      </c>
      <c r="D137" t="s">
        <v>745</v>
      </c>
      <c r="E137" t="s">
        <v>262</v>
      </c>
      <c r="F137" t="s">
        <v>1084</v>
      </c>
      <c r="G137" s="14" t="s">
        <v>8317</v>
      </c>
    </row>
    <row r="138" spans="1:7" x14ac:dyDescent="0.25">
      <c r="A138" t="s">
        <v>2849</v>
      </c>
      <c r="B138" t="s">
        <v>143</v>
      </c>
      <c r="C138" t="s">
        <v>8341</v>
      </c>
      <c r="D138" t="s">
        <v>745</v>
      </c>
      <c r="E138" t="s">
        <v>262</v>
      </c>
      <c r="F138" t="s">
        <v>8342</v>
      </c>
      <c r="G138" s="14" t="s">
        <v>8324</v>
      </c>
    </row>
    <row r="139" spans="1:7" x14ac:dyDescent="0.25">
      <c r="A139" t="s">
        <v>2849</v>
      </c>
      <c r="B139" t="s">
        <v>143</v>
      </c>
      <c r="C139" t="s">
        <v>8343</v>
      </c>
      <c r="D139" t="s">
        <v>745</v>
      </c>
      <c r="E139" t="s">
        <v>262</v>
      </c>
      <c r="F139" t="s">
        <v>8344</v>
      </c>
      <c r="G139" s="14" t="s">
        <v>8324</v>
      </c>
    </row>
    <row r="140" spans="1:7" ht="30" customHeight="1" x14ac:dyDescent="0.25">
      <c r="A140" t="s">
        <v>2849</v>
      </c>
      <c r="B140" t="s">
        <v>143</v>
      </c>
      <c r="C140" t="s">
        <v>8345</v>
      </c>
      <c r="D140" t="s">
        <v>745</v>
      </c>
      <c r="E140" t="s">
        <v>262</v>
      </c>
      <c r="F140" t="s">
        <v>8346</v>
      </c>
      <c r="G140" s="14" t="s">
        <v>8316</v>
      </c>
    </row>
    <row r="141" spans="1:7" x14ac:dyDescent="0.25">
      <c r="A141" t="s">
        <v>2849</v>
      </c>
      <c r="B141" t="s">
        <v>143</v>
      </c>
      <c r="C141" t="s">
        <v>8347</v>
      </c>
      <c r="D141" t="s">
        <v>745</v>
      </c>
      <c r="E141" t="s">
        <v>262</v>
      </c>
      <c r="F141" t="s">
        <v>8348</v>
      </c>
      <c r="G141" s="14" t="s">
        <v>8324</v>
      </c>
    </row>
    <row r="142" spans="1:7" x14ac:dyDescent="0.25">
      <c r="A142" t="s">
        <v>2849</v>
      </c>
      <c r="B142" t="s">
        <v>143</v>
      </c>
      <c r="C142" t="s">
        <v>8349</v>
      </c>
      <c r="D142" t="s">
        <v>8256</v>
      </c>
      <c r="E142" t="s">
        <v>8239</v>
      </c>
      <c r="F142" t="s">
        <v>8350</v>
      </c>
      <c r="G142" s="14" t="s">
        <v>8351</v>
      </c>
    </row>
    <row r="143" spans="1:7" x14ac:dyDescent="0.25">
      <c r="A143" t="s">
        <v>2849</v>
      </c>
      <c r="B143" t="s">
        <v>143</v>
      </c>
      <c r="C143" t="s">
        <v>1065</v>
      </c>
      <c r="D143" t="s">
        <v>8256</v>
      </c>
      <c r="E143" t="s">
        <v>8239</v>
      </c>
      <c r="F143" t="s">
        <v>1066</v>
      </c>
    </row>
    <row r="144" spans="1:7" x14ac:dyDescent="0.25">
      <c r="A144" t="s">
        <v>2849</v>
      </c>
      <c r="B144" t="s">
        <v>143</v>
      </c>
      <c r="C144" t="s">
        <v>1069</v>
      </c>
      <c r="D144" t="s">
        <v>8256</v>
      </c>
      <c r="E144" t="s">
        <v>8239</v>
      </c>
      <c r="F144" t="s">
        <v>1070</v>
      </c>
    </row>
    <row r="145" spans="1:7" x14ac:dyDescent="0.25">
      <c r="A145" t="s">
        <v>2849</v>
      </c>
      <c r="B145" t="s">
        <v>143</v>
      </c>
      <c r="C145" t="s">
        <v>1061</v>
      </c>
      <c r="D145" t="s">
        <v>8256</v>
      </c>
      <c r="E145" t="s">
        <v>8239</v>
      </c>
      <c r="F145" t="s">
        <v>1062</v>
      </c>
    </row>
    <row r="146" spans="1:7" ht="30" customHeight="1" x14ac:dyDescent="0.25">
      <c r="A146" t="s">
        <v>2849</v>
      </c>
      <c r="B146" t="s">
        <v>143</v>
      </c>
      <c r="C146" t="s">
        <v>1073</v>
      </c>
      <c r="D146" t="s">
        <v>745</v>
      </c>
      <c r="E146" t="s">
        <v>262</v>
      </c>
      <c r="F146" t="s">
        <v>1128</v>
      </c>
      <c r="G146" s="14" t="s">
        <v>8317</v>
      </c>
    </row>
    <row r="147" spans="1:7" x14ac:dyDescent="0.25">
      <c r="A147" t="s">
        <v>2849</v>
      </c>
      <c r="B147" t="s">
        <v>166</v>
      </c>
      <c r="C147" t="s">
        <v>2419</v>
      </c>
      <c r="D147" t="s">
        <v>167</v>
      </c>
      <c r="E147" t="s">
        <v>41</v>
      </c>
      <c r="F147" t="s">
        <v>2421</v>
      </c>
    </row>
    <row r="148" spans="1:7" x14ac:dyDescent="0.25">
      <c r="A148" t="s">
        <v>2849</v>
      </c>
      <c r="B148" t="s">
        <v>166</v>
      </c>
      <c r="C148" t="s">
        <v>1044</v>
      </c>
      <c r="D148" t="s">
        <v>167</v>
      </c>
      <c r="E148" t="s">
        <v>41</v>
      </c>
      <c r="F148" t="s">
        <v>1045</v>
      </c>
    </row>
    <row r="149" spans="1:7" ht="30" customHeight="1" x14ac:dyDescent="0.25">
      <c r="A149" t="s">
        <v>2849</v>
      </c>
      <c r="B149" t="s">
        <v>166</v>
      </c>
      <c r="C149" t="s">
        <v>578</v>
      </c>
      <c r="D149" t="s">
        <v>167</v>
      </c>
      <c r="E149" t="s">
        <v>41</v>
      </c>
      <c r="F149" t="s">
        <v>579</v>
      </c>
      <c r="G149" s="14" t="s">
        <v>8317</v>
      </c>
    </row>
    <row r="150" spans="1:7" ht="30" customHeight="1" x14ac:dyDescent="0.25">
      <c r="A150" t="s">
        <v>2849</v>
      </c>
      <c r="B150" t="s">
        <v>166</v>
      </c>
      <c r="C150" t="s">
        <v>8352</v>
      </c>
      <c r="D150" t="s">
        <v>167</v>
      </c>
      <c r="E150" t="s">
        <v>41</v>
      </c>
      <c r="F150" t="s">
        <v>8167</v>
      </c>
      <c r="G150" s="14" t="s">
        <v>8316</v>
      </c>
    </row>
    <row r="151" spans="1:7" x14ac:dyDescent="0.25">
      <c r="A151" t="s">
        <v>2849</v>
      </c>
      <c r="B151" t="s">
        <v>166</v>
      </c>
      <c r="C151" t="s">
        <v>8353</v>
      </c>
      <c r="D151" t="s">
        <v>167</v>
      </c>
      <c r="E151" t="s">
        <v>41</v>
      </c>
      <c r="F151" t="s">
        <v>8176</v>
      </c>
    </row>
    <row r="152" spans="1:7" ht="30" customHeight="1" x14ac:dyDescent="0.25">
      <c r="A152" t="s">
        <v>2849</v>
      </c>
      <c r="B152" t="s">
        <v>166</v>
      </c>
      <c r="C152" t="s">
        <v>8354</v>
      </c>
      <c r="D152" t="s">
        <v>167</v>
      </c>
      <c r="E152" t="s">
        <v>41</v>
      </c>
      <c r="F152" t="s">
        <v>8180</v>
      </c>
      <c r="G152" s="14" t="s">
        <v>8316</v>
      </c>
    </row>
    <row r="153" spans="1:7" ht="30" customHeight="1" x14ac:dyDescent="0.25">
      <c r="A153" t="s">
        <v>2849</v>
      </c>
      <c r="B153" t="s">
        <v>166</v>
      </c>
      <c r="C153" t="s">
        <v>8355</v>
      </c>
      <c r="D153" t="s">
        <v>167</v>
      </c>
      <c r="E153" t="s">
        <v>41</v>
      </c>
      <c r="F153" t="s">
        <v>8170</v>
      </c>
      <c r="G153" s="14" t="s">
        <v>8316</v>
      </c>
    </row>
    <row r="154" spans="1:7" x14ac:dyDescent="0.25">
      <c r="A154" t="s">
        <v>2849</v>
      </c>
      <c r="B154" t="s">
        <v>166</v>
      </c>
      <c r="C154" t="s">
        <v>8356</v>
      </c>
      <c r="D154" t="s">
        <v>167</v>
      </c>
      <c r="E154" t="s">
        <v>41</v>
      </c>
      <c r="F154" t="s">
        <v>8143</v>
      </c>
      <c r="G154" s="14" t="s">
        <v>8324</v>
      </c>
    </row>
    <row r="155" spans="1:7" ht="30" customHeight="1" x14ac:dyDescent="0.25">
      <c r="A155" t="s">
        <v>2849</v>
      </c>
      <c r="B155" t="s">
        <v>166</v>
      </c>
      <c r="C155" t="s">
        <v>567</v>
      </c>
      <c r="D155" t="s">
        <v>167</v>
      </c>
      <c r="E155" t="s">
        <v>41</v>
      </c>
      <c r="F155" t="s">
        <v>570</v>
      </c>
      <c r="G155" s="14" t="s">
        <v>8317</v>
      </c>
    </row>
    <row r="156" spans="1:7" x14ac:dyDescent="0.25">
      <c r="A156" t="s">
        <v>2849</v>
      </c>
      <c r="B156" t="s">
        <v>166</v>
      </c>
      <c r="C156" t="s">
        <v>1143</v>
      </c>
      <c r="D156" t="s">
        <v>167</v>
      </c>
      <c r="E156" t="s">
        <v>41</v>
      </c>
      <c r="F156" t="s">
        <v>925</v>
      </c>
    </row>
    <row r="157" spans="1:7" x14ac:dyDescent="0.25">
      <c r="A157" t="s">
        <v>2849</v>
      </c>
      <c r="B157" t="s">
        <v>166</v>
      </c>
      <c r="C157" t="s">
        <v>8357</v>
      </c>
      <c r="D157" t="s">
        <v>167</v>
      </c>
      <c r="E157" t="s">
        <v>41</v>
      </c>
      <c r="F157" t="s">
        <v>8152</v>
      </c>
      <c r="G157" s="14" t="s">
        <v>8324</v>
      </c>
    </row>
    <row r="158" spans="1:7" x14ac:dyDescent="0.25">
      <c r="A158" t="s">
        <v>2849</v>
      </c>
      <c r="B158" t="s">
        <v>166</v>
      </c>
      <c r="C158" t="s">
        <v>8358</v>
      </c>
      <c r="D158" t="s">
        <v>167</v>
      </c>
      <c r="E158" t="s">
        <v>41</v>
      </c>
      <c r="F158" t="s">
        <v>8359</v>
      </c>
      <c r="G158" s="14" t="s">
        <v>8324</v>
      </c>
    </row>
    <row r="159" spans="1:7" x14ac:dyDescent="0.25">
      <c r="A159" t="s">
        <v>2849</v>
      </c>
      <c r="B159" t="s">
        <v>166</v>
      </c>
      <c r="C159" t="s">
        <v>8360</v>
      </c>
      <c r="D159" t="s">
        <v>167</v>
      </c>
      <c r="E159" t="s">
        <v>41</v>
      </c>
      <c r="F159" t="s">
        <v>8361</v>
      </c>
      <c r="G159" s="14" t="s">
        <v>8362</v>
      </c>
    </row>
    <row r="160" spans="1:7" ht="30" customHeight="1" x14ac:dyDescent="0.25">
      <c r="A160" t="s">
        <v>2849</v>
      </c>
      <c r="B160" t="s">
        <v>166</v>
      </c>
      <c r="C160" t="s">
        <v>8363</v>
      </c>
      <c r="D160" t="s">
        <v>167</v>
      </c>
      <c r="E160" t="s">
        <v>41</v>
      </c>
      <c r="F160" t="s">
        <v>8364</v>
      </c>
      <c r="G160" s="14" t="s">
        <v>8365</v>
      </c>
    </row>
    <row r="161" spans="1:7" ht="45" customHeight="1" x14ac:dyDescent="0.25">
      <c r="A161" t="s">
        <v>2849</v>
      </c>
      <c r="B161" t="s">
        <v>166</v>
      </c>
      <c r="C161" t="s">
        <v>8366</v>
      </c>
      <c r="D161" t="s">
        <v>167</v>
      </c>
      <c r="E161" t="s">
        <v>41</v>
      </c>
      <c r="F161" t="s">
        <v>8367</v>
      </c>
      <c r="G161" s="14" t="s">
        <v>8368</v>
      </c>
    </row>
    <row r="162" spans="1:7" x14ac:dyDescent="0.25">
      <c r="A162" t="s">
        <v>2849</v>
      </c>
      <c r="B162" t="s">
        <v>166</v>
      </c>
      <c r="C162" t="s">
        <v>8327</v>
      </c>
      <c r="D162" t="s">
        <v>167</v>
      </c>
      <c r="E162" t="s">
        <v>41</v>
      </c>
      <c r="F162" t="s">
        <v>8369</v>
      </c>
    </row>
    <row r="163" spans="1:7" x14ac:dyDescent="0.25">
      <c r="A163" t="s">
        <v>2849</v>
      </c>
      <c r="B163" t="s">
        <v>166</v>
      </c>
      <c r="C163" t="s">
        <v>8329</v>
      </c>
      <c r="D163" t="s">
        <v>167</v>
      </c>
      <c r="E163" t="s">
        <v>41</v>
      </c>
      <c r="F163" t="s">
        <v>8370</v>
      </c>
    </row>
    <row r="164" spans="1:7" x14ac:dyDescent="0.25">
      <c r="A164" t="s">
        <v>2849</v>
      </c>
      <c r="B164" t="s">
        <v>89</v>
      </c>
      <c r="C164" t="s">
        <v>1139</v>
      </c>
      <c r="D164" t="s">
        <v>8247</v>
      </c>
      <c r="E164" t="s">
        <v>8251</v>
      </c>
      <c r="F164" t="s">
        <v>1140</v>
      </c>
    </row>
    <row r="165" spans="1:7" x14ac:dyDescent="0.25">
      <c r="A165" t="s">
        <v>2849</v>
      </c>
      <c r="B165" t="s">
        <v>89</v>
      </c>
      <c r="C165" t="s">
        <v>8371</v>
      </c>
      <c r="D165" s="52" t="s">
        <v>8247</v>
      </c>
      <c r="E165" t="s">
        <v>8251</v>
      </c>
      <c r="F165" t="s">
        <v>8372</v>
      </c>
      <c r="G165" s="14" t="s">
        <v>8324</v>
      </c>
    </row>
    <row r="166" spans="1:7" x14ac:dyDescent="0.25">
      <c r="A166" t="s">
        <v>5419</v>
      </c>
      <c r="B166" t="s">
        <v>38</v>
      </c>
      <c r="C166" t="s">
        <v>52</v>
      </c>
      <c r="D166" t="s">
        <v>8254</v>
      </c>
      <c r="E166" t="s">
        <v>41</v>
      </c>
      <c r="F166" t="s">
        <v>8373</v>
      </c>
    </row>
    <row r="167" spans="1:7" x14ac:dyDescent="0.25">
      <c r="A167" t="s">
        <v>5419</v>
      </c>
      <c r="B167" t="s">
        <v>38</v>
      </c>
      <c r="C167" t="s">
        <v>8374</v>
      </c>
      <c r="D167" t="s">
        <v>8254</v>
      </c>
      <c r="E167" t="s">
        <v>41</v>
      </c>
      <c r="F167" t="s">
        <v>8375</v>
      </c>
    </row>
    <row r="168" spans="1:7" x14ac:dyDescent="0.25">
      <c r="A168" t="s">
        <v>5419</v>
      </c>
      <c r="B168" t="s">
        <v>280</v>
      </c>
      <c r="C168" t="s">
        <v>2087</v>
      </c>
      <c r="D168" t="s">
        <v>282</v>
      </c>
      <c r="E168" t="s">
        <v>8239</v>
      </c>
      <c r="F168" t="s">
        <v>8278</v>
      </c>
    </row>
    <row r="169" spans="1:7" x14ac:dyDescent="0.25">
      <c r="A169" t="s">
        <v>5419</v>
      </c>
      <c r="B169" t="s">
        <v>280</v>
      </c>
      <c r="C169" t="s">
        <v>1147</v>
      </c>
      <c r="D169" t="s">
        <v>282</v>
      </c>
      <c r="E169" t="s">
        <v>283</v>
      </c>
      <c r="F169" t="s">
        <v>8376</v>
      </c>
    </row>
    <row r="170" spans="1:7" x14ac:dyDescent="0.25">
      <c r="A170" t="s">
        <v>5419</v>
      </c>
      <c r="B170" t="s">
        <v>143</v>
      </c>
      <c r="C170" t="s">
        <v>52</v>
      </c>
      <c r="D170" t="s">
        <v>8256</v>
      </c>
      <c r="E170" t="s">
        <v>8239</v>
      </c>
      <c r="F170" t="s">
        <v>8373</v>
      </c>
    </row>
    <row r="171" spans="1:7" x14ac:dyDescent="0.25">
      <c r="A171" t="s">
        <v>5419</v>
      </c>
      <c r="B171" t="s">
        <v>143</v>
      </c>
      <c r="C171" t="s">
        <v>8377</v>
      </c>
      <c r="D171" t="s">
        <v>8256</v>
      </c>
      <c r="E171" t="s">
        <v>8239</v>
      </c>
      <c r="F171" t="s">
        <v>8378</v>
      </c>
    </row>
    <row r="172" spans="1:7" x14ac:dyDescent="0.25">
      <c r="A172" t="s">
        <v>5419</v>
      </c>
      <c r="B172" t="s">
        <v>166</v>
      </c>
      <c r="C172" t="s">
        <v>8379</v>
      </c>
      <c r="D172" t="s">
        <v>167</v>
      </c>
      <c r="E172" t="s">
        <v>41</v>
      </c>
      <c r="F172" t="s">
        <v>8380</v>
      </c>
    </row>
    <row r="173" spans="1:7" x14ac:dyDescent="0.25">
      <c r="A173" t="s">
        <v>5419</v>
      </c>
      <c r="B173" t="s">
        <v>166</v>
      </c>
      <c r="C173" t="s">
        <v>8379</v>
      </c>
      <c r="D173" t="s">
        <v>167</v>
      </c>
      <c r="E173" t="s">
        <v>41</v>
      </c>
      <c r="F173" t="s">
        <v>8381</v>
      </c>
    </row>
    <row r="174" spans="1:7" x14ac:dyDescent="0.25">
      <c r="A174" t="s">
        <v>5419</v>
      </c>
      <c r="B174" t="s">
        <v>166</v>
      </c>
      <c r="C174" t="s">
        <v>8286</v>
      </c>
      <c r="D174" t="s">
        <v>167</v>
      </c>
      <c r="E174" t="s">
        <v>41</v>
      </c>
      <c r="F174" t="s">
        <v>8382</v>
      </c>
    </row>
    <row r="175" spans="1:7" x14ac:dyDescent="0.25">
      <c r="A175" t="s">
        <v>5419</v>
      </c>
      <c r="B175" t="s">
        <v>89</v>
      </c>
      <c r="C175" t="s">
        <v>8374</v>
      </c>
      <c r="D175" t="s">
        <v>40</v>
      </c>
      <c r="E175" t="s">
        <v>41</v>
      </c>
      <c r="F175" t="s">
        <v>8383</v>
      </c>
    </row>
    <row r="176" spans="1:7" x14ac:dyDescent="0.25">
      <c r="A176" t="s">
        <v>8384</v>
      </c>
      <c r="B176" t="s">
        <v>153</v>
      </c>
      <c r="C176" t="s">
        <v>8385</v>
      </c>
      <c r="D176" t="s">
        <v>154</v>
      </c>
      <c r="E176" t="s">
        <v>155</v>
      </c>
      <c r="F176" t="s">
        <v>8386</v>
      </c>
    </row>
    <row r="177" spans="1:7" x14ac:dyDescent="0.25">
      <c r="A177" t="s">
        <v>8384</v>
      </c>
      <c r="B177" t="s">
        <v>166</v>
      </c>
      <c r="C177" t="s">
        <v>281</v>
      </c>
      <c r="D177" t="s">
        <v>167</v>
      </c>
      <c r="E177" t="s">
        <v>41</v>
      </c>
      <c r="F177" t="s">
        <v>858</v>
      </c>
    </row>
    <row r="178" spans="1:7" x14ac:dyDescent="0.25">
      <c r="A178" t="s">
        <v>8384</v>
      </c>
      <c r="B178" t="s">
        <v>166</v>
      </c>
      <c r="C178" t="s">
        <v>8387</v>
      </c>
      <c r="D178" t="s">
        <v>167</v>
      </c>
      <c r="E178" t="s">
        <v>41</v>
      </c>
      <c r="F178" t="s">
        <v>8388</v>
      </c>
    </row>
    <row r="179" spans="1:7" x14ac:dyDescent="0.25">
      <c r="A179" t="s">
        <v>8384</v>
      </c>
      <c r="B179" t="s">
        <v>166</v>
      </c>
      <c r="C179" t="s">
        <v>216</v>
      </c>
      <c r="D179" t="s">
        <v>167</v>
      </c>
      <c r="E179" t="s">
        <v>41</v>
      </c>
      <c r="F179" t="s">
        <v>872</v>
      </c>
    </row>
    <row r="180" spans="1:7" x14ac:dyDescent="0.25">
      <c r="A180" t="s">
        <v>8389</v>
      </c>
      <c r="B180" t="s">
        <v>153</v>
      </c>
      <c r="C180" t="s">
        <v>8390</v>
      </c>
      <c r="D180" t="s">
        <v>154</v>
      </c>
      <c r="E180" t="s">
        <v>155</v>
      </c>
      <c r="F180" t="s">
        <v>8391</v>
      </c>
    </row>
    <row r="181" spans="1:7" x14ac:dyDescent="0.25">
      <c r="A181" t="s">
        <v>8389</v>
      </c>
      <c r="B181" t="s">
        <v>280</v>
      </c>
      <c r="C181" t="s">
        <v>3311</v>
      </c>
      <c r="D181" t="s">
        <v>282</v>
      </c>
      <c r="E181" t="s">
        <v>8237</v>
      </c>
      <c r="F181" t="s">
        <v>3312</v>
      </c>
    </row>
    <row r="182" spans="1:7" x14ac:dyDescent="0.25">
      <c r="A182" t="s">
        <v>8389</v>
      </c>
      <c r="B182" t="s">
        <v>143</v>
      </c>
      <c r="C182" t="s">
        <v>8392</v>
      </c>
      <c r="D182" t="s">
        <v>8256</v>
      </c>
      <c r="E182" t="s">
        <v>8239</v>
      </c>
      <c r="F182" t="s">
        <v>8393</v>
      </c>
    </row>
    <row r="183" spans="1:7" x14ac:dyDescent="0.25">
      <c r="A183" t="s">
        <v>8389</v>
      </c>
      <c r="B183" t="s">
        <v>143</v>
      </c>
      <c r="C183" t="s">
        <v>3472</v>
      </c>
      <c r="D183" t="s">
        <v>8256</v>
      </c>
      <c r="E183" t="s">
        <v>8239</v>
      </c>
      <c r="F183" t="s">
        <v>3473</v>
      </c>
    </row>
    <row r="184" spans="1:7" x14ac:dyDescent="0.25">
      <c r="A184" t="s">
        <v>8389</v>
      </c>
      <c r="B184" t="s">
        <v>143</v>
      </c>
      <c r="C184" t="s">
        <v>8394</v>
      </c>
      <c r="D184" t="s">
        <v>8256</v>
      </c>
      <c r="E184" t="s">
        <v>8239</v>
      </c>
      <c r="F184" t="s">
        <v>8395</v>
      </c>
    </row>
    <row r="185" spans="1:7" x14ac:dyDescent="0.25">
      <c r="A185" t="s">
        <v>8389</v>
      </c>
      <c r="B185" t="s">
        <v>143</v>
      </c>
      <c r="C185" t="s">
        <v>8396</v>
      </c>
      <c r="D185" t="s">
        <v>8256</v>
      </c>
      <c r="E185" t="s">
        <v>8239</v>
      </c>
      <c r="F185" t="s">
        <v>8397</v>
      </c>
    </row>
    <row r="186" spans="1:7" x14ac:dyDescent="0.25">
      <c r="A186" t="s">
        <v>8389</v>
      </c>
      <c r="B186" t="s">
        <v>143</v>
      </c>
      <c r="C186" t="s">
        <v>8398</v>
      </c>
      <c r="D186" t="s">
        <v>8399</v>
      </c>
      <c r="E186" t="s">
        <v>8245</v>
      </c>
      <c r="F186" t="s">
        <v>8400</v>
      </c>
    </row>
    <row r="187" spans="1:7" x14ac:dyDescent="0.25">
      <c r="A187" t="s">
        <v>8389</v>
      </c>
      <c r="B187" t="s">
        <v>143</v>
      </c>
      <c r="C187" t="s">
        <v>8401</v>
      </c>
      <c r="D187" t="s">
        <v>8256</v>
      </c>
      <c r="E187" t="s">
        <v>8239</v>
      </c>
      <c r="F187" t="s">
        <v>8402</v>
      </c>
    </row>
    <row r="188" spans="1:7" x14ac:dyDescent="0.25">
      <c r="A188" t="s">
        <v>8389</v>
      </c>
      <c r="B188" t="s">
        <v>143</v>
      </c>
      <c r="C188" t="s">
        <v>8403</v>
      </c>
      <c r="D188" t="s">
        <v>8399</v>
      </c>
      <c r="E188" t="s">
        <v>8245</v>
      </c>
      <c r="F188" t="s">
        <v>8404</v>
      </c>
    </row>
    <row r="189" spans="1:7" x14ac:dyDescent="0.25">
      <c r="A189" t="s">
        <v>8389</v>
      </c>
      <c r="B189" t="s">
        <v>166</v>
      </c>
      <c r="C189" t="s">
        <v>8405</v>
      </c>
      <c r="D189" t="s">
        <v>167</v>
      </c>
      <c r="E189" t="s">
        <v>41</v>
      </c>
      <c r="F189" t="s">
        <v>8406</v>
      </c>
    </row>
    <row r="190" spans="1:7" x14ac:dyDescent="0.25">
      <c r="A190" t="s">
        <v>8389</v>
      </c>
      <c r="B190" t="s">
        <v>166</v>
      </c>
      <c r="C190" t="s">
        <v>216</v>
      </c>
      <c r="D190" t="s">
        <v>167</v>
      </c>
      <c r="E190" t="s">
        <v>41</v>
      </c>
      <c r="F190" t="s">
        <v>8407</v>
      </c>
    </row>
    <row r="191" spans="1:7" x14ac:dyDescent="0.25">
      <c r="A191" t="s">
        <v>36</v>
      </c>
      <c r="B191" t="s">
        <v>153</v>
      </c>
      <c r="C191" t="s">
        <v>8408</v>
      </c>
      <c r="D191" t="s">
        <v>154</v>
      </c>
      <c r="E191" t="s">
        <v>155</v>
      </c>
      <c r="F191" t="s">
        <v>8409</v>
      </c>
    </row>
    <row r="192" spans="1:7" x14ac:dyDescent="0.25">
      <c r="A192" t="s">
        <v>36</v>
      </c>
      <c r="B192" t="s">
        <v>153</v>
      </c>
      <c r="C192" t="s">
        <v>8410</v>
      </c>
      <c r="D192" t="s">
        <v>154</v>
      </c>
      <c r="E192" t="s">
        <v>155</v>
      </c>
      <c r="F192" t="s">
        <v>8411</v>
      </c>
      <c r="G192" s="14" t="s">
        <v>8412</v>
      </c>
    </row>
    <row r="193" spans="1:7" x14ac:dyDescent="0.25">
      <c r="A193" t="s">
        <v>36</v>
      </c>
      <c r="B193" t="s">
        <v>38</v>
      </c>
      <c r="C193" t="s">
        <v>8413</v>
      </c>
      <c r="D193" t="s">
        <v>8254</v>
      </c>
      <c r="E193" t="s">
        <v>41</v>
      </c>
      <c r="F193" t="s">
        <v>8414</v>
      </c>
    </row>
    <row r="194" spans="1:7" x14ac:dyDescent="0.25">
      <c r="A194" t="s">
        <v>36</v>
      </c>
      <c r="B194" t="s">
        <v>38</v>
      </c>
      <c r="C194" t="s">
        <v>8415</v>
      </c>
      <c r="D194" t="s">
        <v>8254</v>
      </c>
      <c r="E194" t="s">
        <v>41</v>
      </c>
      <c r="F194" t="s">
        <v>8416</v>
      </c>
      <c r="G194" s="14" t="s">
        <v>8412</v>
      </c>
    </row>
    <row r="195" spans="1:7" x14ac:dyDescent="0.25">
      <c r="A195" t="s">
        <v>36</v>
      </c>
      <c r="B195" t="s">
        <v>38</v>
      </c>
      <c r="C195" s="2" t="s">
        <v>8417</v>
      </c>
      <c r="D195" t="s">
        <v>69</v>
      </c>
      <c r="E195" t="s">
        <v>41</v>
      </c>
      <c r="F195" t="s">
        <v>8418</v>
      </c>
      <c r="G195" s="14" t="s">
        <v>8412</v>
      </c>
    </row>
    <row r="196" spans="1:7" x14ac:dyDescent="0.25">
      <c r="A196" t="s">
        <v>36</v>
      </c>
      <c r="B196" t="s">
        <v>38</v>
      </c>
      <c r="C196" t="s">
        <v>8419</v>
      </c>
      <c r="D196" t="s">
        <v>69</v>
      </c>
      <c r="E196" t="s">
        <v>41</v>
      </c>
      <c r="F196" t="s">
        <v>8420</v>
      </c>
      <c r="G196" s="14" t="s">
        <v>8412</v>
      </c>
    </row>
    <row r="197" spans="1:7" x14ac:dyDescent="0.25">
      <c r="A197" t="s">
        <v>36</v>
      </c>
      <c r="B197" t="s">
        <v>38</v>
      </c>
      <c r="C197" t="s">
        <v>8421</v>
      </c>
      <c r="D197" t="s">
        <v>69</v>
      </c>
      <c r="E197" t="s">
        <v>41</v>
      </c>
      <c r="F197" t="s">
        <v>8422</v>
      </c>
      <c r="G197" s="14" t="s">
        <v>8412</v>
      </c>
    </row>
    <row r="198" spans="1:7" x14ac:dyDescent="0.25">
      <c r="A198" t="s">
        <v>36</v>
      </c>
      <c r="B198" t="s">
        <v>38</v>
      </c>
      <c r="C198" t="s">
        <v>8423</v>
      </c>
      <c r="D198" t="s">
        <v>69</v>
      </c>
      <c r="E198" t="s">
        <v>41</v>
      </c>
      <c r="F198" t="s">
        <v>8424</v>
      </c>
      <c r="G198" s="14" t="s">
        <v>8412</v>
      </c>
    </row>
    <row r="199" spans="1:7" x14ac:dyDescent="0.25">
      <c r="A199" t="s">
        <v>36</v>
      </c>
      <c r="B199" t="s">
        <v>38</v>
      </c>
      <c r="C199" s="2" t="s">
        <v>8425</v>
      </c>
      <c r="D199" t="s">
        <v>69</v>
      </c>
      <c r="E199" t="s">
        <v>41</v>
      </c>
      <c r="F199" t="s">
        <v>8426</v>
      </c>
      <c r="G199" s="14" t="s">
        <v>8412</v>
      </c>
    </row>
    <row r="200" spans="1:7" x14ac:dyDescent="0.25">
      <c r="A200" t="s">
        <v>36</v>
      </c>
      <c r="B200" t="s">
        <v>38</v>
      </c>
      <c r="C200" s="2" t="s">
        <v>8427</v>
      </c>
      <c r="D200" t="s">
        <v>69</v>
      </c>
      <c r="E200" t="s">
        <v>41</v>
      </c>
      <c r="F200" t="s">
        <v>8428</v>
      </c>
      <c r="G200" s="14" t="s">
        <v>8412</v>
      </c>
    </row>
    <row r="201" spans="1:7" x14ac:dyDescent="0.25">
      <c r="A201" t="s">
        <v>36</v>
      </c>
      <c r="B201" t="s">
        <v>38</v>
      </c>
      <c r="C201" t="s">
        <v>74</v>
      </c>
      <c r="D201" t="s">
        <v>69</v>
      </c>
      <c r="E201" t="s">
        <v>41</v>
      </c>
      <c r="F201" t="s">
        <v>75</v>
      </c>
    </row>
    <row r="202" spans="1:7" x14ac:dyDescent="0.25">
      <c r="A202" t="s">
        <v>36</v>
      </c>
      <c r="B202" t="s">
        <v>38</v>
      </c>
      <c r="C202" t="s">
        <v>5329</v>
      </c>
      <c r="D202" t="s">
        <v>69</v>
      </c>
      <c r="E202" t="s">
        <v>41</v>
      </c>
      <c r="F202" t="s">
        <v>5330</v>
      </c>
      <c r="G202" s="14" t="s">
        <v>8412</v>
      </c>
    </row>
    <row r="203" spans="1:7" x14ac:dyDescent="0.25">
      <c r="A203" t="s">
        <v>36</v>
      </c>
      <c r="B203" t="s">
        <v>38</v>
      </c>
      <c r="C203" t="s">
        <v>8429</v>
      </c>
      <c r="D203" t="s">
        <v>69</v>
      </c>
      <c r="E203" t="s">
        <v>41</v>
      </c>
      <c r="F203" t="s">
        <v>8430</v>
      </c>
      <c r="G203" s="14" t="s">
        <v>8412</v>
      </c>
    </row>
    <row r="204" spans="1:7" x14ac:dyDescent="0.25">
      <c r="A204" t="s">
        <v>36</v>
      </c>
      <c r="B204" t="s">
        <v>38</v>
      </c>
      <c r="C204" t="s">
        <v>68</v>
      </c>
      <c r="D204" t="s">
        <v>69</v>
      </c>
      <c r="E204" t="s">
        <v>41</v>
      </c>
      <c r="F204" t="s">
        <v>71</v>
      </c>
    </row>
    <row r="205" spans="1:7" x14ac:dyDescent="0.25">
      <c r="A205" t="s">
        <v>36</v>
      </c>
      <c r="B205" t="s">
        <v>38</v>
      </c>
      <c r="C205" t="s">
        <v>5333</v>
      </c>
      <c r="D205" t="s">
        <v>69</v>
      </c>
      <c r="E205" t="s">
        <v>41</v>
      </c>
      <c r="F205" t="s">
        <v>5334</v>
      </c>
      <c r="G205" s="14" t="s">
        <v>8412</v>
      </c>
    </row>
    <row r="206" spans="1:7" x14ac:dyDescent="0.25">
      <c r="A206" t="s">
        <v>36</v>
      </c>
      <c r="B206" t="s">
        <v>38</v>
      </c>
      <c r="C206" t="s">
        <v>8431</v>
      </c>
      <c r="D206" t="s">
        <v>69</v>
      </c>
      <c r="E206" t="s">
        <v>41</v>
      </c>
      <c r="F206" t="s">
        <v>8432</v>
      </c>
      <c r="G206" s="14" t="s">
        <v>8412</v>
      </c>
    </row>
    <row r="207" spans="1:7" x14ac:dyDescent="0.25">
      <c r="A207" t="s">
        <v>36</v>
      </c>
      <c r="B207" t="s">
        <v>38</v>
      </c>
      <c r="C207" s="2" t="s">
        <v>8087</v>
      </c>
      <c r="D207" t="s">
        <v>8254</v>
      </c>
      <c r="E207" t="s">
        <v>41</v>
      </c>
      <c r="F207" t="s">
        <v>8433</v>
      </c>
    </row>
    <row r="208" spans="1:7" x14ac:dyDescent="0.25">
      <c r="A208" t="s">
        <v>36</v>
      </c>
      <c r="B208" t="s">
        <v>38</v>
      </c>
      <c r="C208" t="s">
        <v>52</v>
      </c>
      <c r="D208" t="s">
        <v>8254</v>
      </c>
      <c r="E208" t="s">
        <v>41</v>
      </c>
      <c r="F208" t="s">
        <v>54</v>
      </c>
    </row>
    <row r="209" spans="1:7" x14ac:dyDescent="0.25">
      <c r="A209" t="s">
        <v>36</v>
      </c>
      <c r="B209" t="s">
        <v>38</v>
      </c>
      <c r="C209" t="s">
        <v>8434</v>
      </c>
      <c r="D209" t="s">
        <v>69</v>
      </c>
      <c r="E209" t="s">
        <v>41</v>
      </c>
      <c r="F209" t="s">
        <v>8435</v>
      </c>
      <c r="G209" s="14" t="s">
        <v>8412</v>
      </c>
    </row>
    <row r="210" spans="1:7" x14ac:dyDescent="0.25">
      <c r="A210" t="s">
        <v>36</v>
      </c>
      <c r="B210" t="s">
        <v>38</v>
      </c>
      <c r="C210" t="s">
        <v>8436</v>
      </c>
      <c r="D210" t="s">
        <v>69</v>
      </c>
      <c r="E210" t="s">
        <v>41</v>
      </c>
      <c r="F210" t="s">
        <v>8437</v>
      </c>
    </row>
    <row r="211" spans="1:7" x14ac:dyDescent="0.25">
      <c r="A211" t="s">
        <v>36</v>
      </c>
      <c r="B211" t="s">
        <v>38</v>
      </c>
      <c r="C211" t="s">
        <v>39</v>
      </c>
      <c r="D211" t="s">
        <v>8254</v>
      </c>
      <c r="E211" t="s">
        <v>41</v>
      </c>
      <c r="F211" t="s">
        <v>45</v>
      </c>
    </row>
    <row r="212" spans="1:7" x14ac:dyDescent="0.25">
      <c r="A212" t="s">
        <v>36</v>
      </c>
      <c r="B212" t="s">
        <v>38</v>
      </c>
      <c r="C212" t="s">
        <v>63</v>
      </c>
      <c r="D212" s="52" t="s">
        <v>40</v>
      </c>
      <c r="E212" t="s">
        <v>41</v>
      </c>
      <c r="F212" t="s">
        <v>65</v>
      </c>
    </row>
    <row r="213" spans="1:7" x14ac:dyDescent="0.25">
      <c r="A213" t="s">
        <v>36</v>
      </c>
      <c r="B213" t="s">
        <v>38</v>
      </c>
      <c r="C213" t="s">
        <v>8438</v>
      </c>
      <c r="D213" t="s">
        <v>69</v>
      </c>
      <c r="E213" t="s">
        <v>41</v>
      </c>
      <c r="F213" t="s">
        <v>8439</v>
      </c>
      <c r="G213" s="14" t="s">
        <v>8412</v>
      </c>
    </row>
    <row r="214" spans="1:7" x14ac:dyDescent="0.25">
      <c r="A214" t="s">
        <v>36</v>
      </c>
      <c r="B214" t="s">
        <v>38</v>
      </c>
      <c r="C214" t="s">
        <v>8440</v>
      </c>
      <c r="D214" t="s">
        <v>69</v>
      </c>
      <c r="E214" t="s">
        <v>41</v>
      </c>
      <c r="F214" t="s">
        <v>8441</v>
      </c>
      <c r="G214" s="14" t="s">
        <v>8412</v>
      </c>
    </row>
    <row r="215" spans="1:7" x14ac:dyDescent="0.25">
      <c r="A215" t="s">
        <v>36</v>
      </c>
      <c r="B215" t="s">
        <v>38</v>
      </c>
      <c r="C215" s="2" t="s">
        <v>8442</v>
      </c>
      <c r="D215" t="s">
        <v>8254</v>
      </c>
      <c r="E215" t="s">
        <v>41</v>
      </c>
      <c r="F215" t="s">
        <v>8443</v>
      </c>
    </row>
    <row r="216" spans="1:7" x14ac:dyDescent="0.25">
      <c r="A216" t="s">
        <v>36</v>
      </c>
      <c r="B216" t="s">
        <v>38</v>
      </c>
      <c r="C216" t="s">
        <v>58</v>
      </c>
      <c r="D216" t="s">
        <v>8254</v>
      </c>
      <c r="E216" t="s">
        <v>41</v>
      </c>
      <c r="F216" t="s">
        <v>60</v>
      </c>
    </row>
    <row r="217" spans="1:7" x14ac:dyDescent="0.25">
      <c r="A217" t="s">
        <v>36</v>
      </c>
      <c r="B217" t="s">
        <v>38</v>
      </c>
      <c r="C217" s="2" t="s">
        <v>8444</v>
      </c>
      <c r="D217" t="s">
        <v>69</v>
      </c>
      <c r="E217" t="s">
        <v>41</v>
      </c>
      <c r="F217" t="s">
        <v>8445</v>
      </c>
      <c r="G217" s="53" t="s">
        <v>8446</v>
      </c>
    </row>
    <row r="218" spans="1:7" x14ac:dyDescent="0.25">
      <c r="A218" t="s">
        <v>36</v>
      </c>
      <c r="B218" t="s">
        <v>143</v>
      </c>
      <c r="C218" s="57" t="s">
        <v>8447</v>
      </c>
      <c r="D218" t="s">
        <v>8256</v>
      </c>
      <c r="E218" t="s">
        <v>8239</v>
      </c>
      <c r="F218" t="s">
        <v>8448</v>
      </c>
      <c r="G218" s="14" t="s">
        <v>8412</v>
      </c>
    </row>
    <row r="219" spans="1:7" x14ac:dyDescent="0.25">
      <c r="A219" t="s">
        <v>36</v>
      </c>
      <c r="B219" t="s">
        <v>143</v>
      </c>
      <c r="C219" s="57" t="s">
        <v>8449</v>
      </c>
      <c r="D219" t="s">
        <v>8256</v>
      </c>
      <c r="E219" t="s">
        <v>8239</v>
      </c>
      <c r="F219" t="s">
        <v>8450</v>
      </c>
      <c r="G219" s="14" t="s">
        <v>8412</v>
      </c>
    </row>
    <row r="220" spans="1:7" x14ac:dyDescent="0.25">
      <c r="A220" t="s">
        <v>36</v>
      </c>
      <c r="B220" t="s">
        <v>143</v>
      </c>
      <c r="C220" t="s">
        <v>8451</v>
      </c>
      <c r="D220" t="s">
        <v>8256</v>
      </c>
      <c r="E220" t="s">
        <v>8239</v>
      </c>
      <c r="F220" t="s">
        <v>8452</v>
      </c>
      <c r="G220" s="14" t="s">
        <v>8412</v>
      </c>
    </row>
    <row r="221" spans="1:7" x14ac:dyDescent="0.25">
      <c r="A221" t="s">
        <v>36</v>
      </c>
      <c r="B221" t="s">
        <v>143</v>
      </c>
      <c r="C221" t="s">
        <v>8453</v>
      </c>
      <c r="D221" t="s">
        <v>8256</v>
      </c>
      <c r="E221" t="s">
        <v>8239</v>
      </c>
      <c r="F221" t="s">
        <v>8454</v>
      </c>
      <c r="G221" s="14" t="s">
        <v>8412</v>
      </c>
    </row>
    <row r="222" spans="1:7" x14ac:dyDescent="0.25">
      <c r="A222" t="s">
        <v>36</v>
      </c>
      <c r="B222" t="s">
        <v>143</v>
      </c>
      <c r="C222" s="57" t="s">
        <v>8455</v>
      </c>
      <c r="D222" t="s">
        <v>745</v>
      </c>
      <c r="E222" t="s">
        <v>262</v>
      </c>
      <c r="F222" t="s">
        <v>8456</v>
      </c>
      <c r="G222" s="14" t="s">
        <v>8457</v>
      </c>
    </row>
    <row r="223" spans="1:7" x14ac:dyDescent="0.25">
      <c r="A223" t="s">
        <v>2870</v>
      </c>
      <c r="B223" t="s">
        <v>153</v>
      </c>
      <c r="C223" t="s">
        <v>479</v>
      </c>
      <c r="D223" t="s">
        <v>154</v>
      </c>
      <c r="E223" t="s">
        <v>155</v>
      </c>
      <c r="F223" t="s">
        <v>480</v>
      </c>
    </row>
    <row r="224" spans="1:7" ht="60" customHeight="1" x14ac:dyDescent="0.25">
      <c r="A224" t="s">
        <v>2870</v>
      </c>
      <c r="B224" t="s">
        <v>153</v>
      </c>
      <c r="C224" t="s">
        <v>8458</v>
      </c>
      <c r="D224" t="s">
        <v>154</v>
      </c>
      <c r="E224" t="s">
        <v>155</v>
      </c>
      <c r="F224" t="s">
        <v>8459</v>
      </c>
      <c r="G224" s="53" t="s">
        <v>8460</v>
      </c>
    </row>
    <row r="225" spans="1:7" x14ac:dyDescent="0.25">
      <c r="A225" t="s">
        <v>2870</v>
      </c>
      <c r="B225" t="s">
        <v>153</v>
      </c>
      <c r="C225" t="s">
        <v>7006</v>
      </c>
      <c r="D225" t="s">
        <v>154</v>
      </c>
      <c r="E225" t="s">
        <v>155</v>
      </c>
      <c r="F225" t="s">
        <v>7007</v>
      </c>
    </row>
    <row r="226" spans="1:7" x14ac:dyDescent="0.25">
      <c r="A226" t="s">
        <v>2870</v>
      </c>
      <c r="B226" t="s">
        <v>153</v>
      </c>
      <c r="C226" t="s">
        <v>8461</v>
      </c>
      <c r="D226" t="s">
        <v>154</v>
      </c>
      <c r="E226" t="s">
        <v>155</v>
      </c>
      <c r="F226" t="s">
        <v>8462</v>
      </c>
    </row>
    <row r="227" spans="1:7" ht="75" customHeight="1" x14ac:dyDescent="0.25">
      <c r="A227" t="s">
        <v>2870</v>
      </c>
      <c r="B227" t="s">
        <v>153</v>
      </c>
      <c r="C227" t="s">
        <v>475</v>
      </c>
      <c r="D227" t="s">
        <v>154</v>
      </c>
      <c r="E227" t="s">
        <v>155</v>
      </c>
      <c r="F227" t="s">
        <v>476</v>
      </c>
      <c r="G227" s="14" t="s">
        <v>8463</v>
      </c>
    </row>
    <row r="228" spans="1:7" x14ac:dyDescent="0.25">
      <c r="A228" t="s">
        <v>2870</v>
      </c>
      <c r="B228" t="s">
        <v>153</v>
      </c>
      <c r="C228" t="s">
        <v>3451</v>
      </c>
      <c r="D228" t="s">
        <v>154</v>
      </c>
      <c r="E228" t="s">
        <v>155</v>
      </c>
      <c r="F228" t="s">
        <v>3452</v>
      </c>
      <c r="G228" s="14" t="s">
        <v>8464</v>
      </c>
    </row>
    <row r="229" spans="1:7" x14ac:dyDescent="0.25">
      <c r="A229" t="s">
        <v>2870</v>
      </c>
      <c r="B229" t="s">
        <v>153</v>
      </c>
      <c r="C229" t="s">
        <v>8465</v>
      </c>
      <c r="D229" t="s">
        <v>154</v>
      </c>
      <c r="E229" t="s">
        <v>155</v>
      </c>
      <c r="F229" t="s">
        <v>8466</v>
      </c>
    </row>
    <row r="230" spans="1:7" x14ac:dyDescent="0.25">
      <c r="A230" t="s">
        <v>2870</v>
      </c>
      <c r="B230" t="s">
        <v>153</v>
      </c>
      <c r="C230" t="s">
        <v>8467</v>
      </c>
      <c r="D230" t="s">
        <v>154</v>
      </c>
      <c r="E230" t="s">
        <v>155</v>
      </c>
      <c r="F230" t="s">
        <v>8468</v>
      </c>
    </row>
    <row r="231" spans="1:7" x14ac:dyDescent="0.25">
      <c r="A231" t="s">
        <v>2870</v>
      </c>
      <c r="B231" t="s">
        <v>153</v>
      </c>
      <c r="C231" t="s">
        <v>8469</v>
      </c>
      <c r="D231" t="s">
        <v>154</v>
      </c>
      <c r="E231" t="s">
        <v>155</v>
      </c>
      <c r="F231" t="s">
        <v>8470</v>
      </c>
    </row>
    <row r="232" spans="1:7" x14ac:dyDescent="0.25">
      <c r="A232" t="s">
        <v>2870</v>
      </c>
      <c r="B232" t="s">
        <v>153</v>
      </c>
      <c r="C232" t="s">
        <v>8471</v>
      </c>
      <c r="D232" t="s">
        <v>154</v>
      </c>
      <c r="E232" t="s">
        <v>155</v>
      </c>
      <c r="F232" t="s">
        <v>8472</v>
      </c>
    </row>
    <row r="233" spans="1:7" ht="60" customHeight="1" x14ac:dyDescent="0.25">
      <c r="A233" t="s">
        <v>2870</v>
      </c>
      <c r="B233" t="s">
        <v>153</v>
      </c>
      <c r="C233" t="s">
        <v>2664</v>
      </c>
      <c r="D233" t="s">
        <v>154</v>
      </c>
      <c r="E233" t="s">
        <v>155</v>
      </c>
      <c r="F233" t="s">
        <v>2669</v>
      </c>
      <c r="G233" s="53" t="s">
        <v>8460</v>
      </c>
    </row>
    <row r="234" spans="1:7" x14ac:dyDescent="0.25">
      <c r="A234" t="s">
        <v>2870</v>
      </c>
      <c r="B234" t="s">
        <v>153</v>
      </c>
      <c r="C234" t="s">
        <v>8473</v>
      </c>
      <c r="D234" t="s">
        <v>154</v>
      </c>
      <c r="E234" t="s">
        <v>155</v>
      </c>
      <c r="F234" t="s">
        <v>8474</v>
      </c>
    </row>
    <row r="235" spans="1:7" x14ac:dyDescent="0.25">
      <c r="A235" t="s">
        <v>2870</v>
      </c>
      <c r="B235" t="s">
        <v>280</v>
      </c>
      <c r="C235" t="s">
        <v>504</v>
      </c>
      <c r="D235" t="s">
        <v>282</v>
      </c>
      <c r="E235" t="s">
        <v>8237</v>
      </c>
      <c r="F235" t="s">
        <v>505</v>
      </c>
    </row>
    <row r="236" spans="1:7" x14ac:dyDescent="0.25">
      <c r="A236" t="s">
        <v>2870</v>
      </c>
      <c r="B236" t="s">
        <v>143</v>
      </c>
      <c r="C236" s="57" t="s">
        <v>8475</v>
      </c>
      <c r="D236" t="s">
        <v>145</v>
      </c>
      <c r="E236" t="s">
        <v>146</v>
      </c>
      <c r="F236" t="s">
        <v>8476</v>
      </c>
    </row>
    <row r="237" spans="1:7" x14ac:dyDescent="0.25">
      <c r="A237" s="52" t="s">
        <v>2870</v>
      </c>
      <c r="B237" s="52" t="s">
        <v>166</v>
      </c>
      <c r="C237" s="52" t="s">
        <v>468</v>
      </c>
      <c r="D237" s="52" t="s">
        <v>167</v>
      </c>
      <c r="E237" s="52" t="s">
        <v>41</v>
      </c>
      <c r="F237" s="52" t="s">
        <v>471</v>
      </c>
    </row>
    <row r="238" spans="1:7" x14ac:dyDescent="0.25">
      <c r="A238" s="52" t="s">
        <v>2870</v>
      </c>
      <c r="B238" s="52" t="s">
        <v>166</v>
      </c>
      <c r="C238" s="52" t="s">
        <v>4251</v>
      </c>
      <c r="D238" s="52" t="s">
        <v>167</v>
      </c>
      <c r="E238" s="52" t="s">
        <v>41</v>
      </c>
      <c r="F238" t="s">
        <v>4252</v>
      </c>
    </row>
    <row r="239" spans="1:7" x14ac:dyDescent="0.25">
      <c r="A239" s="52" t="s">
        <v>2870</v>
      </c>
      <c r="B239" s="52" t="s">
        <v>166</v>
      </c>
      <c r="C239" s="52" t="s">
        <v>479</v>
      </c>
      <c r="D239" s="52" t="s">
        <v>167</v>
      </c>
      <c r="E239" s="52" t="s">
        <v>41</v>
      </c>
      <c r="F239" s="52" t="s">
        <v>487</v>
      </c>
    </row>
    <row r="240" spans="1:7" x14ac:dyDescent="0.25">
      <c r="A240" s="52" t="s">
        <v>2870</v>
      </c>
      <c r="B240" s="52" t="s">
        <v>166</v>
      </c>
      <c r="C240" s="52" t="s">
        <v>1570</v>
      </c>
      <c r="D240" s="52" t="s">
        <v>167</v>
      </c>
      <c r="E240" s="52" t="s">
        <v>41</v>
      </c>
      <c r="F240" s="52" t="s">
        <v>1578</v>
      </c>
    </row>
    <row r="241" spans="1:7" x14ac:dyDescent="0.25">
      <c r="A241" s="52" t="s">
        <v>2870</v>
      </c>
      <c r="B241" s="52" t="s">
        <v>166</v>
      </c>
      <c r="C241" s="52" t="s">
        <v>475</v>
      </c>
      <c r="D241" s="52" t="s">
        <v>167</v>
      </c>
      <c r="E241" s="52" t="s">
        <v>41</v>
      </c>
      <c r="F241" s="52" t="s">
        <v>483</v>
      </c>
    </row>
    <row r="242" spans="1:7" x14ac:dyDescent="0.25">
      <c r="A242" s="52" t="s">
        <v>2870</v>
      </c>
      <c r="B242" s="52" t="s">
        <v>89</v>
      </c>
      <c r="C242" s="52" t="s">
        <v>1570</v>
      </c>
      <c r="D242" s="52" t="s">
        <v>1571</v>
      </c>
      <c r="E242" s="52" t="s">
        <v>1576</v>
      </c>
      <c r="F242" s="52" t="s">
        <v>1573</v>
      </c>
    </row>
    <row r="243" spans="1:7" x14ac:dyDescent="0.25">
      <c r="A243" s="52" t="s">
        <v>2870</v>
      </c>
      <c r="B243" s="52" t="s">
        <v>89</v>
      </c>
      <c r="C243" s="52" t="s">
        <v>1570</v>
      </c>
      <c r="D243" s="52" t="s">
        <v>1571</v>
      </c>
      <c r="E243" s="52" t="s">
        <v>1572</v>
      </c>
      <c r="F243" s="52" t="s">
        <v>1573</v>
      </c>
    </row>
    <row r="244" spans="1:7" x14ac:dyDescent="0.25">
      <c r="A244" s="52" t="s">
        <v>2870</v>
      </c>
      <c r="B244" s="52" t="s">
        <v>89</v>
      </c>
      <c r="C244" s="52" t="s">
        <v>4251</v>
      </c>
      <c r="D244" s="52" t="s">
        <v>8247</v>
      </c>
      <c r="E244" t="s">
        <v>8251</v>
      </c>
      <c r="F244" s="52" t="s">
        <v>4255</v>
      </c>
    </row>
    <row r="245" spans="1:7" x14ac:dyDescent="0.25">
      <c r="A245" s="52" t="s">
        <v>866</v>
      </c>
      <c r="B245" s="52" t="s">
        <v>153</v>
      </c>
      <c r="C245" s="52" t="s">
        <v>997</v>
      </c>
      <c r="D245" t="s">
        <v>154</v>
      </c>
      <c r="E245" t="s">
        <v>155</v>
      </c>
      <c r="F245" s="52" t="s">
        <v>998</v>
      </c>
    </row>
    <row r="246" spans="1:7" x14ac:dyDescent="0.25">
      <c r="A246" s="52" t="s">
        <v>866</v>
      </c>
      <c r="B246" s="52" t="s">
        <v>38</v>
      </c>
      <c r="C246" s="52" t="s">
        <v>8477</v>
      </c>
      <c r="D246" t="s">
        <v>69</v>
      </c>
      <c r="E246" s="52" t="s">
        <v>41</v>
      </c>
      <c r="F246" s="52" t="s">
        <v>8478</v>
      </c>
    </row>
    <row r="247" spans="1:7" x14ac:dyDescent="0.25">
      <c r="A247" s="52" t="s">
        <v>866</v>
      </c>
      <c r="B247" s="52" t="s">
        <v>38</v>
      </c>
      <c r="C247" s="52" t="s">
        <v>8479</v>
      </c>
      <c r="D247" t="s">
        <v>69</v>
      </c>
      <c r="E247" s="52" t="s">
        <v>41</v>
      </c>
      <c r="F247" s="52" t="s">
        <v>8480</v>
      </c>
    </row>
    <row r="248" spans="1:7" ht="45" customHeight="1" x14ac:dyDescent="0.25">
      <c r="A248" s="52" t="s">
        <v>866</v>
      </c>
      <c r="B248" t="s">
        <v>280</v>
      </c>
      <c r="C248" t="s">
        <v>8481</v>
      </c>
      <c r="D248" t="s">
        <v>282</v>
      </c>
      <c r="E248" s="52" t="s">
        <v>8237</v>
      </c>
      <c r="F248" s="52" t="s">
        <v>8482</v>
      </c>
      <c r="G248" s="14" t="s">
        <v>8483</v>
      </c>
    </row>
    <row r="249" spans="1:7" ht="30" customHeight="1" x14ac:dyDescent="0.25">
      <c r="A249" s="52" t="s">
        <v>866</v>
      </c>
      <c r="B249" s="52" t="s">
        <v>280</v>
      </c>
      <c r="C249" s="52" t="s">
        <v>8484</v>
      </c>
      <c r="D249" s="52" t="s">
        <v>282</v>
      </c>
      <c r="E249" s="52" t="s">
        <v>8237</v>
      </c>
      <c r="F249" s="52" t="s">
        <v>8485</v>
      </c>
      <c r="G249" s="53" t="s">
        <v>8486</v>
      </c>
    </row>
    <row r="250" spans="1:7" x14ac:dyDescent="0.25">
      <c r="A250" t="s">
        <v>866</v>
      </c>
      <c r="B250" t="s">
        <v>280</v>
      </c>
      <c r="C250" t="s">
        <v>3404</v>
      </c>
      <c r="D250" t="s">
        <v>282</v>
      </c>
      <c r="E250" s="52" t="s">
        <v>8237</v>
      </c>
      <c r="F250" t="s">
        <v>3407</v>
      </c>
    </row>
    <row r="251" spans="1:7" x14ac:dyDescent="0.25">
      <c r="A251" s="52" t="s">
        <v>866</v>
      </c>
      <c r="B251" t="s">
        <v>280</v>
      </c>
      <c r="C251" t="s">
        <v>8487</v>
      </c>
      <c r="D251" t="s">
        <v>282</v>
      </c>
      <c r="E251" s="52" t="s">
        <v>8237</v>
      </c>
      <c r="F251" s="52" t="s">
        <v>8488</v>
      </c>
      <c r="G251" s="14" t="s">
        <v>8489</v>
      </c>
    </row>
    <row r="252" spans="1:7" x14ac:dyDescent="0.25">
      <c r="A252" s="52" t="s">
        <v>866</v>
      </c>
      <c r="B252" s="52" t="s">
        <v>143</v>
      </c>
      <c r="C252" s="52" t="s">
        <v>8490</v>
      </c>
      <c r="D252" t="s">
        <v>8256</v>
      </c>
      <c r="E252" t="s">
        <v>8239</v>
      </c>
      <c r="F252" s="52" t="s">
        <v>8491</v>
      </c>
    </row>
    <row r="253" spans="1:7" x14ac:dyDescent="0.25">
      <c r="A253" t="s">
        <v>866</v>
      </c>
      <c r="B253" t="s">
        <v>143</v>
      </c>
      <c r="C253" t="s">
        <v>8492</v>
      </c>
      <c r="D253" t="s">
        <v>8256</v>
      </c>
      <c r="E253" t="s">
        <v>8239</v>
      </c>
      <c r="F253" t="s">
        <v>8493</v>
      </c>
    </row>
    <row r="254" spans="1:7" x14ac:dyDescent="0.25">
      <c r="A254" t="s">
        <v>866</v>
      </c>
      <c r="B254" t="s">
        <v>143</v>
      </c>
      <c r="C254" t="s">
        <v>8494</v>
      </c>
      <c r="D254" t="s">
        <v>8256</v>
      </c>
      <c r="E254" t="s">
        <v>8239</v>
      </c>
      <c r="F254" t="s">
        <v>8495</v>
      </c>
    </row>
    <row r="255" spans="1:7" x14ac:dyDescent="0.25">
      <c r="A255" t="s">
        <v>866</v>
      </c>
      <c r="B255" t="s">
        <v>143</v>
      </c>
      <c r="C255" t="s">
        <v>8496</v>
      </c>
      <c r="D255" t="s">
        <v>8256</v>
      </c>
      <c r="E255" t="s">
        <v>8239</v>
      </c>
      <c r="F255" t="s">
        <v>8497</v>
      </c>
    </row>
    <row r="256" spans="1:7" x14ac:dyDescent="0.25">
      <c r="A256" t="s">
        <v>866</v>
      </c>
      <c r="B256" t="s">
        <v>143</v>
      </c>
      <c r="C256" t="s">
        <v>8498</v>
      </c>
      <c r="D256" t="s">
        <v>8256</v>
      </c>
      <c r="E256" t="s">
        <v>8239</v>
      </c>
      <c r="F256" t="s">
        <v>8499</v>
      </c>
    </row>
    <row r="257" spans="1:6" x14ac:dyDescent="0.25">
      <c r="A257" t="s">
        <v>866</v>
      </c>
      <c r="B257" t="s">
        <v>143</v>
      </c>
      <c r="C257" t="s">
        <v>8500</v>
      </c>
      <c r="D257" t="s">
        <v>8256</v>
      </c>
      <c r="E257" t="s">
        <v>8239</v>
      </c>
      <c r="F257" t="s">
        <v>8501</v>
      </c>
    </row>
    <row r="258" spans="1:6" x14ac:dyDescent="0.25">
      <c r="A258" t="s">
        <v>866</v>
      </c>
      <c r="B258" t="s">
        <v>143</v>
      </c>
      <c r="C258" t="s">
        <v>8502</v>
      </c>
      <c r="D258" t="s">
        <v>8256</v>
      </c>
      <c r="E258" t="s">
        <v>8239</v>
      </c>
      <c r="F258" t="s">
        <v>8503</v>
      </c>
    </row>
    <row r="259" spans="1:6" x14ac:dyDescent="0.25">
      <c r="A259" t="s">
        <v>866</v>
      </c>
      <c r="B259" t="s">
        <v>143</v>
      </c>
      <c r="C259" t="s">
        <v>8504</v>
      </c>
      <c r="D259" t="s">
        <v>8256</v>
      </c>
      <c r="E259" t="s">
        <v>8239</v>
      </c>
      <c r="F259" t="s">
        <v>8505</v>
      </c>
    </row>
    <row r="260" spans="1:6" x14ac:dyDescent="0.25">
      <c r="A260" t="s">
        <v>866</v>
      </c>
      <c r="B260" t="s">
        <v>143</v>
      </c>
      <c r="C260" t="s">
        <v>8506</v>
      </c>
      <c r="D260" t="s">
        <v>8256</v>
      </c>
      <c r="E260" t="s">
        <v>8239</v>
      </c>
      <c r="F260" t="s">
        <v>8507</v>
      </c>
    </row>
    <row r="261" spans="1:6" x14ac:dyDescent="0.25">
      <c r="A261" t="s">
        <v>866</v>
      </c>
      <c r="B261" t="s">
        <v>143</v>
      </c>
      <c r="C261" t="s">
        <v>8508</v>
      </c>
      <c r="D261" t="s">
        <v>8256</v>
      </c>
      <c r="E261" t="s">
        <v>8239</v>
      </c>
      <c r="F261" t="s">
        <v>8509</v>
      </c>
    </row>
    <row r="262" spans="1:6" x14ac:dyDescent="0.25">
      <c r="A262" t="s">
        <v>866</v>
      </c>
      <c r="B262" t="s">
        <v>143</v>
      </c>
      <c r="C262" t="s">
        <v>8510</v>
      </c>
      <c r="D262" t="s">
        <v>8256</v>
      </c>
      <c r="E262" t="s">
        <v>8239</v>
      </c>
      <c r="F262" t="s">
        <v>8511</v>
      </c>
    </row>
    <row r="263" spans="1:6" x14ac:dyDescent="0.25">
      <c r="A263" s="52" t="s">
        <v>866</v>
      </c>
      <c r="B263" t="s">
        <v>143</v>
      </c>
      <c r="C263" t="s">
        <v>8512</v>
      </c>
      <c r="D263" t="s">
        <v>8256</v>
      </c>
      <c r="E263" t="s">
        <v>8239</v>
      </c>
      <c r="F263" t="s">
        <v>8513</v>
      </c>
    </row>
    <row r="264" spans="1:6" x14ac:dyDescent="0.25">
      <c r="A264" s="52" t="s">
        <v>866</v>
      </c>
      <c r="B264" t="s">
        <v>143</v>
      </c>
      <c r="C264" t="s">
        <v>8514</v>
      </c>
      <c r="D264" t="s">
        <v>8256</v>
      </c>
      <c r="E264" t="s">
        <v>8239</v>
      </c>
      <c r="F264" t="s">
        <v>8515</v>
      </c>
    </row>
    <row r="265" spans="1:6" x14ac:dyDescent="0.25">
      <c r="A265" t="s">
        <v>866</v>
      </c>
      <c r="B265" t="s">
        <v>143</v>
      </c>
      <c r="C265" t="s">
        <v>8516</v>
      </c>
      <c r="D265" t="s">
        <v>8256</v>
      </c>
      <c r="E265" t="s">
        <v>8239</v>
      </c>
      <c r="F265" t="s">
        <v>8517</v>
      </c>
    </row>
    <row r="266" spans="1:6" x14ac:dyDescent="0.25">
      <c r="A266" t="s">
        <v>866</v>
      </c>
      <c r="B266" t="s">
        <v>143</v>
      </c>
      <c r="C266" t="s">
        <v>8518</v>
      </c>
      <c r="D266" t="s">
        <v>8256</v>
      </c>
      <c r="E266" t="s">
        <v>8239</v>
      </c>
      <c r="F266" t="s">
        <v>8519</v>
      </c>
    </row>
    <row r="267" spans="1:6" x14ac:dyDescent="0.25">
      <c r="A267" t="s">
        <v>866</v>
      </c>
      <c r="B267" t="s">
        <v>143</v>
      </c>
      <c r="C267" t="s">
        <v>8520</v>
      </c>
      <c r="D267" t="s">
        <v>8256</v>
      </c>
      <c r="E267" t="s">
        <v>8239</v>
      </c>
      <c r="F267" t="s">
        <v>8521</v>
      </c>
    </row>
    <row r="268" spans="1:6" x14ac:dyDescent="0.25">
      <c r="A268" t="s">
        <v>866</v>
      </c>
      <c r="B268" t="s">
        <v>143</v>
      </c>
      <c r="C268" t="s">
        <v>8522</v>
      </c>
      <c r="D268" t="s">
        <v>8256</v>
      </c>
      <c r="E268" t="s">
        <v>8239</v>
      </c>
      <c r="F268" t="s">
        <v>8523</v>
      </c>
    </row>
    <row r="269" spans="1:6" x14ac:dyDescent="0.25">
      <c r="A269" s="52" t="s">
        <v>866</v>
      </c>
      <c r="B269" s="52" t="s">
        <v>166</v>
      </c>
      <c r="C269" s="52" t="s">
        <v>8283</v>
      </c>
      <c r="D269" s="52" t="s">
        <v>167</v>
      </c>
      <c r="E269" s="52" t="s">
        <v>41</v>
      </c>
      <c r="F269" s="52" t="s">
        <v>8284</v>
      </c>
    </row>
    <row r="270" spans="1:6" x14ac:dyDescent="0.25">
      <c r="A270" s="52" t="s">
        <v>866</v>
      </c>
      <c r="B270" s="52" t="s">
        <v>166</v>
      </c>
      <c r="C270" s="52" t="s">
        <v>8286</v>
      </c>
      <c r="D270" s="52" t="s">
        <v>167</v>
      </c>
      <c r="E270" s="52" t="s">
        <v>41</v>
      </c>
      <c r="F270" s="52" t="s">
        <v>8287</v>
      </c>
    </row>
    <row r="271" spans="1:6" x14ac:dyDescent="0.25">
      <c r="A271" s="52" t="s">
        <v>866</v>
      </c>
      <c r="B271" t="s">
        <v>166</v>
      </c>
      <c r="C271" t="s">
        <v>2227</v>
      </c>
      <c r="D271" s="52" t="s">
        <v>167</v>
      </c>
      <c r="E271" s="52" t="s">
        <v>41</v>
      </c>
      <c r="F271" s="52" t="s">
        <v>2229</v>
      </c>
    </row>
    <row r="272" spans="1:6" x14ac:dyDescent="0.25">
      <c r="A272" s="52" t="s">
        <v>866</v>
      </c>
      <c r="B272" t="s">
        <v>166</v>
      </c>
      <c r="C272" t="s">
        <v>8524</v>
      </c>
      <c r="D272" s="52" t="s">
        <v>167</v>
      </c>
      <c r="E272" s="52" t="s">
        <v>41</v>
      </c>
      <c r="F272" s="52" t="s">
        <v>8138</v>
      </c>
    </row>
    <row r="273" spans="1:7" x14ac:dyDescent="0.25">
      <c r="A273" s="52" t="s">
        <v>866</v>
      </c>
      <c r="B273" t="s">
        <v>166</v>
      </c>
      <c r="C273" t="s">
        <v>1279</v>
      </c>
      <c r="D273" s="52" t="s">
        <v>167</v>
      </c>
      <c r="E273" s="52" t="s">
        <v>41</v>
      </c>
      <c r="F273" s="52" t="s">
        <v>1282</v>
      </c>
    </row>
    <row r="274" spans="1:7" x14ac:dyDescent="0.25">
      <c r="A274" t="s">
        <v>866</v>
      </c>
      <c r="B274" t="s">
        <v>166</v>
      </c>
      <c r="C274" t="s">
        <v>8525</v>
      </c>
      <c r="D274" t="s">
        <v>167</v>
      </c>
      <c r="E274" t="s">
        <v>41</v>
      </c>
      <c r="F274" t="s">
        <v>8526</v>
      </c>
      <c r="G274" s="14" t="s">
        <v>8527</v>
      </c>
    </row>
    <row r="275" spans="1:7" x14ac:dyDescent="0.25">
      <c r="A275" t="s">
        <v>866</v>
      </c>
      <c r="B275" t="s">
        <v>166</v>
      </c>
      <c r="C275" t="s">
        <v>8487</v>
      </c>
      <c r="D275" t="s">
        <v>167</v>
      </c>
      <c r="E275" t="s">
        <v>41</v>
      </c>
      <c r="F275" t="s">
        <v>8528</v>
      </c>
      <c r="G275" s="14" t="s">
        <v>8489</v>
      </c>
    </row>
    <row r="276" spans="1:7" x14ac:dyDescent="0.25">
      <c r="A276" s="52" t="s">
        <v>6408</v>
      </c>
      <c r="B276" s="52" t="s">
        <v>153</v>
      </c>
      <c r="C276" s="52" t="s">
        <v>8529</v>
      </c>
      <c r="D276" s="52" t="s">
        <v>154</v>
      </c>
      <c r="E276" s="52" t="s">
        <v>155</v>
      </c>
      <c r="F276" s="52" t="s">
        <v>8530</v>
      </c>
    </row>
    <row r="277" spans="1:7" x14ac:dyDescent="0.25">
      <c r="A277" s="52" t="s">
        <v>6408</v>
      </c>
      <c r="B277" s="52" t="s">
        <v>153</v>
      </c>
      <c r="C277" s="52" t="s">
        <v>8531</v>
      </c>
      <c r="D277" s="52" t="s">
        <v>154</v>
      </c>
      <c r="E277" s="52" t="s">
        <v>155</v>
      </c>
      <c r="F277" s="52" t="s">
        <v>8532</v>
      </c>
    </row>
    <row r="278" spans="1:7" x14ac:dyDescent="0.25">
      <c r="A278" s="52" t="s">
        <v>6408</v>
      </c>
      <c r="B278" s="52" t="s">
        <v>153</v>
      </c>
      <c r="C278" s="52" t="s">
        <v>8533</v>
      </c>
      <c r="D278" s="52" t="s">
        <v>154</v>
      </c>
      <c r="E278" s="52" t="s">
        <v>155</v>
      </c>
      <c r="F278" s="52" t="s">
        <v>8534</v>
      </c>
    </row>
    <row r="279" spans="1:7" x14ac:dyDescent="0.25">
      <c r="A279" s="52" t="s">
        <v>6408</v>
      </c>
      <c r="B279" s="52" t="s">
        <v>153</v>
      </c>
      <c r="C279" s="52" t="s">
        <v>8535</v>
      </c>
      <c r="D279" s="52" t="s">
        <v>154</v>
      </c>
      <c r="E279" s="52" t="s">
        <v>155</v>
      </c>
      <c r="F279" s="52" t="s">
        <v>8536</v>
      </c>
    </row>
    <row r="280" spans="1:7" x14ac:dyDescent="0.25">
      <c r="A280" s="52" t="s">
        <v>6408</v>
      </c>
      <c r="B280" s="52" t="s">
        <v>38</v>
      </c>
      <c r="C280" s="52" t="s">
        <v>74</v>
      </c>
      <c r="D280" t="s">
        <v>69</v>
      </c>
      <c r="E280" s="52" t="s">
        <v>41</v>
      </c>
      <c r="F280" s="52" t="s">
        <v>8537</v>
      </c>
    </row>
    <row r="281" spans="1:7" x14ac:dyDescent="0.25">
      <c r="A281" s="52" t="s">
        <v>6408</v>
      </c>
      <c r="B281" s="52" t="s">
        <v>38</v>
      </c>
      <c r="C281" s="52" t="s">
        <v>8538</v>
      </c>
      <c r="D281" t="s">
        <v>69</v>
      </c>
      <c r="E281" s="52" t="s">
        <v>41</v>
      </c>
      <c r="F281" s="52" t="s">
        <v>8539</v>
      </c>
    </row>
    <row r="282" spans="1:7" x14ac:dyDescent="0.25">
      <c r="A282" s="52" t="s">
        <v>6408</v>
      </c>
      <c r="B282" s="52" t="s">
        <v>38</v>
      </c>
      <c r="C282" s="52" t="s">
        <v>68</v>
      </c>
      <c r="D282" t="s">
        <v>69</v>
      </c>
      <c r="E282" s="52" t="s">
        <v>41</v>
      </c>
      <c r="F282" s="52" t="s">
        <v>8540</v>
      </c>
    </row>
    <row r="283" spans="1:7" x14ac:dyDescent="0.25">
      <c r="A283" s="52" t="s">
        <v>6408</v>
      </c>
      <c r="B283" s="52" t="s">
        <v>38</v>
      </c>
      <c r="C283" s="52" t="s">
        <v>8541</v>
      </c>
      <c r="D283" t="s">
        <v>69</v>
      </c>
      <c r="E283" s="52" t="s">
        <v>41</v>
      </c>
      <c r="F283" s="52" t="s">
        <v>8542</v>
      </c>
    </row>
    <row r="284" spans="1:7" x14ac:dyDescent="0.25">
      <c r="A284" s="52" t="s">
        <v>6408</v>
      </c>
      <c r="B284" s="52" t="s">
        <v>38</v>
      </c>
      <c r="C284" s="52" t="s">
        <v>5333</v>
      </c>
      <c r="D284" t="s">
        <v>69</v>
      </c>
      <c r="E284" s="52" t="s">
        <v>41</v>
      </c>
      <c r="F284" s="52" t="s">
        <v>5334</v>
      </c>
    </row>
    <row r="285" spans="1:7" x14ac:dyDescent="0.25">
      <c r="A285" s="52" t="s">
        <v>6408</v>
      </c>
      <c r="B285" s="52" t="s">
        <v>38</v>
      </c>
      <c r="C285" s="52" t="s">
        <v>8543</v>
      </c>
      <c r="D285" s="52" t="s">
        <v>40</v>
      </c>
      <c r="E285" s="52" t="s">
        <v>41</v>
      </c>
      <c r="F285" s="52" t="s">
        <v>8544</v>
      </c>
    </row>
    <row r="286" spans="1:7" x14ac:dyDescent="0.25">
      <c r="A286" s="52" t="s">
        <v>6408</v>
      </c>
      <c r="B286" s="52" t="s">
        <v>38</v>
      </c>
      <c r="C286" s="52" t="s">
        <v>8545</v>
      </c>
      <c r="D286" s="52" t="s">
        <v>40</v>
      </c>
      <c r="E286" s="52" t="s">
        <v>41</v>
      </c>
      <c r="F286" s="52" t="s">
        <v>8546</v>
      </c>
    </row>
    <row r="287" spans="1:7" x14ac:dyDescent="0.25">
      <c r="A287" t="s">
        <v>6408</v>
      </c>
      <c r="B287" t="s">
        <v>38</v>
      </c>
      <c r="C287" t="s">
        <v>8545</v>
      </c>
      <c r="D287" s="52" t="s">
        <v>40</v>
      </c>
      <c r="E287" s="52" t="s">
        <v>41</v>
      </c>
      <c r="F287" t="s">
        <v>8547</v>
      </c>
    </row>
    <row r="288" spans="1:7" x14ac:dyDescent="0.25">
      <c r="A288" s="52" t="s">
        <v>6408</v>
      </c>
      <c r="B288" s="52" t="s">
        <v>38</v>
      </c>
      <c r="C288" s="52" t="s">
        <v>8548</v>
      </c>
      <c r="D288" t="s">
        <v>69</v>
      </c>
      <c r="E288" s="52" t="s">
        <v>41</v>
      </c>
      <c r="F288" s="52" t="s">
        <v>8549</v>
      </c>
    </row>
    <row r="289" spans="1:6" x14ac:dyDescent="0.25">
      <c r="A289" s="52" t="s">
        <v>6408</v>
      </c>
      <c r="B289" s="52" t="s">
        <v>280</v>
      </c>
      <c r="C289" s="52" t="s">
        <v>504</v>
      </c>
      <c r="D289" s="52" t="s">
        <v>282</v>
      </c>
      <c r="E289" s="52" t="s">
        <v>283</v>
      </c>
      <c r="F289" s="52" t="s">
        <v>505</v>
      </c>
    </row>
    <row r="290" spans="1:6" x14ac:dyDescent="0.25">
      <c r="A290" t="s">
        <v>6408</v>
      </c>
      <c r="B290" t="s">
        <v>280</v>
      </c>
      <c r="C290" t="s">
        <v>7903</v>
      </c>
      <c r="D290" t="s">
        <v>282</v>
      </c>
      <c r="E290" s="52" t="s">
        <v>8237</v>
      </c>
      <c r="F290" t="s">
        <v>8550</v>
      </c>
    </row>
    <row r="291" spans="1:6" x14ac:dyDescent="0.25">
      <c r="A291" s="52" t="s">
        <v>6408</v>
      </c>
      <c r="B291" s="52" t="s">
        <v>280</v>
      </c>
      <c r="C291" s="52" t="s">
        <v>1143</v>
      </c>
      <c r="D291" s="52" t="s">
        <v>282</v>
      </c>
      <c r="E291" s="52" t="s">
        <v>8237</v>
      </c>
      <c r="F291" s="52" t="s">
        <v>8551</v>
      </c>
    </row>
    <row r="292" spans="1:6" x14ac:dyDescent="0.25">
      <c r="A292" s="52" t="s">
        <v>6408</v>
      </c>
      <c r="B292" s="52" t="s">
        <v>280</v>
      </c>
      <c r="C292" s="52" t="s">
        <v>1143</v>
      </c>
      <c r="D292" s="52" t="s">
        <v>282</v>
      </c>
      <c r="E292" s="52" t="s">
        <v>8237</v>
      </c>
      <c r="F292" s="52" t="s">
        <v>6412</v>
      </c>
    </row>
    <row r="293" spans="1:6" x14ac:dyDescent="0.25">
      <c r="A293" t="s">
        <v>6408</v>
      </c>
      <c r="B293" t="s">
        <v>280</v>
      </c>
      <c r="C293" t="s">
        <v>8552</v>
      </c>
      <c r="D293" t="s">
        <v>282</v>
      </c>
      <c r="E293" t="s">
        <v>8237</v>
      </c>
      <c r="F293" t="s">
        <v>8553</v>
      </c>
    </row>
    <row r="294" spans="1:6" x14ac:dyDescent="0.25">
      <c r="A294" t="s">
        <v>6408</v>
      </c>
      <c r="B294" t="s">
        <v>280</v>
      </c>
      <c r="C294" t="s">
        <v>8554</v>
      </c>
      <c r="D294" t="s">
        <v>282</v>
      </c>
      <c r="E294" t="s">
        <v>8237</v>
      </c>
      <c r="F294" t="s">
        <v>8555</v>
      </c>
    </row>
    <row r="295" spans="1:6" x14ac:dyDescent="0.25">
      <c r="A295" s="52" t="s">
        <v>6408</v>
      </c>
      <c r="B295" s="52" t="s">
        <v>280</v>
      </c>
      <c r="C295" s="52" t="s">
        <v>3404</v>
      </c>
      <c r="D295" s="52" t="s">
        <v>282</v>
      </c>
      <c r="E295" s="52" t="s">
        <v>8237</v>
      </c>
      <c r="F295" s="52" t="s">
        <v>8556</v>
      </c>
    </row>
    <row r="296" spans="1:6" x14ac:dyDescent="0.25">
      <c r="A296" s="52" t="s">
        <v>6408</v>
      </c>
      <c r="B296" s="52" t="s">
        <v>143</v>
      </c>
      <c r="C296" s="52" t="s">
        <v>8529</v>
      </c>
      <c r="D296" t="s">
        <v>8256</v>
      </c>
      <c r="E296" t="s">
        <v>8239</v>
      </c>
      <c r="F296" s="52" t="s">
        <v>8557</v>
      </c>
    </row>
    <row r="297" spans="1:6" x14ac:dyDescent="0.25">
      <c r="A297" s="52" t="s">
        <v>6408</v>
      </c>
      <c r="B297" s="52" t="s">
        <v>143</v>
      </c>
      <c r="C297" s="52" t="s">
        <v>8531</v>
      </c>
      <c r="D297" t="s">
        <v>8256</v>
      </c>
      <c r="E297" t="s">
        <v>8239</v>
      </c>
      <c r="F297" s="52" t="s">
        <v>8558</v>
      </c>
    </row>
    <row r="298" spans="1:6" x14ac:dyDescent="0.25">
      <c r="A298" s="52" t="s">
        <v>6408</v>
      </c>
      <c r="B298" s="52" t="s">
        <v>143</v>
      </c>
      <c r="C298" s="52" t="s">
        <v>8533</v>
      </c>
      <c r="D298" t="s">
        <v>8256</v>
      </c>
      <c r="E298" t="s">
        <v>8239</v>
      </c>
      <c r="F298" s="52" t="s">
        <v>8559</v>
      </c>
    </row>
    <row r="299" spans="1:6" x14ac:dyDescent="0.25">
      <c r="A299" s="52" t="s">
        <v>6408</v>
      </c>
      <c r="B299" s="52" t="s">
        <v>143</v>
      </c>
      <c r="C299" s="52" t="s">
        <v>8535</v>
      </c>
      <c r="D299" t="s">
        <v>8256</v>
      </c>
      <c r="E299" t="s">
        <v>8239</v>
      </c>
      <c r="F299" s="52" t="s">
        <v>8560</v>
      </c>
    </row>
    <row r="300" spans="1:6" x14ac:dyDescent="0.25">
      <c r="A300" t="s">
        <v>6408</v>
      </c>
      <c r="B300" t="s">
        <v>143</v>
      </c>
      <c r="C300" t="s">
        <v>8561</v>
      </c>
      <c r="D300" t="s">
        <v>8256</v>
      </c>
      <c r="E300" t="s">
        <v>8239</v>
      </c>
      <c r="F300" t="s">
        <v>8562</v>
      </c>
    </row>
    <row r="301" spans="1:6" x14ac:dyDescent="0.25">
      <c r="A301" t="s">
        <v>6408</v>
      </c>
      <c r="B301" t="s">
        <v>143</v>
      </c>
      <c r="C301" t="s">
        <v>8563</v>
      </c>
      <c r="D301" t="s">
        <v>8256</v>
      </c>
      <c r="E301" t="s">
        <v>8239</v>
      </c>
      <c r="F301" t="s">
        <v>8310</v>
      </c>
    </row>
    <row r="302" spans="1:6" x14ac:dyDescent="0.25">
      <c r="A302" t="s">
        <v>6408</v>
      </c>
      <c r="B302" t="s">
        <v>143</v>
      </c>
      <c r="C302" t="s">
        <v>8564</v>
      </c>
      <c r="D302" s="52" t="s">
        <v>8399</v>
      </c>
      <c r="E302" t="s">
        <v>8245</v>
      </c>
      <c r="F302" t="s">
        <v>8565</v>
      </c>
    </row>
    <row r="303" spans="1:6" x14ac:dyDescent="0.25">
      <c r="A303" t="s">
        <v>6408</v>
      </c>
      <c r="B303" t="s">
        <v>143</v>
      </c>
      <c r="C303" t="s">
        <v>8566</v>
      </c>
      <c r="D303" s="52" t="s">
        <v>8399</v>
      </c>
      <c r="E303" t="s">
        <v>8245</v>
      </c>
      <c r="F303" t="s">
        <v>8565</v>
      </c>
    </row>
    <row r="304" spans="1:6" x14ac:dyDescent="0.25">
      <c r="A304" t="s">
        <v>6408</v>
      </c>
      <c r="B304" t="s">
        <v>143</v>
      </c>
      <c r="C304" t="s">
        <v>8567</v>
      </c>
      <c r="D304" s="52" t="s">
        <v>8399</v>
      </c>
      <c r="E304" t="s">
        <v>8245</v>
      </c>
      <c r="F304" t="s">
        <v>8565</v>
      </c>
    </row>
    <row r="305" spans="1:7" x14ac:dyDescent="0.25">
      <c r="A305" s="52" t="s">
        <v>6408</v>
      </c>
      <c r="B305" s="52" t="s">
        <v>166</v>
      </c>
      <c r="C305" s="52" t="s">
        <v>1143</v>
      </c>
      <c r="D305" s="52" t="s">
        <v>167</v>
      </c>
      <c r="E305" s="52" t="s">
        <v>41</v>
      </c>
      <c r="F305" s="52" t="s">
        <v>8568</v>
      </c>
    </row>
    <row r="306" spans="1:7" x14ac:dyDescent="0.25">
      <c r="A306" t="s">
        <v>8569</v>
      </c>
      <c r="B306" t="s">
        <v>153</v>
      </c>
      <c r="C306" t="s">
        <v>8385</v>
      </c>
      <c r="D306" t="s">
        <v>167</v>
      </c>
      <c r="E306" t="s">
        <v>41</v>
      </c>
      <c r="F306" t="s">
        <v>8386</v>
      </c>
    </row>
    <row r="307" spans="1:7" x14ac:dyDescent="0.25">
      <c r="A307" t="s">
        <v>8569</v>
      </c>
      <c r="B307" t="s">
        <v>38</v>
      </c>
      <c r="C307" t="s">
        <v>1114</v>
      </c>
      <c r="D307" t="s">
        <v>69</v>
      </c>
      <c r="E307" s="52" t="s">
        <v>41</v>
      </c>
      <c r="F307" t="s">
        <v>1116</v>
      </c>
    </row>
    <row r="308" spans="1:7" x14ac:dyDescent="0.25">
      <c r="A308" t="s">
        <v>8569</v>
      </c>
      <c r="B308" t="s">
        <v>166</v>
      </c>
      <c r="C308" t="s">
        <v>216</v>
      </c>
      <c r="D308" t="s">
        <v>167</v>
      </c>
      <c r="E308" t="s">
        <v>41</v>
      </c>
      <c r="F308" t="s">
        <v>872</v>
      </c>
    </row>
    <row r="309" spans="1:7" ht="30" customHeight="1" x14ac:dyDescent="0.25">
      <c r="A309" s="52" t="s">
        <v>87</v>
      </c>
      <c r="B309" s="52" t="s">
        <v>153</v>
      </c>
      <c r="C309" s="52" t="s">
        <v>1941</v>
      </c>
      <c r="D309" t="s">
        <v>154</v>
      </c>
      <c r="E309" t="s">
        <v>155</v>
      </c>
      <c r="F309" s="52" t="s">
        <v>8570</v>
      </c>
      <c r="G309" s="53" t="s">
        <v>8571</v>
      </c>
    </row>
    <row r="310" spans="1:7" x14ac:dyDescent="0.25">
      <c r="A310" s="52" t="s">
        <v>87</v>
      </c>
      <c r="B310" s="52" t="s">
        <v>153</v>
      </c>
      <c r="C310" s="52" t="s">
        <v>144</v>
      </c>
      <c r="D310" s="52" t="s">
        <v>154</v>
      </c>
      <c r="E310" s="52" t="s">
        <v>155</v>
      </c>
      <c r="F310" s="52" t="s">
        <v>213</v>
      </c>
      <c r="G310" s="53" t="s">
        <v>8572</v>
      </c>
    </row>
    <row r="311" spans="1:7" x14ac:dyDescent="0.25">
      <c r="A311" s="52" t="s">
        <v>87</v>
      </c>
      <c r="B311" s="52" t="s">
        <v>153</v>
      </c>
      <c r="C311" s="52" t="s">
        <v>90</v>
      </c>
      <c r="D311" s="52" t="s">
        <v>154</v>
      </c>
      <c r="E311" s="52" t="s">
        <v>155</v>
      </c>
      <c r="F311" s="52" t="s">
        <v>213</v>
      </c>
      <c r="G311" s="53" t="s">
        <v>8572</v>
      </c>
    </row>
    <row r="312" spans="1:7" x14ac:dyDescent="0.25">
      <c r="A312" s="52" t="s">
        <v>87</v>
      </c>
      <c r="B312" s="52" t="s">
        <v>153</v>
      </c>
      <c r="C312" s="52" t="s">
        <v>180</v>
      </c>
      <c r="D312" s="52" t="s">
        <v>154</v>
      </c>
      <c r="E312" s="52" t="s">
        <v>155</v>
      </c>
      <c r="F312" s="52" t="s">
        <v>213</v>
      </c>
      <c r="G312" s="53" t="s">
        <v>8572</v>
      </c>
    </row>
    <row r="313" spans="1:7" x14ac:dyDescent="0.25">
      <c r="A313" s="52" t="s">
        <v>87</v>
      </c>
      <c r="B313" s="52" t="s">
        <v>153</v>
      </c>
      <c r="C313" s="52" t="s">
        <v>100</v>
      </c>
      <c r="D313" s="52" t="s">
        <v>154</v>
      </c>
      <c r="E313" s="52" t="s">
        <v>155</v>
      </c>
      <c r="F313" s="52" t="s">
        <v>213</v>
      </c>
      <c r="G313" s="53" t="s">
        <v>8572</v>
      </c>
    </row>
    <row r="314" spans="1:7" x14ac:dyDescent="0.25">
      <c r="A314" s="52" t="s">
        <v>87</v>
      </c>
      <c r="B314" s="52" t="s">
        <v>38</v>
      </c>
      <c r="C314" s="52" t="s">
        <v>8573</v>
      </c>
      <c r="D314" t="s">
        <v>69</v>
      </c>
      <c r="E314" t="s">
        <v>41</v>
      </c>
      <c r="F314" s="52" t="s">
        <v>8574</v>
      </c>
    </row>
    <row r="315" spans="1:7" x14ac:dyDescent="0.25">
      <c r="A315" s="52" t="s">
        <v>87</v>
      </c>
      <c r="B315" s="52" t="s">
        <v>38</v>
      </c>
      <c r="C315" s="52" t="s">
        <v>8575</v>
      </c>
      <c r="D315" t="s">
        <v>69</v>
      </c>
      <c r="E315" t="s">
        <v>41</v>
      </c>
      <c r="F315" s="52" t="s">
        <v>8576</v>
      </c>
    </row>
    <row r="316" spans="1:7" x14ac:dyDescent="0.25">
      <c r="A316" s="52" t="s">
        <v>87</v>
      </c>
      <c r="B316" s="52" t="s">
        <v>38</v>
      </c>
      <c r="C316" s="52" t="s">
        <v>8577</v>
      </c>
      <c r="D316" t="s">
        <v>69</v>
      </c>
      <c r="E316" t="s">
        <v>41</v>
      </c>
      <c r="F316" s="52" t="s">
        <v>8578</v>
      </c>
    </row>
    <row r="317" spans="1:7" ht="30" customHeight="1" x14ac:dyDescent="0.25">
      <c r="A317" s="52" t="s">
        <v>87</v>
      </c>
      <c r="B317" s="52" t="s">
        <v>38</v>
      </c>
      <c r="C317" s="52" t="s">
        <v>106</v>
      </c>
      <c r="D317" s="52" t="s">
        <v>40</v>
      </c>
      <c r="E317" s="52" t="s">
        <v>41</v>
      </c>
      <c r="F317" s="52" t="s">
        <v>109</v>
      </c>
      <c r="G317" s="14" t="s">
        <v>8579</v>
      </c>
    </row>
    <row r="318" spans="1:7" x14ac:dyDescent="0.25">
      <c r="A318" s="52" t="s">
        <v>87</v>
      </c>
      <c r="B318" s="52" t="s">
        <v>280</v>
      </c>
      <c r="C318" s="52" t="s">
        <v>8580</v>
      </c>
      <c r="D318" s="52" t="s">
        <v>282</v>
      </c>
      <c r="E318" s="52" t="s">
        <v>283</v>
      </c>
      <c r="F318" s="52" t="s">
        <v>8581</v>
      </c>
      <c r="G318" s="53" t="s">
        <v>8572</v>
      </c>
    </row>
    <row r="319" spans="1:7" ht="30" customHeight="1" x14ac:dyDescent="0.25">
      <c r="A319" s="52" t="s">
        <v>87</v>
      </c>
      <c r="B319" s="52" t="s">
        <v>166</v>
      </c>
      <c r="C319" s="52" t="s">
        <v>1143</v>
      </c>
      <c r="D319" s="52" t="s">
        <v>167</v>
      </c>
      <c r="E319" s="52" t="s">
        <v>41</v>
      </c>
      <c r="F319" s="52" t="s">
        <v>925</v>
      </c>
      <c r="G319" s="53" t="s">
        <v>8571</v>
      </c>
    </row>
    <row r="320" spans="1:7" x14ac:dyDescent="0.25">
      <c r="A320" s="52" t="s">
        <v>87</v>
      </c>
      <c r="B320" s="52" t="s">
        <v>166</v>
      </c>
      <c r="C320" s="52" t="s">
        <v>216</v>
      </c>
      <c r="D320" s="52" t="s">
        <v>167</v>
      </c>
      <c r="E320" s="52" t="s">
        <v>41</v>
      </c>
      <c r="F320" s="52" t="s">
        <v>217</v>
      </c>
      <c r="G320" s="53" t="s">
        <v>8572</v>
      </c>
    </row>
    <row r="321" spans="1:7" x14ac:dyDescent="0.25">
      <c r="A321" s="52" t="s">
        <v>87</v>
      </c>
      <c r="B321" s="52" t="s">
        <v>89</v>
      </c>
      <c r="C321" s="52" t="s">
        <v>144</v>
      </c>
      <c r="D321" s="52" t="s">
        <v>8247</v>
      </c>
      <c r="E321" t="s">
        <v>8251</v>
      </c>
      <c r="F321" s="52" t="s">
        <v>96</v>
      </c>
      <c r="G321" s="53" t="s">
        <v>8572</v>
      </c>
    </row>
    <row r="322" spans="1:7" x14ac:dyDescent="0.25">
      <c r="A322" s="52" t="s">
        <v>87</v>
      </c>
      <c r="B322" s="52" t="s">
        <v>89</v>
      </c>
      <c r="C322" s="52" t="s">
        <v>90</v>
      </c>
      <c r="D322" s="52" t="s">
        <v>8247</v>
      </c>
      <c r="E322" t="s">
        <v>8251</v>
      </c>
      <c r="F322" s="52" t="s">
        <v>96</v>
      </c>
      <c r="G322" s="53" t="s">
        <v>8572</v>
      </c>
    </row>
    <row r="323" spans="1:7" x14ac:dyDescent="0.25">
      <c r="A323" s="52" t="s">
        <v>87</v>
      </c>
      <c r="B323" s="52" t="s">
        <v>89</v>
      </c>
      <c r="C323" s="52" t="s">
        <v>8295</v>
      </c>
      <c r="D323" s="52" t="s">
        <v>8247</v>
      </c>
      <c r="E323" t="s">
        <v>8251</v>
      </c>
      <c r="F323" s="52" t="s">
        <v>8582</v>
      </c>
      <c r="G323" s="53" t="s">
        <v>8572</v>
      </c>
    </row>
    <row r="324" spans="1:7" x14ac:dyDescent="0.25">
      <c r="A324" s="52" t="s">
        <v>87</v>
      </c>
      <c r="B324" s="52" t="s">
        <v>89</v>
      </c>
      <c r="C324" s="52" t="s">
        <v>8297</v>
      </c>
      <c r="D324" s="52" t="s">
        <v>8247</v>
      </c>
      <c r="E324" t="s">
        <v>8251</v>
      </c>
      <c r="F324" s="52" t="s">
        <v>8582</v>
      </c>
      <c r="G324" s="53" t="s">
        <v>8572</v>
      </c>
    </row>
    <row r="325" spans="1:7" x14ac:dyDescent="0.25">
      <c r="A325" s="52" t="s">
        <v>87</v>
      </c>
      <c r="B325" s="52" t="s">
        <v>89</v>
      </c>
      <c r="C325" s="52" t="s">
        <v>180</v>
      </c>
      <c r="D325" s="52" t="s">
        <v>8247</v>
      </c>
      <c r="E325" t="s">
        <v>8251</v>
      </c>
      <c r="F325" s="52" t="s">
        <v>96</v>
      </c>
      <c r="G325" s="53" t="s">
        <v>8572</v>
      </c>
    </row>
    <row r="326" spans="1:7" x14ac:dyDescent="0.25">
      <c r="A326" s="52" t="s">
        <v>87</v>
      </c>
      <c r="B326" s="52" t="s">
        <v>89</v>
      </c>
      <c r="C326" s="52" t="s">
        <v>100</v>
      </c>
      <c r="D326" s="52" t="s">
        <v>8247</v>
      </c>
      <c r="E326" t="s">
        <v>8251</v>
      </c>
      <c r="F326" s="52" t="s">
        <v>96</v>
      </c>
      <c r="G326" s="53" t="s">
        <v>8572</v>
      </c>
    </row>
    <row r="327" spans="1:7" x14ac:dyDescent="0.25">
      <c r="A327" s="52" t="s">
        <v>87</v>
      </c>
      <c r="B327" s="52" t="s">
        <v>89</v>
      </c>
      <c r="C327" s="52" t="s">
        <v>8299</v>
      </c>
      <c r="D327" s="52" t="s">
        <v>8247</v>
      </c>
      <c r="E327" t="s">
        <v>8251</v>
      </c>
      <c r="F327" s="52" t="s">
        <v>8582</v>
      </c>
      <c r="G327" s="53" t="s">
        <v>8572</v>
      </c>
    </row>
    <row r="328" spans="1:7" x14ac:dyDescent="0.25">
      <c r="A328" s="52" t="s">
        <v>87</v>
      </c>
      <c r="B328" s="52" t="s">
        <v>89</v>
      </c>
      <c r="C328" s="52" t="s">
        <v>8301</v>
      </c>
      <c r="D328" s="52" t="s">
        <v>8247</v>
      </c>
      <c r="E328" t="s">
        <v>8251</v>
      </c>
      <c r="F328" s="52" t="s">
        <v>8582</v>
      </c>
      <c r="G328" s="53" t="s">
        <v>8572</v>
      </c>
    </row>
    <row r="329" spans="1:7" x14ac:dyDescent="0.25">
      <c r="A329" s="52" t="s">
        <v>78</v>
      </c>
      <c r="B329" s="52" t="s">
        <v>153</v>
      </c>
      <c r="C329" s="52" t="s">
        <v>8583</v>
      </c>
      <c r="D329" s="52" t="s">
        <v>154</v>
      </c>
      <c r="E329" s="52" t="s">
        <v>155</v>
      </c>
      <c r="F329" s="52" t="s">
        <v>8584</v>
      </c>
      <c r="G329" s="53" t="s">
        <v>8585</v>
      </c>
    </row>
    <row r="330" spans="1:7" x14ac:dyDescent="0.25">
      <c r="A330" s="52" t="s">
        <v>78</v>
      </c>
      <c r="B330" s="52" t="s">
        <v>153</v>
      </c>
      <c r="C330" s="52" t="s">
        <v>8586</v>
      </c>
      <c r="D330" s="52" t="s">
        <v>154</v>
      </c>
      <c r="E330" s="52" t="s">
        <v>155</v>
      </c>
      <c r="F330" s="52" t="s">
        <v>8587</v>
      </c>
    </row>
    <row r="331" spans="1:7" ht="30" customHeight="1" x14ac:dyDescent="0.25">
      <c r="A331" s="52" t="s">
        <v>78</v>
      </c>
      <c r="B331" s="52" t="s">
        <v>153</v>
      </c>
      <c r="C331" s="52" t="s">
        <v>243</v>
      </c>
      <c r="D331" s="52" t="s">
        <v>154</v>
      </c>
      <c r="E331" s="52" t="s">
        <v>155</v>
      </c>
      <c r="F331" s="52" t="s">
        <v>824</v>
      </c>
      <c r="G331" s="53" t="s">
        <v>8588</v>
      </c>
    </row>
    <row r="332" spans="1:7" ht="30" customHeight="1" x14ac:dyDescent="0.25">
      <c r="A332" s="52" t="s">
        <v>78</v>
      </c>
      <c r="B332" s="52" t="s">
        <v>153</v>
      </c>
      <c r="C332" s="52" t="s">
        <v>235</v>
      </c>
      <c r="D332" s="52" t="s">
        <v>154</v>
      </c>
      <c r="E332" s="52" t="s">
        <v>155</v>
      </c>
      <c r="F332" s="52" t="s">
        <v>238</v>
      </c>
      <c r="G332" s="53" t="s">
        <v>8589</v>
      </c>
    </row>
    <row r="333" spans="1:7" ht="30" customHeight="1" x14ac:dyDescent="0.25">
      <c r="A333" s="52" t="s">
        <v>78</v>
      </c>
      <c r="B333" s="52" t="s">
        <v>153</v>
      </c>
      <c r="C333" s="52" t="s">
        <v>160</v>
      </c>
      <c r="D333" s="52" t="s">
        <v>154</v>
      </c>
      <c r="E333" s="52" t="s">
        <v>155</v>
      </c>
      <c r="F333" s="52" t="s">
        <v>163</v>
      </c>
      <c r="G333" s="53" t="s">
        <v>8590</v>
      </c>
    </row>
    <row r="334" spans="1:7" x14ac:dyDescent="0.25">
      <c r="A334" s="52" t="s">
        <v>78</v>
      </c>
      <c r="B334" s="52" t="s">
        <v>153</v>
      </c>
      <c r="C334" s="52" t="s">
        <v>8591</v>
      </c>
      <c r="D334" s="52" t="s">
        <v>154</v>
      </c>
      <c r="E334" s="52" t="s">
        <v>155</v>
      </c>
      <c r="F334" s="52" t="s">
        <v>8592</v>
      </c>
    </row>
    <row r="335" spans="1:7" x14ac:dyDescent="0.25">
      <c r="A335" s="52" t="s">
        <v>78</v>
      </c>
      <c r="B335" s="52" t="s">
        <v>153</v>
      </c>
      <c r="C335" s="52" t="s">
        <v>918</v>
      </c>
      <c r="D335" s="52" t="s">
        <v>154</v>
      </c>
      <c r="E335" s="52" t="s">
        <v>155</v>
      </c>
      <c r="F335" s="52" t="s">
        <v>8593</v>
      </c>
    </row>
    <row r="336" spans="1:7" x14ac:dyDescent="0.25">
      <c r="A336" s="52" t="s">
        <v>78</v>
      </c>
      <c r="B336" s="52" t="s">
        <v>153</v>
      </c>
      <c r="C336" s="52" t="s">
        <v>1819</v>
      </c>
      <c r="D336" s="52" t="s">
        <v>154</v>
      </c>
      <c r="E336" s="52" t="s">
        <v>155</v>
      </c>
      <c r="F336" s="52" t="s">
        <v>1820</v>
      </c>
    </row>
    <row r="337" spans="1:7" x14ac:dyDescent="0.25">
      <c r="A337" s="52" t="s">
        <v>78</v>
      </c>
      <c r="B337" s="52" t="s">
        <v>38</v>
      </c>
      <c r="C337" s="52" t="s">
        <v>80</v>
      </c>
      <c r="D337" t="s">
        <v>69</v>
      </c>
      <c r="E337" s="52" t="s">
        <v>41</v>
      </c>
      <c r="F337" s="52" t="s">
        <v>84</v>
      </c>
    </row>
    <row r="338" spans="1:7" x14ac:dyDescent="0.25">
      <c r="A338" s="52" t="s">
        <v>78</v>
      </c>
      <c r="B338" s="52" t="s">
        <v>38</v>
      </c>
      <c r="C338" s="52" t="s">
        <v>918</v>
      </c>
      <c r="D338" t="s">
        <v>69</v>
      </c>
      <c r="E338" s="52" t="s">
        <v>41</v>
      </c>
      <c r="F338" s="52" t="s">
        <v>920</v>
      </c>
    </row>
    <row r="339" spans="1:7" x14ac:dyDescent="0.25">
      <c r="A339" s="52" t="s">
        <v>78</v>
      </c>
      <c r="B339" s="52" t="s">
        <v>280</v>
      </c>
      <c r="C339" s="52" t="s">
        <v>909</v>
      </c>
      <c r="D339" s="52" t="s">
        <v>282</v>
      </c>
      <c r="E339" s="52" t="s">
        <v>283</v>
      </c>
      <c r="F339" s="52" t="s">
        <v>910</v>
      </c>
    </row>
    <row r="340" spans="1:7" x14ac:dyDescent="0.25">
      <c r="A340" s="52" t="s">
        <v>78</v>
      </c>
      <c r="B340" s="52" t="s">
        <v>280</v>
      </c>
      <c r="C340" s="52" t="s">
        <v>160</v>
      </c>
      <c r="D340" s="52" t="s">
        <v>282</v>
      </c>
      <c r="E340" s="52" t="s">
        <v>283</v>
      </c>
      <c r="F340" s="52" t="s">
        <v>914</v>
      </c>
    </row>
    <row r="341" spans="1:7" x14ac:dyDescent="0.25">
      <c r="A341" s="52" t="s">
        <v>78</v>
      </c>
      <c r="B341" s="52" t="s">
        <v>143</v>
      </c>
      <c r="C341" s="52" t="s">
        <v>909</v>
      </c>
      <c r="D341" t="s">
        <v>8256</v>
      </c>
      <c r="E341" t="s">
        <v>8239</v>
      </c>
      <c r="F341" s="52" t="s">
        <v>1155</v>
      </c>
    </row>
    <row r="342" spans="1:7" ht="45" customHeight="1" x14ac:dyDescent="0.25">
      <c r="A342" s="52" t="s">
        <v>78</v>
      </c>
      <c r="B342" s="52" t="s">
        <v>143</v>
      </c>
      <c r="C342" s="52" t="s">
        <v>8594</v>
      </c>
      <c r="D342" t="s">
        <v>8256</v>
      </c>
      <c r="E342" t="s">
        <v>8239</v>
      </c>
      <c r="F342" t="s">
        <v>8595</v>
      </c>
      <c r="G342" s="53" t="s">
        <v>8596</v>
      </c>
    </row>
    <row r="343" spans="1:7" x14ac:dyDescent="0.25">
      <c r="A343" s="52" t="s">
        <v>78</v>
      </c>
      <c r="B343" s="52" t="s">
        <v>143</v>
      </c>
      <c r="C343" s="52" t="s">
        <v>160</v>
      </c>
      <c r="D343" t="s">
        <v>8256</v>
      </c>
      <c r="E343" t="s">
        <v>8239</v>
      </c>
      <c r="F343" s="52" t="s">
        <v>1158</v>
      </c>
    </row>
    <row r="344" spans="1:7" ht="45" customHeight="1" x14ac:dyDescent="0.25">
      <c r="A344" s="52" t="s">
        <v>78</v>
      </c>
      <c r="B344" s="52" t="s">
        <v>143</v>
      </c>
      <c r="C344" s="52" t="s">
        <v>8597</v>
      </c>
      <c r="D344" t="s">
        <v>8256</v>
      </c>
      <c r="E344" t="s">
        <v>8239</v>
      </c>
      <c r="F344" t="s">
        <v>8598</v>
      </c>
      <c r="G344" s="53" t="s">
        <v>8596</v>
      </c>
    </row>
    <row r="345" spans="1:7" ht="30" customHeight="1" x14ac:dyDescent="0.25">
      <c r="A345" s="52" t="s">
        <v>78</v>
      </c>
      <c r="B345" s="52" t="s">
        <v>143</v>
      </c>
      <c r="C345" s="52" t="s">
        <v>8599</v>
      </c>
      <c r="D345" t="s">
        <v>8256</v>
      </c>
      <c r="E345" t="s">
        <v>8239</v>
      </c>
      <c r="F345" t="s">
        <v>8600</v>
      </c>
      <c r="G345" s="53" t="s">
        <v>8601</v>
      </c>
    </row>
    <row r="346" spans="1:7" ht="30" customHeight="1" x14ac:dyDescent="0.25">
      <c r="A346" s="52" t="s">
        <v>78</v>
      </c>
      <c r="B346" s="52" t="s">
        <v>143</v>
      </c>
      <c r="C346" s="52" t="s">
        <v>8602</v>
      </c>
      <c r="D346" t="s">
        <v>8256</v>
      </c>
      <c r="E346" t="s">
        <v>8239</v>
      </c>
      <c r="F346" t="s">
        <v>8603</v>
      </c>
      <c r="G346" s="53" t="s">
        <v>8601</v>
      </c>
    </row>
    <row r="347" spans="1:7" x14ac:dyDescent="0.25">
      <c r="A347" t="s">
        <v>78</v>
      </c>
      <c r="B347" t="s">
        <v>166</v>
      </c>
      <c r="C347" s="52" t="s">
        <v>310</v>
      </c>
      <c r="D347" s="52" t="s">
        <v>167</v>
      </c>
      <c r="E347" s="52" t="s">
        <v>41</v>
      </c>
      <c r="F347" s="52" t="s">
        <v>311</v>
      </c>
    </row>
    <row r="348" spans="1:7" x14ac:dyDescent="0.25">
      <c r="A348" t="s">
        <v>78</v>
      </c>
      <c r="B348" t="s">
        <v>166</v>
      </c>
      <c r="C348" t="s">
        <v>243</v>
      </c>
      <c r="D348" t="s">
        <v>167</v>
      </c>
      <c r="E348" t="s">
        <v>41</v>
      </c>
      <c r="F348" t="s">
        <v>244</v>
      </c>
    </row>
    <row r="349" spans="1:7" x14ac:dyDescent="0.25">
      <c r="A349" t="s">
        <v>78</v>
      </c>
      <c r="B349" t="s">
        <v>166</v>
      </c>
      <c r="C349" t="s">
        <v>1143</v>
      </c>
      <c r="D349" t="s">
        <v>167</v>
      </c>
      <c r="E349" t="s">
        <v>41</v>
      </c>
      <c r="F349" t="s">
        <v>2673</v>
      </c>
    </row>
    <row r="350" spans="1:7" x14ac:dyDescent="0.25">
      <c r="A350" t="s">
        <v>78</v>
      </c>
      <c r="B350" t="s">
        <v>166</v>
      </c>
      <c r="C350" t="s">
        <v>160</v>
      </c>
      <c r="D350" t="s">
        <v>167</v>
      </c>
      <c r="E350" t="s">
        <v>41</v>
      </c>
      <c r="F350" t="s">
        <v>168</v>
      </c>
    </row>
    <row r="351" spans="1:7" x14ac:dyDescent="0.25">
      <c r="A351" t="s">
        <v>78</v>
      </c>
      <c r="B351" t="s">
        <v>166</v>
      </c>
      <c r="C351" t="s">
        <v>80</v>
      </c>
      <c r="D351" t="s">
        <v>167</v>
      </c>
      <c r="E351" t="s">
        <v>41</v>
      </c>
      <c r="F351" t="s">
        <v>84</v>
      </c>
    </row>
    <row r="352" spans="1:7" ht="30" customHeight="1" x14ac:dyDescent="0.25">
      <c r="A352" t="s">
        <v>78</v>
      </c>
      <c r="B352" t="s">
        <v>166</v>
      </c>
      <c r="C352" t="s">
        <v>4555</v>
      </c>
      <c r="D352" t="s">
        <v>167</v>
      </c>
      <c r="E352" t="s">
        <v>41</v>
      </c>
      <c r="F352" t="s">
        <v>4556</v>
      </c>
      <c r="G352" s="14" t="s">
        <v>8604</v>
      </c>
    </row>
    <row r="353" spans="1:7" x14ac:dyDescent="0.25">
      <c r="A353" t="s">
        <v>78</v>
      </c>
      <c r="B353" t="s">
        <v>166</v>
      </c>
      <c r="C353" t="s">
        <v>216</v>
      </c>
      <c r="D353" t="s">
        <v>167</v>
      </c>
      <c r="E353" t="s">
        <v>41</v>
      </c>
      <c r="F353" t="s">
        <v>925</v>
      </c>
    </row>
    <row r="354" spans="1:7" ht="30" customHeight="1" x14ac:dyDescent="0.25">
      <c r="A354" t="s">
        <v>78</v>
      </c>
      <c r="B354" t="s">
        <v>166</v>
      </c>
      <c r="C354" t="s">
        <v>950</v>
      </c>
      <c r="D354" t="s">
        <v>167</v>
      </c>
      <c r="E354" t="s">
        <v>41</v>
      </c>
      <c r="F354" t="s">
        <v>951</v>
      </c>
      <c r="G354" s="14" t="s">
        <v>8317</v>
      </c>
    </row>
    <row r="355" spans="1:7" x14ac:dyDescent="0.25">
      <c r="A355" t="s">
        <v>1867</v>
      </c>
      <c r="B355" t="s">
        <v>153</v>
      </c>
      <c r="C355" t="s">
        <v>8529</v>
      </c>
      <c r="D355" t="s">
        <v>154</v>
      </c>
      <c r="E355" t="s">
        <v>155</v>
      </c>
      <c r="F355" t="s">
        <v>8530</v>
      </c>
    </row>
    <row r="356" spans="1:7" x14ac:dyDescent="0.25">
      <c r="A356" t="s">
        <v>1867</v>
      </c>
      <c r="B356" t="s">
        <v>153</v>
      </c>
      <c r="C356" t="s">
        <v>8531</v>
      </c>
      <c r="D356" t="s">
        <v>154</v>
      </c>
      <c r="E356" t="s">
        <v>155</v>
      </c>
      <c r="F356" t="s">
        <v>8532</v>
      </c>
    </row>
    <row r="357" spans="1:7" x14ac:dyDescent="0.25">
      <c r="A357" t="s">
        <v>1867</v>
      </c>
      <c r="B357" t="s">
        <v>153</v>
      </c>
      <c r="C357" t="s">
        <v>8531</v>
      </c>
      <c r="D357" t="s">
        <v>154</v>
      </c>
      <c r="E357" t="s">
        <v>155</v>
      </c>
      <c r="F357" t="s">
        <v>8532</v>
      </c>
    </row>
    <row r="358" spans="1:7" x14ac:dyDescent="0.25">
      <c r="A358" t="s">
        <v>1867</v>
      </c>
      <c r="B358" t="s">
        <v>153</v>
      </c>
      <c r="C358" t="s">
        <v>8533</v>
      </c>
      <c r="D358" t="s">
        <v>154</v>
      </c>
      <c r="E358" t="s">
        <v>155</v>
      </c>
      <c r="F358" t="s">
        <v>8534</v>
      </c>
    </row>
    <row r="359" spans="1:7" x14ac:dyDescent="0.25">
      <c r="A359" t="s">
        <v>1867</v>
      </c>
      <c r="B359" t="s">
        <v>153</v>
      </c>
      <c r="C359" t="s">
        <v>8605</v>
      </c>
      <c r="D359" t="s">
        <v>154</v>
      </c>
      <c r="E359" t="s">
        <v>155</v>
      </c>
      <c r="F359" t="s">
        <v>8606</v>
      </c>
      <c r="G359" s="53" t="s">
        <v>8607</v>
      </c>
    </row>
    <row r="360" spans="1:7" x14ac:dyDescent="0.25">
      <c r="A360" t="s">
        <v>1867</v>
      </c>
      <c r="B360" t="s">
        <v>38</v>
      </c>
      <c r="C360" s="2" t="s">
        <v>8608</v>
      </c>
      <c r="D360" t="s">
        <v>69</v>
      </c>
      <c r="E360" t="s">
        <v>41</v>
      </c>
      <c r="F360" t="s">
        <v>8609</v>
      </c>
      <c r="G360" s="14" t="s">
        <v>8607</v>
      </c>
    </row>
    <row r="361" spans="1:7" x14ac:dyDescent="0.25">
      <c r="A361" t="s">
        <v>1867</v>
      </c>
      <c r="B361" t="s">
        <v>38</v>
      </c>
      <c r="C361" s="2" t="s">
        <v>8610</v>
      </c>
      <c r="D361" t="s">
        <v>69</v>
      </c>
      <c r="E361" t="s">
        <v>41</v>
      </c>
      <c r="F361" t="s">
        <v>8611</v>
      </c>
      <c r="G361" s="14" t="s">
        <v>8607</v>
      </c>
    </row>
    <row r="362" spans="1:7" x14ac:dyDescent="0.25">
      <c r="A362" t="s">
        <v>1867</v>
      </c>
      <c r="B362" t="s">
        <v>38</v>
      </c>
      <c r="C362" t="s">
        <v>8415</v>
      </c>
      <c r="D362" t="s">
        <v>69</v>
      </c>
      <c r="E362" t="s">
        <v>41</v>
      </c>
      <c r="F362" t="s">
        <v>8612</v>
      </c>
      <c r="G362" s="14" t="s">
        <v>8607</v>
      </c>
    </row>
    <row r="363" spans="1:7" ht="15.75" customHeight="1" x14ac:dyDescent="0.25">
      <c r="A363" t="s">
        <v>1867</v>
      </c>
      <c r="B363" t="s">
        <v>38</v>
      </c>
      <c r="C363" s="2" t="s">
        <v>8613</v>
      </c>
      <c r="D363" t="s">
        <v>69</v>
      </c>
      <c r="E363" t="s">
        <v>41</v>
      </c>
      <c r="F363" t="s">
        <v>8614</v>
      </c>
      <c r="G363" s="14" t="s">
        <v>8607</v>
      </c>
    </row>
    <row r="364" spans="1:7" x14ac:dyDescent="0.25">
      <c r="A364" t="s">
        <v>1867</v>
      </c>
      <c r="B364" t="s">
        <v>38</v>
      </c>
      <c r="C364" s="2" t="s">
        <v>8615</v>
      </c>
      <c r="D364" t="s">
        <v>69</v>
      </c>
      <c r="E364" t="s">
        <v>41</v>
      </c>
      <c r="F364" t="s">
        <v>8616</v>
      </c>
      <c r="G364" s="14" t="s">
        <v>8607</v>
      </c>
    </row>
    <row r="365" spans="1:7" x14ac:dyDescent="0.25">
      <c r="A365" t="s">
        <v>1867</v>
      </c>
      <c r="B365" t="s">
        <v>38</v>
      </c>
      <c r="C365" s="2" t="s">
        <v>8617</v>
      </c>
      <c r="D365" t="s">
        <v>69</v>
      </c>
      <c r="E365" t="s">
        <v>41</v>
      </c>
      <c r="F365" t="s">
        <v>8618</v>
      </c>
      <c r="G365" s="14" t="s">
        <v>8607</v>
      </c>
    </row>
    <row r="366" spans="1:7" x14ac:dyDescent="0.25">
      <c r="A366" t="s">
        <v>1867</v>
      </c>
      <c r="B366" t="s">
        <v>38</v>
      </c>
      <c r="C366" s="2" t="s">
        <v>8619</v>
      </c>
      <c r="D366" t="s">
        <v>69</v>
      </c>
      <c r="E366" t="s">
        <v>41</v>
      </c>
      <c r="F366" t="s">
        <v>8620</v>
      </c>
      <c r="G366" s="14" t="s">
        <v>8607</v>
      </c>
    </row>
    <row r="367" spans="1:7" x14ac:dyDescent="0.25">
      <c r="A367" t="s">
        <v>1867</v>
      </c>
      <c r="B367" t="s">
        <v>38</v>
      </c>
      <c r="C367" s="2" t="s">
        <v>8621</v>
      </c>
      <c r="D367" t="s">
        <v>69</v>
      </c>
      <c r="E367" t="s">
        <v>41</v>
      </c>
      <c r="F367" t="s">
        <v>8622</v>
      </c>
      <c r="G367" s="14" t="s">
        <v>8607</v>
      </c>
    </row>
    <row r="368" spans="1:7" x14ac:dyDescent="0.25">
      <c r="A368" t="s">
        <v>1867</v>
      </c>
      <c r="B368" t="s">
        <v>38</v>
      </c>
      <c r="C368" s="2" t="s">
        <v>8623</v>
      </c>
      <c r="D368" t="s">
        <v>69</v>
      </c>
      <c r="E368" t="s">
        <v>41</v>
      </c>
      <c r="F368" t="s">
        <v>8624</v>
      </c>
      <c r="G368" s="14" t="s">
        <v>8607</v>
      </c>
    </row>
    <row r="369" spans="1:7" x14ac:dyDescent="0.25">
      <c r="A369" t="s">
        <v>1867</v>
      </c>
      <c r="B369" t="s">
        <v>38</v>
      </c>
      <c r="C369" t="s">
        <v>8625</v>
      </c>
      <c r="D369" t="s">
        <v>69</v>
      </c>
      <c r="E369" t="s">
        <v>41</v>
      </c>
      <c r="F369" t="s">
        <v>8626</v>
      </c>
      <c r="G369" s="14" t="s">
        <v>8607</v>
      </c>
    </row>
    <row r="370" spans="1:7" x14ac:dyDescent="0.25">
      <c r="A370" t="s">
        <v>1867</v>
      </c>
      <c r="B370" t="s">
        <v>38</v>
      </c>
      <c r="C370" t="s">
        <v>8627</v>
      </c>
      <c r="D370" t="s">
        <v>69</v>
      </c>
      <c r="E370" t="s">
        <v>41</v>
      </c>
      <c r="F370" t="s">
        <v>8628</v>
      </c>
      <c r="G370" s="14" t="s">
        <v>8607</v>
      </c>
    </row>
    <row r="371" spans="1:7" x14ac:dyDescent="0.25">
      <c r="A371" t="s">
        <v>1867</v>
      </c>
      <c r="B371" t="s">
        <v>38</v>
      </c>
      <c r="C371" t="s">
        <v>8545</v>
      </c>
      <c r="D371" t="s">
        <v>40</v>
      </c>
      <c r="E371" t="s">
        <v>41</v>
      </c>
      <c r="F371" t="s">
        <v>8547</v>
      </c>
    </row>
    <row r="372" spans="1:7" x14ac:dyDescent="0.25">
      <c r="A372" t="s">
        <v>1867</v>
      </c>
      <c r="B372" t="s">
        <v>38</v>
      </c>
      <c r="C372" t="s">
        <v>8629</v>
      </c>
      <c r="D372" t="s">
        <v>69</v>
      </c>
      <c r="E372" t="s">
        <v>41</v>
      </c>
      <c r="F372" t="s">
        <v>8630</v>
      </c>
      <c r="G372" s="14" t="s">
        <v>8607</v>
      </c>
    </row>
    <row r="373" spans="1:7" x14ac:dyDescent="0.25">
      <c r="A373" t="s">
        <v>1867</v>
      </c>
      <c r="B373" t="s">
        <v>38</v>
      </c>
      <c r="C373" s="2" t="s">
        <v>8631</v>
      </c>
      <c r="D373" t="s">
        <v>69</v>
      </c>
      <c r="E373" t="s">
        <v>41</v>
      </c>
      <c r="F373" t="s">
        <v>8632</v>
      </c>
      <c r="G373" s="14" t="s">
        <v>8607</v>
      </c>
    </row>
    <row r="374" spans="1:7" x14ac:dyDescent="0.25">
      <c r="A374" t="s">
        <v>1867</v>
      </c>
      <c r="B374" t="s">
        <v>38</v>
      </c>
      <c r="C374" t="s">
        <v>8633</v>
      </c>
      <c r="D374" t="s">
        <v>69</v>
      </c>
      <c r="E374" t="s">
        <v>41</v>
      </c>
      <c r="F374" t="s">
        <v>8634</v>
      </c>
      <c r="G374" s="14" t="s">
        <v>8607</v>
      </c>
    </row>
    <row r="375" spans="1:7" x14ac:dyDescent="0.25">
      <c r="A375" t="s">
        <v>1867</v>
      </c>
      <c r="B375" t="s">
        <v>38</v>
      </c>
      <c r="C375" s="2" t="s">
        <v>8635</v>
      </c>
      <c r="D375" t="s">
        <v>69</v>
      </c>
      <c r="E375" t="s">
        <v>41</v>
      </c>
      <c r="F375" t="s">
        <v>8636</v>
      </c>
      <c r="G375" s="14" t="s">
        <v>8607</v>
      </c>
    </row>
    <row r="376" spans="1:7" x14ac:dyDescent="0.25">
      <c r="A376" t="s">
        <v>1867</v>
      </c>
      <c r="B376" t="s">
        <v>38</v>
      </c>
      <c r="C376" s="2" t="s">
        <v>8637</v>
      </c>
      <c r="D376" t="s">
        <v>69</v>
      </c>
      <c r="E376" t="s">
        <v>41</v>
      </c>
      <c r="F376" t="s">
        <v>8638</v>
      </c>
      <c r="G376" s="14" t="s">
        <v>8607</v>
      </c>
    </row>
    <row r="377" spans="1:7" x14ac:dyDescent="0.25">
      <c r="A377" t="s">
        <v>1867</v>
      </c>
      <c r="B377" t="s">
        <v>38</v>
      </c>
      <c r="C377" t="s">
        <v>8639</v>
      </c>
      <c r="D377" t="s">
        <v>69</v>
      </c>
      <c r="E377" t="s">
        <v>41</v>
      </c>
      <c r="F377" t="s">
        <v>8640</v>
      </c>
      <c r="G377" s="14" t="s">
        <v>8607</v>
      </c>
    </row>
    <row r="378" spans="1:7" x14ac:dyDescent="0.25">
      <c r="A378" t="s">
        <v>1867</v>
      </c>
      <c r="B378" t="s">
        <v>38</v>
      </c>
      <c r="C378" s="2" t="s">
        <v>8641</v>
      </c>
      <c r="D378" t="s">
        <v>69</v>
      </c>
      <c r="E378" t="s">
        <v>41</v>
      </c>
      <c r="F378" t="s">
        <v>8642</v>
      </c>
      <c r="G378" s="14" t="s">
        <v>8607</v>
      </c>
    </row>
    <row r="379" spans="1:7" x14ac:dyDescent="0.25">
      <c r="A379" t="s">
        <v>1867</v>
      </c>
      <c r="B379" t="s">
        <v>38</v>
      </c>
      <c r="C379" s="2" t="s">
        <v>8643</v>
      </c>
      <c r="D379" t="s">
        <v>69</v>
      </c>
      <c r="E379" t="s">
        <v>41</v>
      </c>
      <c r="F379" t="s">
        <v>8644</v>
      </c>
      <c r="G379" s="14" t="s">
        <v>8607</v>
      </c>
    </row>
    <row r="380" spans="1:7" x14ac:dyDescent="0.25">
      <c r="A380" t="s">
        <v>1867</v>
      </c>
      <c r="B380" t="s">
        <v>38</v>
      </c>
      <c r="C380" s="2" t="s">
        <v>8645</v>
      </c>
      <c r="D380" t="s">
        <v>69</v>
      </c>
      <c r="E380" t="s">
        <v>41</v>
      </c>
      <c r="F380" t="s">
        <v>8646</v>
      </c>
      <c r="G380" s="14" t="s">
        <v>8607</v>
      </c>
    </row>
    <row r="381" spans="1:7" x14ac:dyDescent="0.25">
      <c r="A381" t="s">
        <v>1867</v>
      </c>
      <c r="B381" t="s">
        <v>38</v>
      </c>
      <c r="C381" s="2" t="s">
        <v>8647</v>
      </c>
      <c r="D381" t="s">
        <v>69</v>
      </c>
      <c r="E381" t="s">
        <v>41</v>
      </c>
      <c r="F381" t="s">
        <v>8648</v>
      </c>
      <c r="G381" s="14" t="s">
        <v>8607</v>
      </c>
    </row>
    <row r="382" spans="1:7" x14ac:dyDescent="0.25">
      <c r="A382" t="s">
        <v>1867</v>
      </c>
      <c r="B382" t="s">
        <v>38</v>
      </c>
      <c r="C382" s="2" t="s">
        <v>8649</v>
      </c>
      <c r="D382" t="s">
        <v>69</v>
      </c>
      <c r="E382" t="s">
        <v>41</v>
      </c>
      <c r="F382" t="s">
        <v>8650</v>
      </c>
      <c r="G382" s="14" t="s">
        <v>8607</v>
      </c>
    </row>
    <row r="383" spans="1:7" x14ac:dyDescent="0.25">
      <c r="A383" t="s">
        <v>1867</v>
      </c>
      <c r="B383" t="s">
        <v>38</v>
      </c>
      <c r="C383" s="2" t="s">
        <v>8651</v>
      </c>
      <c r="D383" t="s">
        <v>69</v>
      </c>
      <c r="E383" t="s">
        <v>41</v>
      </c>
      <c r="F383" t="s">
        <v>8652</v>
      </c>
      <c r="G383" s="14" t="s">
        <v>8607</v>
      </c>
    </row>
    <row r="384" spans="1:7" x14ac:dyDescent="0.25">
      <c r="A384" t="s">
        <v>1867</v>
      </c>
      <c r="B384" t="s">
        <v>38</v>
      </c>
      <c r="C384" s="2" t="s">
        <v>8653</v>
      </c>
      <c r="D384" t="s">
        <v>69</v>
      </c>
      <c r="E384" t="s">
        <v>41</v>
      </c>
      <c r="F384" t="s">
        <v>8654</v>
      </c>
      <c r="G384" s="14" t="s">
        <v>8607</v>
      </c>
    </row>
    <row r="385" spans="1:7" x14ac:dyDescent="0.25">
      <c r="A385" t="s">
        <v>1867</v>
      </c>
      <c r="B385" t="s">
        <v>38</v>
      </c>
      <c r="C385" s="2" t="s">
        <v>8655</v>
      </c>
      <c r="D385" t="s">
        <v>69</v>
      </c>
      <c r="E385" t="s">
        <v>41</v>
      </c>
      <c r="F385" t="s">
        <v>8656</v>
      </c>
      <c r="G385" s="14" t="s">
        <v>8607</v>
      </c>
    </row>
    <row r="386" spans="1:7" x14ac:dyDescent="0.25">
      <c r="A386" t="s">
        <v>1867</v>
      </c>
      <c r="B386" t="s">
        <v>38</v>
      </c>
      <c r="C386" s="2" t="s">
        <v>8657</v>
      </c>
      <c r="D386" t="s">
        <v>69</v>
      </c>
      <c r="E386" t="s">
        <v>41</v>
      </c>
      <c r="F386" t="s">
        <v>8658</v>
      </c>
      <c r="G386" s="14" t="s">
        <v>8607</v>
      </c>
    </row>
    <row r="387" spans="1:7" x14ac:dyDescent="0.25">
      <c r="A387" t="s">
        <v>1867</v>
      </c>
      <c r="B387" t="s">
        <v>38</v>
      </c>
      <c r="C387" s="2" t="s">
        <v>8659</v>
      </c>
      <c r="D387" t="s">
        <v>69</v>
      </c>
      <c r="E387" t="s">
        <v>41</v>
      </c>
      <c r="F387" t="s">
        <v>8660</v>
      </c>
      <c r="G387" s="14" t="s">
        <v>8607</v>
      </c>
    </row>
    <row r="388" spans="1:7" x14ac:dyDescent="0.25">
      <c r="A388" t="s">
        <v>1867</v>
      </c>
      <c r="B388" t="s">
        <v>38</v>
      </c>
      <c r="C388" t="s">
        <v>8661</v>
      </c>
      <c r="D388" t="s">
        <v>69</v>
      </c>
      <c r="E388" t="s">
        <v>41</v>
      </c>
      <c r="F388" t="s">
        <v>8662</v>
      </c>
      <c r="G388" s="14" t="s">
        <v>8607</v>
      </c>
    </row>
    <row r="389" spans="1:7" x14ac:dyDescent="0.25">
      <c r="A389" t="s">
        <v>1867</v>
      </c>
      <c r="B389" t="s">
        <v>38</v>
      </c>
      <c r="C389" t="s">
        <v>8663</v>
      </c>
      <c r="D389" t="s">
        <v>69</v>
      </c>
      <c r="E389" t="s">
        <v>41</v>
      </c>
      <c r="F389" t="s">
        <v>8664</v>
      </c>
      <c r="G389" s="14" t="s">
        <v>8607</v>
      </c>
    </row>
    <row r="390" spans="1:7" x14ac:dyDescent="0.25">
      <c r="A390" t="s">
        <v>1867</v>
      </c>
      <c r="B390" t="s">
        <v>38</v>
      </c>
      <c r="C390" t="s">
        <v>8665</v>
      </c>
      <c r="D390" t="s">
        <v>69</v>
      </c>
      <c r="E390" t="s">
        <v>41</v>
      </c>
      <c r="F390" t="s">
        <v>8666</v>
      </c>
      <c r="G390" s="14" t="s">
        <v>8607</v>
      </c>
    </row>
    <row r="391" spans="1:7" x14ac:dyDescent="0.25">
      <c r="A391" t="s">
        <v>1867</v>
      </c>
      <c r="B391" t="s">
        <v>38</v>
      </c>
      <c r="C391" t="s">
        <v>8667</v>
      </c>
      <c r="D391" t="s">
        <v>69</v>
      </c>
      <c r="E391" t="s">
        <v>41</v>
      </c>
      <c r="F391" t="s">
        <v>8668</v>
      </c>
      <c r="G391" s="14" t="s">
        <v>8607</v>
      </c>
    </row>
    <row r="392" spans="1:7" x14ac:dyDescent="0.25">
      <c r="A392" t="s">
        <v>1867</v>
      </c>
      <c r="B392" t="s">
        <v>38</v>
      </c>
      <c r="C392" s="2" t="s">
        <v>8669</v>
      </c>
      <c r="D392" t="s">
        <v>69</v>
      </c>
      <c r="E392" t="s">
        <v>41</v>
      </c>
      <c r="F392" t="s">
        <v>8670</v>
      </c>
      <c r="G392" s="14" t="s">
        <v>8607</v>
      </c>
    </row>
    <row r="393" spans="1:7" x14ac:dyDescent="0.25">
      <c r="A393" t="s">
        <v>1867</v>
      </c>
      <c r="B393" t="s">
        <v>38</v>
      </c>
      <c r="C393" s="2" t="s">
        <v>8671</v>
      </c>
      <c r="D393" t="s">
        <v>69</v>
      </c>
      <c r="E393" t="s">
        <v>41</v>
      </c>
      <c r="F393" t="s">
        <v>8672</v>
      </c>
      <c r="G393" s="14" t="s">
        <v>8607</v>
      </c>
    </row>
    <row r="394" spans="1:7" x14ac:dyDescent="0.25">
      <c r="A394" t="s">
        <v>1867</v>
      </c>
      <c r="B394" t="s">
        <v>280</v>
      </c>
      <c r="C394" t="s">
        <v>8673</v>
      </c>
      <c r="D394" t="s">
        <v>282</v>
      </c>
      <c r="E394" s="52" t="s">
        <v>8237</v>
      </c>
      <c r="F394" t="s">
        <v>8674</v>
      </c>
      <c r="G394" s="53" t="s">
        <v>8607</v>
      </c>
    </row>
    <row r="395" spans="1:7" x14ac:dyDescent="0.25">
      <c r="A395" t="s">
        <v>1867</v>
      </c>
      <c r="B395" t="s">
        <v>280</v>
      </c>
      <c r="C395" t="s">
        <v>8675</v>
      </c>
      <c r="D395" t="s">
        <v>282</v>
      </c>
      <c r="E395" s="52" t="s">
        <v>8237</v>
      </c>
      <c r="F395" t="s">
        <v>8676</v>
      </c>
      <c r="G395" s="53" t="s">
        <v>8607</v>
      </c>
    </row>
    <row r="396" spans="1:7" x14ac:dyDescent="0.25">
      <c r="A396" t="s">
        <v>1867</v>
      </c>
      <c r="B396" t="s">
        <v>280</v>
      </c>
      <c r="C396" t="s">
        <v>8677</v>
      </c>
      <c r="D396" t="s">
        <v>282</v>
      </c>
      <c r="E396" s="52" t="s">
        <v>8237</v>
      </c>
      <c r="F396" t="s">
        <v>8678</v>
      </c>
      <c r="G396" s="53" t="s">
        <v>8607</v>
      </c>
    </row>
    <row r="397" spans="1:7" x14ac:dyDescent="0.25">
      <c r="A397" t="s">
        <v>1867</v>
      </c>
      <c r="B397" t="s">
        <v>280</v>
      </c>
      <c r="C397" t="s">
        <v>3311</v>
      </c>
      <c r="D397" t="s">
        <v>282</v>
      </c>
      <c r="E397" s="52" t="s">
        <v>8237</v>
      </c>
      <c r="F397" t="s">
        <v>3312</v>
      </c>
    </row>
    <row r="398" spans="1:7" x14ac:dyDescent="0.25">
      <c r="A398" t="s">
        <v>1867</v>
      </c>
      <c r="B398" t="s">
        <v>280</v>
      </c>
      <c r="C398" t="s">
        <v>3311</v>
      </c>
      <c r="D398" t="s">
        <v>282</v>
      </c>
      <c r="E398" s="52" t="s">
        <v>8237</v>
      </c>
      <c r="F398" t="s">
        <v>8679</v>
      </c>
    </row>
    <row r="399" spans="1:7" x14ac:dyDescent="0.25">
      <c r="A399" t="s">
        <v>1867</v>
      </c>
      <c r="B399" t="s">
        <v>280</v>
      </c>
      <c r="C399" t="s">
        <v>8680</v>
      </c>
      <c r="D399" t="s">
        <v>282</v>
      </c>
      <c r="E399" s="52" t="s">
        <v>8237</v>
      </c>
      <c r="F399" t="s">
        <v>8681</v>
      </c>
      <c r="G399" s="53" t="s">
        <v>8607</v>
      </c>
    </row>
    <row r="400" spans="1:7" x14ac:dyDescent="0.25">
      <c r="A400" t="s">
        <v>1867</v>
      </c>
      <c r="B400" t="s">
        <v>280</v>
      </c>
      <c r="C400" t="s">
        <v>7903</v>
      </c>
      <c r="D400" t="s">
        <v>282</v>
      </c>
      <c r="E400" s="52" t="s">
        <v>8237</v>
      </c>
      <c r="F400" t="s">
        <v>8550</v>
      </c>
    </row>
    <row r="401" spans="1:7" x14ac:dyDescent="0.25">
      <c r="A401" t="s">
        <v>1867</v>
      </c>
      <c r="B401" t="s">
        <v>143</v>
      </c>
      <c r="C401" s="57" t="s">
        <v>8682</v>
      </c>
      <c r="D401" t="s">
        <v>745</v>
      </c>
      <c r="E401" t="s">
        <v>262</v>
      </c>
      <c r="F401" t="s">
        <v>8683</v>
      </c>
      <c r="G401" s="14" t="s">
        <v>8607</v>
      </c>
    </row>
    <row r="402" spans="1:7" x14ac:dyDescent="0.25">
      <c r="A402" t="s">
        <v>1867</v>
      </c>
      <c r="B402" t="s">
        <v>143</v>
      </c>
      <c r="C402" t="s">
        <v>8639</v>
      </c>
      <c r="D402" t="s">
        <v>8256</v>
      </c>
      <c r="E402" s="52" t="s">
        <v>8239</v>
      </c>
      <c r="F402" t="s">
        <v>8684</v>
      </c>
      <c r="G402" s="14" t="s">
        <v>8607</v>
      </c>
    </row>
    <row r="403" spans="1:7" x14ac:dyDescent="0.25">
      <c r="A403" t="s">
        <v>1867</v>
      </c>
      <c r="B403" t="s">
        <v>166</v>
      </c>
      <c r="C403" t="s">
        <v>8685</v>
      </c>
      <c r="D403" t="s">
        <v>167</v>
      </c>
      <c r="E403" t="s">
        <v>41</v>
      </c>
      <c r="F403" t="s">
        <v>8686</v>
      </c>
      <c r="G403" s="53" t="s">
        <v>8607</v>
      </c>
    </row>
    <row r="404" spans="1:7" x14ac:dyDescent="0.25">
      <c r="A404" t="s">
        <v>1867</v>
      </c>
      <c r="B404" t="s">
        <v>166</v>
      </c>
      <c r="C404" t="s">
        <v>8687</v>
      </c>
      <c r="D404" t="s">
        <v>167</v>
      </c>
      <c r="E404" t="s">
        <v>41</v>
      </c>
      <c r="F404" t="s">
        <v>8688</v>
      </c>
      <c r="G404" s="53" t="s">
        <v>8607</v>
      </c>
    </row>
    <row r="405" spans="1:7" x14ac:dyDescent="0.25">
      <c r="A405" t="s">
        <v>1867</v>
      </c>
      <c r="B405" t="s">
        <v>166</v>
      </c>
      <c r="C405" t="s">
        <v>8689</v>
      </c>
      <c r="D405" t="s">
        <v>167</v>
      </c>
      <c r="E405" t="s">
        <v>41</v>
      </c>
      <c r="F405" t="s">
        <v>8690</v>
      </c>
      <c r="G405" s="53" t="s">
        <v>8607</v>
      </c>
    </row>
    <row r="406" spans="1:7" x14ac:dyDescent="0.25">
      <c r="A406" t="s">
        <v>1867</v>
      </c>
      <c r="B406" t="s">
        <v>166</v>
      </c>
      <c r="C406" t="s">
        <v>8675</v>
      </c>
      <c r="D406" t="s">
        <v>167</v>
      </c>
      <c r="E406" t="s">
        <v>41</v>
      </c>
      <c r="F406" t="s">
        <v>8691</v>
      </c>
      <c r="G406" s="53" t="s">
        <v>8607</v>
      </c>
    </row>
    <row r="407" spans="1:7" x14ac:dyDescent="0.25">
      <c r="A407" s="52" t="s">
        <v>1867</v>
      </c>
      <c r="B407" s="52" t="s">
        <v>166</v>
      </c>
      <c r="C407" t="s">
        <v>1869</v>
      </c>
      <c r="D407" t="s">
        <v>167</v>
      </c>
      <c r="E407" t="s">
        <v>41</v>
      </c>
      <c r="F407" t="s">
        <v>1872</v>
      </c>
    </row>
    <row r="408" spans="1:7" x14ac:dyDescent="0.25">
      <c r="A408" t="s">
        <v>1867</v>
      </c>
      <c r="B408" t="s">
        <v>166</v>
      </c>
      <c r="C408" t="s">
        <v>8692</v>
      </c>
      <c r="D408" t="s">
        <v>167</v>
      </c>
      <c r="E408" t="s">
        <v>41</v>
      </c>
      <c r="F408" t="s">
        <v>8693</v>
      </c>
      <c r="G408" s="53" t="s">
        <v>8607</v>
      </c>
    </row>
    <row r="409" spans="1:7" x14ac:dyDescent="0.25">
      <c r="A409" t="s">
        <v>1867</v>
      </c>
      <c r="B409" t="s">
        <v>166</v>
      </c>
      <c r="C409" t="s">
        <v>8694</v>
      </c>
      <c r="D409" t="s">
        <v>167</v>
      </c>
      <c r="E409" t="s">
        <v>41</v>
      </c>
      <c r="F409" t="s">
        <v>8695</v>
      </c>
      <c r="G409" s="53" t="s">
        <v>8607</v>
      </c>
    </row>
    <row r="410" spans="1:7" x14ac:dyDescent="0.25">
      <c r="A410" t="s">
        <v>1867</v>
      </c>
      <c r="B410" t="s">
        <v>166</v>
      </c>
      <c r="C410" t="s">
        <v>8696</v>
      </c>
      <c r="D410" t="s">
        <v>167</v>
      </c>
      <c r="E410" t="s">
        <v>41</v>
      </c>
      <c r="F410" t="s">
        <v>8697</v>
      </c>
      <c r="G410" s="53" t="s">
        <v>8607</v>
      </c>
    </row>
    <row r="411" spans="1:7" x14ac:dyDescent="0.25">
      <c r="A411" t="s">
        <v>1867</v>
      </c>
      <c r="B411" t="s">
        <v>166</v>
      </c>
      <c r="C411" t="s">
        <v>8698</v>
      </c>
      <c r="D411" t="s">
        <v>167</v>
      </c>
      <c r="E411" t="s">
        <v>41</v>
      </c>
      <c r="F411" t="s">
        <v>8699</v>
      </c>
      <c r="G411" s="53" t="s">
        <v>8607</v>
      </c>
    </row>
    <row r="412" spans="1:7" x14ac:dyDescent="0.25">
      <c r="A412" t="s">
        <v>1867</v>
      </c>
      <c r="B412" t="s">
        <v>166</v>
      </c>
      <c r="C412" t="s">
        <v>8605</v>
      </c>
      <c r="D412" t="s">
        <v>167</v>
      </c>
      <c r="E412" t="s">
        <v>41</v>
      </c>
      <c r="F412" t="s">
        <v>8700</v>
      </c>
      <c r="G412" s="53" t="s">
        <v>8607</v>
      </c>
    </row>
    <row r="413" spans="1:7" x14ac:dyDescent="0.25">
      <c r="A413" t="s">
        <v>1867</v>
      </c>
      <c r="B413" t="s">
        <v>166</v>
      </c>
      <c r="C413" t="s">
        <v>8360</v>
      </c>
      <c r="D413" t="s">
        <v>167</v>
      </c>
      <c r="E413" t="s">
        <v>41</v>
      </c>
      <c r="F413" t="s">
        <v>8701</v>
      </c>
      <c r="G413" s="53" t="s">
        <v>8607</v>
      </c>
    </row>
    <row r="414" spans="1:7" x14ac:dyDescent="0.25">
      <c r="A414" t="s">
        <v>1867</v>
      </c>
      <c r="B414" t="s">
        <v>166</v>
      </c>
      <c r="C414" t="s">
        <v>8702</v>
      </c>
      <c r="D414" t="s">
        <v>167</v>
      </c>
      <c r="E414" t="s">
        <v>41</v>
      </c>
      <c r="F414" t="s">
        <v>8703</v>
      </c>
      <c r="G414" s="14" t="s">
        <v>8607</v>
      </c>
    </row>
    <row r="415" spans="1:7" x14ac:dyDescent="0.25">
      <c r="A415" t="s">
        <v>1867</v>
      </c>
      <c r="B415" t="s">
        <v>166</v>
      </c>
      <c r="C415" t="s">
        <v>216</v>
      </c>
      <c r="D415" t="s">
        <v>167</v>
      </c>
      <c r="E415" t="s">
        <v>41</v>
      </c>
      <c r="F415" t="s">
        <v>8704</v>
      </c>
      <c r="G415" s="14" t="s">
        <v>8607</v>
      </c>
    </row>
    <row r="416" spans="1:7" x14ac:dyDescent="0.25">
      <c r="A416" t="s">
        <v>1867</v>
      </c>
      <c r="B416" t="s">
        <v>166</v>
      </c>
      <c r="C416" t="s">
        <v>8705</v>
      </c>
      <c r="D416" t="s">
        <v>167</v>
      </c>
      <c r="E416" t="s">
        <v>41</v>
      </c>
      <c r="F416" t="s">
        <v>8706</v>
      </c>
      <c r="G416" s="53" t="s">
        <v>8607</v>
      </c>
    </row>
    <row r="417" spans="1:7" x14ac:dyDescent="0.25">
      <c r="A417" t="s">
        <v>1867</v>
      </c>
      <c r="B417" t="s">
        <v>166</v>
      </c>
      <c r="C417" t="s">
        <v>8707</v>
      </c>
      <c r="D417" t="s">
        <v>167</v>
      </c>
      <c r="E417" t="s">
        <v>41</v>
      </c>
      <c r="F417" t="s">
        <v>8708</v>
      </c>
      <c r="G417" s="14" t="s">
        <v>8607</v>
      </c>
    </row>
    <row r="418" spans="1:7" x14ac:dyDescent="0.25">
      <c r="A418" t="s">
        <v>1867</v>
      </c>
      <c r="B418" t="s">
        <v>89</v>
      </c>
      <c r="C418" t="s">
        <v>8709</v>
      </c>
      <c r="D418" s="52" t="s">
        <v>8247</v>
      </c>
      <c r="E418" t="s">
        <v>8251</v>
      </c>
      <c r="F418" t="s">
        <v>8710</v>
      </c>
      <c r="G418" s="14" t="s">
        <v>8607</v>
      </c>
    </row>
    <row r="419" spans="1:7" x14ac:dyDescent="0.25">
      <c r="A419" t="s">
        <v>1867</v>
      </c>
      <c r="B419" t="s">
        <v>89</v>
      </c>
      <c r="C419" t="s">
        <v>8360</v>
      </c>
      <c r="D419" t="s">
        <v>8711</v>
      </c>
      <c r="E419" t="s">
        <v>8712</v>
      </c>
      <c r="F419" t="s">
        <v>8713</v>
      </c>
      <c r="G419" s="14" t="s">
        <v>8607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30"/>
  <sheetViews>
    <sheetView workbookViewId="0"/>
  </sheetViews>
  <sheetFormatPr defaultRowHeight="15" x14ac:dyDescent="0.25"/>
  <cols>
    <col min="1" max="1" width="26.5703125" customWidth="1"/>
    <col min="2" max="2" width="2.28515625" customWidth="1"/>
    <col min="3" max="3" width="18.28515625" customWidth="1"/>
    <col min="4" max="4" width="31.85546875" customWidth="1"/>
    <col min="5" max="5" width="1.7109375" customWidth="1"/>
    <col min="6" max="6" width="21.28515625" customWidth="1"/>
    <col min="7" max="7" width="16.7109375" customWidth="1"/>
    <col min="8" max="8" width="0.85546875" customWidth="1"/>
    <col min="9" max="9" width="25.7109375" customWidth="1"/>
    <col min="10" max="10" width="30.85546875" customWidth="1"/>
    <col min="11" max="11" width="1.7109375" customWidth="1"/>
    <col min="12" max="12" width="30.85546875" customWidth="1"/>
    <col min="14" max="14" width="1.5703125" customWidth="1"/>
    <col min="15" max="15" width="31.140625" customWidth="1"/>
    <col min="16" max="16" width="25.85546875" customWidth="1"/>
    <col min="17" max="17" width="2.140625" customWidth="1"/>
    <col min="18" max="18" width="29.140625" customWidth="1"/>
    <col min="19" max="19" width="28.140625" customWidth="1"/>
    <col min="20" max="20" width="2.42578125" customWidth="1"/>
    <col min="21" max="21" width="19.42578125" customWidth="1"/>
    <col min="22" max="22" width="24" customWidth="1"/>
    <col min="23" max="23" width="2.5703125" customWidth="1"/>
    <col min="24" max="24" width="15.7109375" customWidth="1"/>
    <col min="25" max="25" width="16.140625" customWidth="1"/>
    <col min="26" max="26" width="2" customWidth="1"/>
    <col min="27" max="27" width="16.140625" customWidth="1"/>
    <col min="28" max="28" width="17" customWidth="1"/>
    <col min="29" max="29" width="1.7109375" customWidth="1"/>
    <col min="30" max="30" width="14.5703125" customWidth="1"/>
    <col min="32" max="32" width="0.85546875" customWidth="1"/>
    <col min="33" max="33" width="19" customWidth="1"/>
    <col min="34" max="34" width="29.140625" customWidth="1"/>
    <col min="35" max="35" width="1.5703125" customWidth="1"/>
    <col min="36" max="36" width="23.7109375" customWidth="1"/>
    <col min="37" max="37" width="24.5703125" customWidth="1"/>
    <col min="38" max="38" width="1.85546875" customWidth="1"/>
    <col min="39" max="39" width="16.42578125" customWidth="1"/>
    <col min="40" max="40" width="24.28515625" customWidth="1"/>
    <col min="41" max="41" width="2" customWidth="1"/>
    <col min="42" max="42" width="16.7109375" customWidth="1"/>
    <col min="43" max="43" width="26.28515625" customWidth="1"/>
    <col min="44" max="44" width="2.28515625" customWidth="1"/>
    <col min="45" max="45" width="26.28515625" customWidth="1"/>
    <col min="47" max="47" width="2" customWidth="1"/>
    <col min="48" max="48" width="17" customWidth="1"/>
    <col min="49" max="49" width="21.5703125" customWidth="1"/>
    <col min="51" max="51" width="23" customWidth="1"/>
    <col min="52" max="52" width="24.28515625" customWidth="1"/>
    <col min="54" max="54" width="30" customWidth="1"/>
  </cols>
  <sheetData>
    <row r="1" spans="1:55" x14ac:dyDescent="0.25">
      <c r="A1" t="s">
        <v>8714</v>
      </c>
      <c r="C1" t="s">
        <v>8715</v>
      </c>
      <c r="D1" t="s">
        <v>8715</v>
      </c>
      <c r="F1" t="s">
        <v>8716</v>
      </c>
      <c r="G1" t="s">
        <v>8716</v>
      </c>
      <c r="I1" t="s">
        <v>8717</v>
      </c>
      <c r="J1" t="s">
        <v>8717</v>
      </c>
      <c r="L1" t="s">
        <v>8718</v>
      </c>
      <c r="M1" t="s">
        <v>8718</v>
      </c>
      <c r="O1" t="s">
        <v>8719</v>
      </c>
      <c r="P1" t="s">
        <v>8719</v>
      </c>
      <c r="R1" t="s">
        <v>8720</v>
      </c>
      <c r="S1" t="s">
        <v>8720</v>
      </c>
      <c r="U1" t="s">
        <v>8721</v>
      </c>
      <c r="V1" t="s">
        <v>8721</v>
      </c>
      <c r="X1" t="s">
        <v>8722</v>
      </c>
      <c r="Y1" t="s">
        <v>8722</v>
      </c>
      <c r="AA1" t="s">
        <v>8723</v>
      </c>
      <c r="AB1" t="s">
        <v>8723</v>
      </c>
      <c r="AD1" t="s">
        <v>8724</v>
      </c>
      <c r="AE1" t="s">
        <v>8724</v>
      </c>
      <c r="AG1" t="s">
        <v>8725</v>
      </c>
      <c r="AH1" t="s">
        <v>8725</v>
      </c>
      <c r="AJ1" t="s">
        <v>8726</v>
      </c>
      <c r="AK1" t="s">
        <v>8726</v>
      </c>
      <c r="AM1" t="s">
        <v>8727</v>
      </c>
      <c r="AN1" t="s">
        <v>8727</v>
      </c>
      <c r="AP1" t="s">
        <v>8728</v>
      </c>
      <c r="AQ1" t="s">
        <v>8728</v>
      </c>
      <c r="AS1" t="s">
        <v>8729</v>
      </c>
      <c r="AT1" t="s">
        <v>8729</v>
      </c>
      <c r="AV1" t="s">
        <v>8730</v>
      </c>
      <c r="AW1" t="s">
        <v>8730</v>
      </c>
      <c r="AY1" t="s">
        <v>8731</v>
      </c>
      <c r="AZ1" t="s">
        <v>8731</v>
      </c>
      <c r="BB1" t="s">
        <v>8732</v>
      </c>
      <c r="BC1" t="s">
        <v>8732</v>
      </c>
    </row>
    <row r="2" spans="1:55" x14ac:dyDescent="0.25">
      <c r="A2" t="s">
        <v>8715</v>
      </c>
      <c r="C2" t="s">
        <v>8733</v>
      </c>
      <c r="D2" t="s">
        <v>14</v>
      </c>
      <c r="F2" t="s">
        <v>8733</v>
      </c>
      <c r="G2" t="s">
        <v>14</v>
      </c>
      <c r="I2" t="s">
        <v>8733</v>
      </c>
      <c r="J2" t="s">
        <v>14</v>
      </c>
      <c r="L2" t="s">
        <v>8733</v>
      </c>
      <c r="M2" t="s">
        <v>14</v>
      </c>
      <c r="O2" t="s">
        <v>8733</v>
      </c>
      <c r="P2" t="s">
        <v>14</v>
      </c>
      <c r="R2" t="s">
        <v>8733</v>
      </c>
      <c r="S2" t="s">
        <v>14</v>
      </c>
      <c r="U2" t="s">
        <v>8733</v>
      </c>
      <c r="V2" t="s">
        <v>14</v>
      </c>
      <c r="X2" t="s">
        <v>8733</v>
      </c>
      <c r="Y2" t="s">
        <v>14</v>
      </c>
      <c r="AA2" t="s">
        <v>8733</v>
      </c>
      <c r="AB2" t="s">
        <v>14</v>
      </c>
      <c r="AD2" t="s">
        <v>8733</v>
      </c>
      <c r="AE2" t="s">
        <v>14</v>
      </c>
      <c r="AG2" t="s">
        <v>8733</v>
      </c>
      <c r="AH2" t="s">
        <v>14</v>
      </c>
      <c r="AJ2" t="s">
        <v>8733</v>
      </c>
      <c r="AK2" t="s">
        <v>14</v>
      </c>
      <c r="AM2" t="s">
        <v>8733</v>
      </c>
      <c r="AN2" t="s">
        <v>14</v>
      </c>
      <c r="AP2" t="s">
        <v>8733</v>
      </c>
      <c r="AQ2" t="s">
        <v>14</v>
      </c>
      <c r="AS2" t="s">
        <v>8733</v>
      </c>
      <c r="AT2" t="s">
        <v>14</v>
      </c>
      <c r="AV2" t="s">
        <v>8733</v>
      </c>
      <c r="AW2" t="s">
        <v>14</v>
      </c>
      <c r="AY2" t="s">
        <v>8733</v>
      </c>
      <c r="AZ2" t="s">
        <v>14</v>
      </c>
      <c r="BB2" t="s">
        <v>8733</v>
      </c>
      <c r="BC2" t="s">
        <v>14</v>
      </c>
    </row>
    <row r="3" spans="1:55" x14ac:dyDescent="0.25">
      <c r="A3" t="s">
        <v>8717</v>
      </c>
      <c r="C3" s="58" t="s">
        <v>8734</v>
      </c>
      <c r="D3" t="s">
        <v>109</v>
      </c>
      <c r="F3" s="58" t="s">
        <v>8735</v>
      </c>
      <c r="G3" t="s">
        <v>109</v>
      </c>
      <c r="I3" s="58" t="s">
        <v>8736</v>
      </c>
      <c r="J3" t="s">
        <v>109</v>
      </c>
      <c r="L3" s="58" t="s">
        <v>8736</v>
      </c>
      <c r="M3" t="s">
        <v>109</v>
      </c>
      <c r="O3" s="58" t="s">
        <v>8737</v>
      </c>
      <c r="P3" t="s">
        <v>109</v>
      </c>
      <c r="R3" s="58" t="s">
        <v>8737</v>
      </c>
      <c r="S3" t="s">
        <v>109</v>
      </c>
      <c r="U3" s="58" t="s">
        <v>8737</v>
      </c>
      <c r="V3" t="s">
        <v>109</v>
      </c>
      <c r="X3" s="58" t="s">
        <v>8738</v>
      </c>
      <c r="Y3" t="s">
        <v>217</v>
      </c>
      <c r="AA3" s="58" t="s">
        <v>8739</v>
      </c>
      <c r="AB3" t="s">
        <v>217</v>
      </c>
      <c r="AD3" t="s">
        <v>8740</v>
      </c>
      <c r="AE3" t="s">
        <v>862</v>
      </c>
      <c r="AG3" t="s">
        <v>8741</v>
      </c>
      <c r="AH3" t="s">
        <v>862</v>
      </c>
      <c r="AJ3" t="s">
        <v>8741</v>
      </c>
      <c r="AK3" t="s">
        <v>862</v>
      </c>
      <c r="AM3" s="58" t="s">
        <v>8742</v>
      </c>
      <c r="AN3" t="s">
        <v>75</v>
      </c>
      <c r="AP3" s="58" t="s">
        <v>8737</v>
      </c>
      <c r="AQ3" t="s">
        <v>254</v>
      </c>
      <c r="AS3" t="s">
        <v>8743</v>
      </c>
      <c r="AT3" t="s">
        <v>258</v>
      </c>
      <c r="AV3" s="58" t="s">
        <v>8744</v>
      </c>
      <c r="AW3" t="s">
        <v>258</v>
      </c>
      <c r="AY3" s="58" t="s">
        <v>8744</v>
      </c>
      <c r="AZ3" t="s">
        <v>258</v>
      </c>
      <c r="BB3" s="58" t="s">
        <v>8741</v>
      </c>
      <c r="BC3" t="s">
        <v>84</v>
      </c>
    </row>
    <row r="4" spans="1:55" x14ac:dyDescent="0.25">
      <c r="A4" t="s">
        <v>8718</v>
      </c>
      <c r="C4" s="58" t="s">
        <v>8745</v>
      </c>
      <c r="D4" t="s">
        <v>1762</v>
      </c>
      <c r="F4" s="58" t="s">
        <v>8746</v>
      </c>
      <c r="G4" t="s">
        <v>1762</v>
      </c>
      <c r="I4" s="58" t="s">
        <v>8747</v>
      </c>
      <c r="J4" t="s">
        <v>1762</v>
      </c>
      <c r="L4" s="58" t="s">
        <v>8748</v>
      </c>
      <c r="M4" t="s">
        <v>1762</v>
      </c>
      <c r="O4" t="s">
        <v>8749</v>
      </c>
      <c r="R4" t="s">
        <v>8749</v>
      </c>
      <c r="U4" t="s">
        <v>8749</v>
      </c>
      <c r="X4" s="58" t="s">
        <v>8750</v>
      </c>
      <c r="Y4" t="s">
        <v>213</v>
      </c>
      <c r="AA4" s="58" t="s">
        <v>8751</v>
      </c>
      <c r="AB4" t="s">
        <v>213</v>
      </c>
      <c r="AD4" s="58" t="s">
        <v>8752</v>
      </c>
      <c r="AE4" t="s">
        <v>858</v>
      </c>
      <c r="AG4" s="58" t="s">
        <v>8753</v>
      </c>
      <c r="AH4" t="s">
        <v>858</v>
      </c>
      <c r="AJ4" s="58" t="s">
        <v>8753</v>
      </c>
      <c r="AK4" t="s">
        <v>858</v>
      </c>
      <c r="AM4" s="58" t="s">
        <v>8754</v>
      </c>
      <c r="AN4" t="s">
        <v>71</v>
      </c>
      <c r="AP4" s="58" t="s">
        <v>8755</v>
      </c>
      <c r="AQ4" t="s">
        <v>263</v>
      </c>
      <c r="AS4" t="s">
        <v>8756</v>
      </c>
      <c r="AT4" t="s">
        <v>263</v>
      </c>
      <c r="AV4" s="58" t="s">
        <v>8757</v>
      </c>
      <c r="AW4" t="s">
        <v>292</v>
      </c>
      <c r="AY4" s="58" t="s">
        <v>8757</v>
      </c>
      <c r="AZ4" t="s">
        <v>292</v>
      </c>
      <c r="BB4" s="58" t="s">
        <v>8758</v>
      </c>
      <c r="BC4" t="s">
        <v>1158</v>
      </c>
    </row>
    <row r="5" spans="1:55" x14ac:dyDescent="0.25">
      <c r="A5" t="s">
        <v>8719</v>
      </c>
      <c r="C5" s="58" t="s">
        <v>8759</v>
      </c>
      <c r="D5" t="s">
        <v>509</v>
      </c>
      <c r="F5" s="58" t="s">
        <v>8760</v>
      </c>
      <c r="G5" t="s">
        <v>509</v>
      </c>
      <c r="I5" s="58" t="s">
        <v>8761</v>
      </c>
      <c r="J5" s="52" t="s">
        <v>509</v>
      </c>
      <c r="K5" s="52"/>
      <c r="L5" s="58" t="s">
        <v>8761</v>
      </c>
      <c r="M5" s="52" t="s">
        <v>509</v>
      </c>
      <c r="O5" t="s">
        <v>8762</v>
      </c>
      <c r="R5" t="s">
        <v>8762</v>
      </c>
      <c r="U5" t="s">
        <v>8762</v>
      </c>
      <c r="X5" t="s">
        <v>8763</v>
      </c>
      <c r="Y5" s="52" t="s">
        <v>1942</v>
      </c>
      <c r="AD5" s="58" t="s">
        <v>8764</v>
      </c>
      <c r="AE5" t="s">
        <v>872</v>
      </c>
      <c r="AG5" s="58" t="s">
        <v>8765</v>
      </c>
      <c r="AH5" t="s">
        <v>872</v>
      </c>
      <c r="AJ5" s="58" t="s">
        <v>8765</v>
      </c>
      <c r="AK5" t="s">
        <v>872</v>
      </c>
      <c r="AP5" s="58" t="s">
        <v>8766</v>
      </c>
      <c r="AQ5" t="s">
        <v>258</v>
      </c>
      <c r="AS5" t="s">
        <v>8767</v>
      </c>
      <c r="AT5" t="s">
        <v>292</v>
      </c>
      <c r="AV5" s="58" t="s">
        <v>8768</v>
      </c>
      <c r="AW5" t="s">
        <v>254</v>
      </c>
      <c r="AY5" s="58" t="s">
        <v>8768</v>
      </c>
      <c r="AZ5" t="s">
        <v>254</v>
      </c>
      <c r="BB5" t="s">
        <v>8769</v>
      </c>
      <c r="BC5" t="s">
        <v>8770</v>
      </c>
    </row>
    <row r="6" spans="1:55" x14ac:dyDescent="0.25">
      <c r="A6" t="s">
        <v>8720</v>
      </c>
      <c r="C6" s="58" t="s">
        <v>8771</v>
      </c>
      <c r="D6" t="s">
        <v>512</v>
      </c>
      <c r="F6" s="58" t="s">
        <v>8772</v>
      </c>
      <c r="G6" t="s">
        <v>512</v>
      </c>
      <c r="I6" s="58" t="s">
        <v>8773</v>
      </c>
      <c r="J6" s="52" t="s">
        <v>512</v>
      </c>
      <c r="K6" s="52"/>
      <c r="L6" s="58" t="s">
        <v>8773</v>
      </c>
      <c r="M6" s="52" t="s">
        <v>512</v>
      </c>
      <c r="O6" t="s">
        <v>8774</v>
      </c>
      <c r="R6" t="s">
        <v>8774</v>
      </c>
      <c r="U6" t="s">
        <v>8774</v>
      </c>
      <c r="X6" t="s">
        <v>8775</v>
      </c>
      <c r="Y6" s="52" t="s">
        <v>8203</v>
      </c>
      <c r="AD6" s="58" t="s">
        <v>8776</v>
      </c>
      <c r="AE6" t="s">
        <v>599</v>
      </c>
      <c r="AG6" s="58" t="s">
        <v>8777</v>
      </c>
      <c r="AH6" t="s">
        <v>599</v>
      </c>
      <c r="AJ6" s="58" t="s">
        <v>8777</v>
      </c>
      <c r="AK6" t="s">
        <v>599</v>
      </c>
      <c r="AP6" s="58" t="s">
        <v>8778</v>
      </c>
      <c r="AQ6" t="s">
        <v>268</v>
      </c>
      <c r="AS6" t="s">
        <v>8779</v>
      </c>
      <c r="AT6" t="s">
        <v>4402</v>
      </c>
      <c r="AV6" s="58" t="s">
        <v>8780</v>
      </c>
      <c r="AW6" t="s">
        <v>263</v>
      </c>
      <c r="AY6" s="58" t="s">
        <v>8780</v>
      </c>
      <c r="AZ6" t="s">
        <v>263</v>
      </c>
      <c r="BB6" t="s">
        <v>8781</v>
      </c>
      <c r="BC6" t="s">
        <v>8782</v>
      </c>
    </row>
    <row r="7" spans="1:55" x14ac:dyDescent="0.25">
      <c r="A7" t="s">
        <v>8721</v>
      </c>
      <c r="C7" s="58" t="s">
        <v>8783</v>
      </c>
      <c r="D7" t="s">
        <v>386</v>
      </c>
      <c r="F7" s="58" t="s">
        <v>8784</v>
      </c>
      <c r="G7" t="s">
        <v>386</v>
      </c>
      <c r="I7" t="s">
        <v>8785</v>
      </c>
      <c r="J7" t="s">
        <v>386</v>
      </c>
      <c r="L7" s="58" t="s">
        <v>8786</v>
      </c>
      <c r="M7" t="s">
        <v>386</v>
      </c>
      <c r="O7" s="58" t="s">
        <v>8787</v>
      </c>
      <c r="P7" t="s">
        <v>509</v>
      </c>
      <c r="R7" s="58" t="s">
        <v>8761</v>
      </c>
      <c r="S7" t="s">
        <v>509</v>
      </c>
      <c r="U7" s="58" t="s">
        <v>8788</v>
      </c>
      <c r="V7" t="s">
        <v>509</v>
      </c>
      <c r="AD7" t="s">
        <v>8789</v>
      </c>
      <c r="AE7" t="s">
        <v>8172</v>
      </c>
      <c r="AG7" t="s">
        <v>8790</v>
      </c>
      <c r="AJ7" t="s">
        <v>8790</v>
      </c>
      <c r="AP7" s="58" t="s">
        <v>8791</v>
      </c>
      <c r="AQ7" t="s">
        <v>273</v>
      </c>
      <c r="AS7" t="s">
        <v>8792</v>
      </c>
      <c r="AT7" t="s">
        <v>4476</v>
      </c>
      <c r="AV7" t="s">
        <v>8793</v>
      </c>
      <c r="AW7" t="s">
        <v>4402</v>
      </c>
      <c r="AY7" t="s">
        <v>8794</v>
      </c>
      <c r="AZ7" t="s">
        <v>4402</v>
      </c>
      <c r="BB7" s="58" t="s">
        <v>8795</v>
      </c>
      <c r="BC7" t="s">
        <v>1155</v>
      </c>
    </row>
    <row r="8" spans="1:55" x14ac:dyDescent="0.25">
      <c r="A8" t="s">
        <v>8722</v>
      </c>
      <c r="C8" s="58" t="s">
        <v>8796</v>
      </c>
      <c r="D8" t="s">
        <v>156</v>
      </c>
      <c r="F8" s="58" t="s">
        <v>8797</v>
      </c>
      <c r="G8" t="s">
        <v>156</v>
      </c>
      <c r="I8" t="s">
        <v>8798</v>
      </c>
      <c r="J8" t="s">
        <v>156</v>
      </c>
      <c r="L8" s="58" t="s">
        <v>8799</v>
      </c>
      <c r="M8" t="s">
        <v>156</v>
      </c>
      <c r="O8" s="58" t="s">
        <v>8800</v>
      </c>
      <c r="P8" t="s">
        <v>512</v>
      </c>
      <c r="R8" s="58" t="s">
        <v>8773</v>
      </c>
      <c r="S8" t="s">
        <v>512</v>
      </c>
      <c r="U8" s="58" t="s">
        <v>8801</v>
      </c>
      <c r="V8" t="s">
        <v>512</v>
      </c>
      <c r="AD8" t="s">
        <v>8802</v>
      </c>
      <c r="AE8" t="s">
        <v>1106</v>
      </c>
      <c r="AG8" t="s">
        <v>8803</v>
      </c>
      <c r="AH8" t="s">
        <v>8172</v>
      </c>
      <c r="AJ8" t="s">
        <v>8803</v>
      </c>
      <c r="AK8" t="s">
        <v>8172</v>
      </c>
      <c r="AP8" s="58" t="s">
        <v>8804</v>
      </c>
      <c r="AQ8" t="s">
        <v>277</v>
      </c>
      <c r="AS8" t="s">
        <v>8768</v>
      </c>
      <c r="AT8" t="s">
        <v>254</v>
      </c>
      <c r="AV8" t="s">
        <v>8805</v>
      </c>
      <c r="AW8" t="s">
        <v>4476</v>
      </c>
      <c r="AY8" t="s">
        <v>8806</v>
      </c>
      <c r="AZ8" t="s">
        <v>4476</v>
      </c>
      <c r="BB8" t="s">
        <v>8807</v>
      </c>
      <c r="BC8" t="s">
        <v>8808</v>
      </c>
    </row>
    <row r="9" spans="1:55" x14ac:dyDescent="0.25">
      <c r="A9" t="s">
        <v>8723</v>
      </c>
      <c r="C9" s="58" t="s">
        <v>8809</v>
      </c>
      <c r="D9" t="s">
        <v>187</v>
      </c>
      <c r="F9" s="58" t="s">
        <v>8810</v>
      </c>
      <c r="G9" t="s">
        <v>187</v>
      </c>
      <c r="I9" t="s">
        <v>8811</v>
      </c>
      <c r="J9" t="s">
        <v>187</v>
      </c>
      <c r="L9" s="58" t="s">
        <v>8812</v>
      </c>
      <c r="M9" t="s">
        <v>187</v>
      </c>
      <c r="O9" t="s">
        <v>8775</v>
      </c>
      <c r="P9" s="52" t="s">
        <v>8203</v>
      </c>
      <c r="Q9" s="52"/>
      <c r="R9" t="s">
        <v>8775</v>
      </c>
      <c r="S9" s="52" t="s">
        <v>8203</v>
      </c>
      <c r="T9" s="52"/>
      <c r="U9" t="s">
        <v>8775</v>
      </c>
      <c r="V9" s="52" t="s">
        <v>8203</v>
      </c>
      <c r="W9" s="52"/>
      <c r="X9" s="52"/>
      <c r="Y9" s="52"/>
      <c r="AD9" t="s">
        <v>8813</v>
      </c>
      <c r="AE9" t="s">
        <v>8278</v>
      </c>
      <c r="AG9" t="s">
        <v>8814</v>
      </c>
      <c r="AJ9" t="s">
        <v>8814</v>
      </c>
      <c r="AP9" s="58" t="s">
        <v>8815</v>
      </c>
      <c r="AQ9" t="s">
        <v>300</v>
      </c>
      <c r="AS9" t="s">
        <v>8816</v>
      </c>
      <c r="AT9" t="s">
        <v>268</v>
      </c>
      <c r="AV9" s="58" t="s">
        <v>8817</v>
      </c>
      <c r="AW9" t="s">
        <v>284</v>
      </c>
      <c r="AY9" s="58" t="s">
        <v>8817</v>
      </c>
      <c r="AZ9" t="s">
        <v>284</v>
      </c>
      <c r="BB9" t="s">
        <v>8818</v>
      </c>
      <c r="BC9" t="s">
        <v>8819</v>
      </c>
    </row>
    <row r="10" spans="1:55" x14ac:dyDescent="0.25">
      <c r="A10" t="s">
        <v>8724</v>
      </c>
      <c r="C10" s="58" t="s">
        <v>8820</v>
      </c>
      <c r="D10" t="s">
        <v>448</v>
      </c>
      <c r="F10" s="58" t="s">
        <v>8821</v>
      </c>
      <c r="G10" t="s">
        <v>448</v>
      </c>
      <c r="I10" t="s">
        <v>8822</v>
      </c>
      <c r="J10" t="s">
        <v>448</v>
      </c>
      <c r="L10" s="58" t="s">
        <v>8823</v>
      </c>
      <c r="M10" t="s">
        <v>448</v>
      </c>
      <c r="O10" s="58" t="s">
        <v>8824</v>
      </c>
      <c r="P10" t="s">
        <v>1762</v>
      </c>
      <c r="R10" s="58" t="s">
        <v>8824</v>
      </c>
      <c r="S10" t="s">
        <v>1762</v>
      </c>
      <c r="U10" s="58" t="s">
        <v>8824</v>
      </c>
      <c r="V10" t="s">
        <v>1762</v>
      </c>
      <c r="AD10" t="s">
        <v>8825</v>
      </c>
      <c r="AE10" t="s">
        <v>1148</v>
      </c>
      <c r="AG10" t="s">
        <v>8826</v>
      </c>
      <c r="AJ10" t="s">
        <v>8826</v>
      </c>
      <c r="AP10" s="58" t="s">
        <v>8827</v>
      </c>
      <c r="AQ10" t="s">
        <v>296</v>
      </c>
      <c r="AS10" t="s">
        <v>8828</v>
      </c>
      <c r="AT10" t="s">
        <v>273</v>
      </c>
      <c r="AV10" s="58" t="s">
        <v>8829</v>
      </c>
      <c r="AW10" t="s">
        <v>296</v>
      </c>
      <c r="AY10" s="58" t="s">
        <v>8829</v>
      </c>
      <c r="AZ10" t="s">
        <v>296</v>
      </c>
      <c r="BB10" s="58" t="s">
        <v>8817</v>
      </c>
      <c r="BC10" t="s">
        <v>284</v>
      </c>
    </row>
    <row r="11" spans="1:55" x14ac:dyDescent="0.25">
      <c r="A11" t="s">
        <v>8725</v>
      </c>
      <c r="C11" s="58" t="s">
        <v>8830</v>
      </c>
      <c r="D11" t="s">
        <v>380</v>
      </c>
      <c r="F11" s="58" t="s">
        <v>8831</v>
      </c>
      <c r="G11" t="s">
        <v>380</v>
      </c>
      <c r="I11" t="s">
        <v>8832</v>
      </c>
      <c r="J11" t="s">
        <v>380</v>
      </c>
      <c r="L11" s="58" t="s">
        <v>8832</v>
      </c>
      <c r="M11" t="s">
        <v>380</v>
      </c>
      <c r="O11" s="58" t="s">
        <v>8833</v>
      </c>
      <c r="P11" t="s">
        <v>386</v>
      </c>
      <c r="R11" s="58" t="s">
        <v>8833</v>
      </c>
      <c r="S11" t="s">
        <v>386</v>
      </c>
      <c r="U11" s="58" t="s">
        <v>8833</v>
      </c>
      <c r="V11" t="s">
        <v>386</v>
      </c>
      <c r="AD11" t="s">
        <v>8834</v>
      </c>
      <c r="AE11" t="s">
        <v>1116</v>
      </c>
      <c r="AG11" s="58" t="s">
        <v>8802</v>
      </c>
      <c r="AH11" t="s">
        <v>1106</v>
      </c>
      <c r="AJ11" s="58" t="s">
        <v>8802</v>
      </c>
      <c r="AK11" t="s">
        <v>1106</v>
      </c>
      <c r="AP11" t="s">
        <v>8835</v>
      </c>
      <c r="AQ11" t="s">
        <v>284</v>
      </c>
      <c r="AS11" t="s">
        <v>8836</v>
      </c>
      <c r="AT11" t="s">
        <v>277</v>
      </c>
      <c r="AV11" s="58" t="s">
        <v>8837</v>
      </c>
      <c r="AW11" t="s">
        <v>300</v>
      </c>
      <c r="AY11" s="58" t="s">
        <v>8837</v>
      </c>
      <c r="AZ11" t="s">
        <v>300</v>
      </c>
      <c r="BB11" s="58" t="s">
        <v>8838</v>
      </c>
      <c r="BC11" t="s">
        <v>914</v>
      </c>
    </row>
    <row r="12" spans="1:55" x14ac:dyDescent="0.25">
      <c r="A12" t="s">
        <v>8726</v>
      </c>
      <c r="C12" s="58" t="s">
        <v>8839</v>
      </c>
      <c r="D12" t="s">
        <v>147</v>
      </c>
      <c r="F12" s="58" t="s">
        <v>8840</v>
      </c>
      <c r="G12" t="s">
        <v>147</v>
      </c>
      <c r="I12" t="s">
        <v>8841</v>
      </c>
      <c r="J12" t="s">
        <v>147</v>
      </c>
      <c r="L12" s="58" t="s">
        <v>8841</v>
      </c>
      <c r="M12" t="s">
        <v>147</v>
      </c>
      <c r="O12" s="58" t="s">
        <v>8842</v>
      </c>
      <c r="P12" t="s">
        <v>380</v>
      </c>
      <c r="R12" s="58" t="s">
        <v>8842</v>
      </c>
      <c r="S12" t="s">
        <v>380</v>
      </c>
      <c r="U12" s="58" t="s">
        <v>8842</v>
      </c>
      <c r="V12" t="s">
        <v>380</v>
      </c>
      <c r="AD12" t="s">
        <v>8775</v>
      </c>
      <c r="AE12" t="s">
        <v>3312</v>
      </c>
      <c r="AG12" s="58" t="s">
        <v>8843</v>
      </c>
      <c r="AH12" t="s">
        <v>8844</v>
      </c>
      <c r="AJ12" s="58" t="s">
        <v>8843</v>
      </c>
      <c r="AK12" t="s">
        <v>8844</v>
      </c>
      <c r="AP12" t="s">
        <v>8845</v>
      </c>
      <c r="AQ12" t="s">
        <v>292</v>
      </c>
      <c r="AS12" t="s">
        <v>8837</v>
      </c>
      <c r="AT12" t="s">
        <v>300</v>
      </c>
      <c r="AV12" s="58" t="s">
        <v>8816</v>
      </c>
      <c r="AW12" t="s">
        <v>268</v>
      </c>
      <c r="AY12" s="58" t="s">
        <v>8816</v>
      </c>
      <c r="AZ12" t="s">
        <v>268</v>
      </c>
      <c r="BB12" s="58" t="s">
        <v>8846</v>
      </c>
      <c r="BC12" t="s">
        <v>168</v>
      </c>
    </row>
    <row r="13" spans="1:55" x14ac:dyDescent="0.25">
      <c r="A13" t="s">
        <v>8727</v>
      </c>
      <c r="C13" s="58" t="s">
        <v>8847</v>
      </c>
      <c r="D13" t="s">
        <v>181</v>
      </c>
      <c r="F13" s="58" t="s">
        <v>8848</v>
      </c>
      <c r="G13" t="s">
        <v>181</v>
      </c>
      <c r="I13" t="s">
        <v>8849</v>
      </c>
      <c r="J13" t="s">
        <v>181</v>
      </c>
      <c r="L13" s="58" t="s">
        <v>8849</v>
      </c>
      <c r="M13" t="s">
        <v>181</v>
      </c>
      <c r="O13" s="58" t="s">
        <v>8850</v>
      </c>
      <c r="P13" s="59" t="s">
        <v>156</v>
      </c>
      <c r="Q13" s="59"/>
      <c r="R13" s="58" t="s">
        <v>8850</v>
      </c>
      <c r="S13" s="59" t="s">
        <v>156</v>
      </c>
      <c r="T13" s="59"/>
      <c r="U13" s="58" t="s">
        <v>8850</v>
      </c>
      <c r="V13" s="59" t="s">
        <v>156</v>
      </c>
      <c r="W13" s="59"/>
      <c r="X13" s="59"/>
      <c r="Y13" s="59"/>
      <c r="AG13" s="58" t="s">
        <v>8851</v>
      </c>
      <c r="AH13" t="s">
        <v>3312</v>
      </c>
      <c r="AJ13" s="58" t="s">
        <v>8851</v>
      </c>
      <c r="AK13" t="s">
        <v>3312</v>
      </c>
      <c r="AP13" t="s">
        <v>8852</v>
      </c>
      <c r="AQ13" t="s">
        <v>289</v>
      </c>
      <c r="AS13" t="s">
        <v>8829</v>
      </c>
      <c r="AT13" t="s">
        <v>296</v>
      </c>
      <c r="AV13" s="58" t="s">
        <v>8828</v>
      </c>
      <c r="AW13" t="s">
        <v>273</v>
      </c>
      <c r="AY13" s="58" t="s">
        <v>8828</v>
      </c>
      <c r="AZ13" t="s">
        <v>273</v>
      </c>
      <c r="BB13" s="58" t="s">
        <v>8853</v>
      </c>
      <c r="BC13" t="s">
        <v>8854</v>
      </c>
    </row>
    <row r="14" spans="1:55" x14ac:dyDescent="0.25">
      <c r="A14" t="s">
        <v>8728</v>
      </c>
      <c r="C14" s="58" t="s">
        <v>8855</v>
      </c>
      <c r="D14" t="s">
        <v>442</v>
      </c>
      <c r="F14" s="58" t="s">
        <v>8856</v>
      </c>
      <c r="G14" t="s">
        <v>442</v>
      </c>
      <c r="I14" t="s">
        <v>8857</v>
      </c>
      <c r="J14" t="s">
        <v>442</v>
      </c>
      <c r="L14" s="58" t="s">
        <v>8857</v>
      </c>
      <c r="M14" t="s">
        <v>442</v>
      </c>
      <c r="O14" s="58" t="s">
        <v>8858</v>
      </c>
      <c r="P14" s="59" t="s">
        <v>147</v>
      </c>
      <c r="Q14" s="59"/>
      <c r="R14" s="58" t="s">
        <v>8858</v>
      </c>
      <c r="S14" s="59" t="s">
        <v>147</v>
      </c>
      <c r="T14" s="59"/>
      <c r="U14" s="58" t="s">
        <v>8858</v>
      </c>
      <c r="V14" s="59" t="s">
        <v>147</v>
      </c>
      <c r="W14" s="59"/>
      <c r="X14" s="59"/>
      <c r="Y14" s="59"/>
      <c r="AG14" s="58" t="s">
        <v>8859</v>
      </c>
      <c r="AH14" t="s">
        <v>1116</v>
      </c>
      <c r="AJ14" s="58" t="s">
        <v>8834</v>
      </c>
      <c r="AK14" t="s">
        <v>1116</v>
      </c>
      <c r="AP14" t="s">
        <v>8860</v>
      </c>
      <c r="AQ14" t="s">
        <v>8147</v>
      </c>
      <c r="AS14" t="s">
        <v>8861</v>
      </c>
      <c r="AT14" t="s">
        <v>284</v>
      </c>
      <c r="AV14" s="58" t="s">
        <v>8836</v>
      </c>
      <c r="AW14" t="s">
        <v>277</v>
      </c>
      <c r="AY14" s="58" t="s">
        <v>8836</v>
      </c>
      <c r="AZ14" t="s">
        <v>277</v>
      </c>
      <c r="BB14" s="58" t="s">
        <v>8862</v>
      </c>
      <c r="BC14" t="s">
        <v>8592</v>
      </c>
    </row>
    <row r="15" spans="1:55" x14ac:dyDescent="0.25">
      <c r="A15" t="s">
        <v>8729</v>
      </c>
      <c r="C15" t="s">
        <v>8863</v>
      </c>
      <c r="D15" s="52" t="s">
        <v>8193</v>
      </c>
      <c r="F15" t="s">
        <v>8864</v>
      </c>
      <c r="G15" s="52" t="s">
        <v>8193</v>
      </c>
      <c r="L15" s="58" t="s">
        <v>8865</v>
      </c>
      <c r="M15" s="52" t="s">
        <v>383</v>
      </c>
      <c r="O15" s="58" t="s">
        <v>8866</v>
      </c>
      <c r="P15" s="59" t="s">
        <v>187</v>
      </c>
      <c r="Q15" s="59"/>
      <c r="R15" s="58" t="s">
        <v>8866</v>
      </c>
      <c r="S15" s="59" t="s">
        <v>187</v>
      </c>
      <c r="T15" s="59"/>
      <c r="U15" s="58" t="s">
        <v>8866</v>
      </c>
      <c r="V15" s="59" t="s">
        <v>187</v>
      </c>
      <c r="W15" s="59"/>
      <c r="X15" s="59"/>
      <c r="Y15" s="59"/>
      <c r="AG15" t="s">
        <v>8867</v>
      </c>
      <c r="AH15" t="s">
        <v>8868</v>
      </c>
      <c r="AJ15" s="58" t="s">
        <v>8869</v>
      </c>
      <c r="AK15" t="s">
        <v>8271</v>
      </c>
      <c r="AP15" t="s">
        <v>8870</v>
      </c>
      <c r="AQ15" t="s">
        <v>4402</v>
      </c>
      <c r="AS15" t="s">
        <v>8871</v>
      </c>
      <c r="AT15" t="s">
        <v>8147</v>
      </c>
      <c r="AV15" t="s">
        <v>8872</v>
      </c>
      <c r="AW15" t="s">
        <v>8312</v>
      </c>
      <c r="AY15" t="s">
        <v>8872</v>
      </c>
      <c r="AZ15" t="s">
        <v>8312</v>
      </c>
      <c r="BB15" s="58" t="s">
        <v>8873</v>
      </c>
      <c r="BC15" t="s">
        <v>8587</v>
      </c>
    </row>
    <row r="16" spans="1:55" x14ac:dyDescent="0.25">
      <c r="A16" t="s">
        <v>8730</v>
      </c>
      <c r="C16" t="s">
        <v>8874</v>
      </c>
      <c r="D16" s="52" t="s">
        <v>8188</v>
      </c>
      <c r="F16" t="s">
        <v>8875</v>
      </c>
      <c r="G16" s="52" t="s">
        <v>8188</v>
      </c>
      <c r="L16" s="58" t="s">
        <v>8876</v>
      </c>
      <c r="M16" s="52" t="s">
        <v>150</v>
      </c>
      <c r="O16" s="58" t="s">
        <v>8877</v>
      </c>
      <c r="P16" s="59" t="s">
        <v>181</v>
      </c>
      <c r="Q16" s="59"/>
      <c r="R16" s="58" t="s">
        <v>8877</v>
      </c>
      <c r="S16" s="59" t="s">
        <v>181</v>
      </c>
      <c r="T16" s="59"/>
      <c r="U16" s="58" t="s">
        <v>8877</v>
      </c>
      <c r="V16" s="59" t="s">
        <v>181</v>
      </c>
      <c r="W16" s="59"/>
      <c r="X16" s="59"/>
      <c r="Y16" s="59"/>
      <c r="AG16" s="58" t="s">
        <v>8878</v>
      </c>
      <c r="AH16" t="s">
        <v>8261</v>
      </c>
      <c r="AJ16" s="58" t="s">
        <v>8879</v>
      </c>
      <c r="AK16" t="s">
        <v>8273</v>
      </c>
      <c r="AP16" t="s">
        <v>8880</v>
      </c>
      <c r="AQ16" t="s">
        <v>4476</v>
      </c>
      <c r="AV16" t="s">
        <v>8861</v>
      </c>
      <c r="AW16" t="s">
        <v>289</v>
      </c>
      <c r="AY16" t="s">
        <v>8861</v>
      </c>
      <c r="AZ16" t="s">
        <v>289</v>
      </c>
    </row>
    <row r="17" spans="1:36" x14ac:dyDescent="0.25">
      <c r="A17" t="s">
        <v>8731</v>
      </c>
      <c r="C17" t="s">
        <v>8881</v>
      </c>
      <c r="D17" s="52" t="s">
        <v>8197</v>
      </c>
      <c r="F17" t="s">
        <v>8882</v>
      </c>
      <c r="G17" s="52" t="s">
        <v>8197</v>
      </c>
      <c r="L17" s="58" t="s">
        <v>8883</v>
      </c>
      <c r="M17" s="52" t="s">
        <v>184</v>
      </c>
      <c r="O17" s="58" t="s">
        <v>8884</v>
      </c>
      <c r="P17" s="59" t="s">
        <v>448</v>
      </c>
      <c r="Q17" s="59"/>
      <c r="R17" s="58" t="s">
        <v>8884</v>
      </c>
      <c r="S17" s="59" t="s">
        <v>448</v>
      </c>
      <c r="T17" s="59"/>
      <c r="U17" s="58" t="s">
        <v>8884</v>
      </c>
      <c r="V17" s="59" t="s">
        <v>448</v>
      </c>
      <c r="W17" s="59"/>
      <c r="X17" s="59"/>
      <c r="Y17" s="59"/>
      <c r="AG17" s="58" t="s">
        <v>8885</v>
      </c>
      <c r="AH17" t="s">
        <v>8263</v>
      </c>
      <c r="AJ17" t="s">
        <v>8886</v>
      </c>
    </row>
    <row r="18" spans="1:36" x14ac:dyDescent="0.25">
      <c r="A18" t="s">
        <v>8732</v>
      </c>
      <c r="C18" t="s">
        <v>8887</v>
      </c>
      <c r="D18" s="52" t="s">
        <v>8200</v>
      </c>
      <c r="F18" t="s">
        <v>8888</v>
      </c>
      <c r="G18" s="52" t="s">
        <v>8200</v>
      </c>
      <c r="L18" s="58" t="s">
        <v>8889</v>
      </c>
      <c r="M18" s="52" t="s">
        <v>445</v>
      </c>
      <c r="O18" s="58" t="s">
        <v>8890</v>
      </c>
      <c r="P18" s="59" t="s">
        <v>442</v>
      </c>
      <c r="Q18" s="59"/>
      <c r="R18" s="58" t="s">
        <v>8890</v>
      </c>
      <c r="S18" s="59" t="s">
        <v>442</v>
      </c>
      <c r="T18" s="59"/>
      <c r="U18" s="58" t="s">
        <v>8890</v>
      </c>
      <c r="V18" s="59" t="s">
        <v>442</v>
      </c>
      <c r="W18" s="59"/>
      <c r="X18" s="59"/>
      <c r="Y18" s="59"/>
      <c r="AG18" t="s">
        <v>8891</v>
      </c>
    </row>
    <row r="19" spans="1:36" x14ac:dyDescent="0.25">
      <c r="C19" t="s">
        <v>8763</v>
      </c>
      <c r="D19" s="52" t="s">
        <v>1942</v>
      </c>
      <c r="F19" s="58" t="s">
        <v>8892</v>
      </c>
      <c r="G19" s="52" t="s">
        <v>383</v>
      </c>
      <c r="O19" t="s">
        <v>8893</v>
      </c>
      <c r="P19" s="59" t="s">
        <v>8294</v>
      </c>
      <c r="Q19" s="59"/>
      <c r="R19" s="58" t="s">
        <v>8894</v>
      </c>
      <c r="S19" s="52" t="s">
        <v>383</v>
      </c>
      <c r="T19" s="59"/>
      <c r="U19" s="58" t="s">
        <v>8894</v>
      </c>
      <c r="V19" s="59" t="s">
        <v>383</v>
      </c>
      <c r="W19" s="59"/>
      <c r="X19" s="59"/>
      <c r="Y19" s="59"/>
      <c r="AG19" t="s">
        <v>8895</v>
      </c>
    </row>
    <row r="20" spans="1:36" x14ac:dyDescent="0.25">
      <c r="C20" t="s">
        <v>8775</v>
      </c>
      <c r="D20" s="52" t="s">
        <v>8203</v>
      </c>
      <c r="F20" s="58" t="s">
        <v>8896</v>
      </c>
      <c r="G20" s="52" t="s">
        <v>150</v>
      </c>
      <c r="M20" s="52"/>
      <c r="R20" s="58" t="s">
        <v>8897</v>
      </c>
      <c r="S20" s="52" t="s">
        <v>150</v>
      </c>
      <c r="U20" s="58" t="s">
        <v>8897</v>
      </c>
      <c r="V20" s="59" t="s">
        <v>150</v>
      </c>
      <c r="W20" s="59"/>
      <c r="AG20" s="58" t="s">
        <v>8869</v>
      </c>
      <c r="AH20" t="s">
        <v>8271</v>
      </c>
    </row>
    <row r="21" spans="1:36" x14ac:dyDescent="0.25">
      <c r="C21" t="s">
        <v>8898</v>
      </c>
      <c r="D21" s="52" t="s">
        <v>383</v>
      </c>
      <c r="F21" s="58" t="s">
        <v>8899</v>
      </c>
      <c r="G21" s="52" t="s">
        <v>184</v>
      </c>
      <c r="R21" s="58" t="s">
        <v>8900</v>
      </c>
      <c r="S21" s="52" t="s">
        <v>184</v>
      </c>
      <c r="U21" s="58" t="s">
        <v>8900</v>
      </c>
      <c r="V21" s="59" t="s">
        <v>184</v>
      </c>
      <c r="W21" s="59"/>
      <c r="AG21" s="58" t="s">
        <v>8879</v>
      </c>
      <c r="AH21" t="s">
        <v>8273</v>
      </c>
    </row>
    <row r="22" spans="1:36" x14ac:dyDescent="0.25">
      <c r="C22" t="s">
        <v>8901</v>
      </c>
      <c r="D22" s="52" t="s">
        <v>150</v>
      </c>
      <c r="F22" s="58" t="s">
        <v>8902</v>
      </c>
      <c r="G22" s="52" t="s">
        <v>445</v>
      </c>
      <c r="M22" s="52"/>
      <c r="R22" s="58" t="s">
        <v>8903</v>
      </c>
      <c r="S22" s="52" t="s">
        <v>445</v>
      </c>
      <c r="U22" s="58" t="s">
        <v>8903</v>
      </c>
      <c r="V22" s="59" t="s">
        <v>445</v>
      </c>
      <c r="W22" s="59"/>
      <c r="AG22" t="s">
        <v>8904</v>
      </c>
    </row>
    <row r="23" spans="1:36" x14ac:dyDescent="0.25">
      <c r="C23" t="s">
        <v>8905</v>
      </c>
      <c r="D23" s="52" t="s">
        <v>184</v>
      </c>
      <c r="M23" s="52"/>
      <c r="R23" t="s">
        <v>8906</v>
      </c>
      <c r="S23" s="52" t="s">
        <v>8296</v>
      </c>
      <c r="U23" t="s">
        <v>8906</v>
      </c>
      <c r="V23" s="59" t="s">
        <v>8296</v>
      </c>
      <c r="W23" s="59"/>
      <c r="AG23" t="s">
        <v>8907</v>
      </c>
    </row>
    <row r="24" spans="1:36" x14ac:dyDescent="0.25">
      <c r="C24" t="s">
        <v>8908</v>
      </c>
      <c r="D24" s="52" t="s">
        <v>445</v>
      </c>
      <c r="R24" t="s">
        <v>8909</v>
      </c>
      <c r="S24" s="52" t="s">
        <v>8298</v>
      </c>
      <c r="U24" t="s">
        <v>8909</v>
      </c>
      <c r="V24" s="59" t="s">
        <v>8298</v>
      </c>
      <c r="W24" s="59"/>
      <c r="AG24" t="s">
        <v>8910</v>
      </c>
      <c r="AH24" t="s">
        <v>8282</v>
      </c>
    </row>
    <row r="25" spans="1:36" x14ac:dyDescent="0.25">
      <c r="C25" t="s">
        <v>8911</v>
      </c>
      <c r="D25" s="52" t="s">
        <v>8296</v>
      </c>
      <c r="R25" t="s">
        <v>8912</v>
      </c>
      <c r="S25" s="52" t="s">
        <v>8302</v>
      </c>
      <c r="U25" t="s">
        <v>8912</v>
      </c>
      <c r="V25" s="59" t="s">
        <v>8302</v>
      </c>
      <c r="W25" s="59"/>
      <c r="AG25" t="s">
        <v>8913</v>
      </c>
      <c r="AH25" t="s">
        <v>8914</v>
      </c>
    </row>
    <row r="26" spans="1:36" x14ac:dyDescent="0.25">
      <c r="C26" t="s">
        <v>8915</v>
      </c>
      <c r="D26" s="52" t="s">
        <v>8298</v>
      </c>
      <c r="M26" s="52"/>
      <c r="R26" t="s">
        <v>8916</v>
      </c>
      <c r="S26" s="52" t="s">
        <v>8300</v>
      </c>
      <c r="U26" t="s">
        <v>8916</v>
      </c>
      <c r="V26" s="59" t="s">
        <v>8300</v>
      </c>
      <c r="W26" s="59"/>
    </row>
    <row r="27" spans="1:36" x14ac:dyDescent="0.25">
      <c r="C27" t="s">
        <v>8917</v>
      </c>
      <c r="D27" s="52" t="s">
        <v>8302</v>
      </c>
      <c r="M27" s="52"/>
    </row>
    <row r="28" spans="1:36" x14ac:dyDescent="0.25">
      <c r="C28" t="s">
        <v>8918</v>
      </c>
      <c r="D28" s="52" t="s">
        <v>8300</v>
      </c>
      <c r="M28" s="52"/>
    </row>
    <row r="29" spans="1:36" x14ac:dyDescent="0.25">
      <c r="M29" s="52"/>
    </row>
    <row r="30" spans="1:36" x14ac:dyDescent="0.25">
      <c r="M30" s="5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41"/>
  <sheetViews>
    <sheetView workbookViewId="0"/>
  </sheetViews>
  <sheetFormatPr defaultRowHeight="15" x14ac:dyDescent="0.25"/>
  <cols>
    <col min="1" max="1" width="24.140625" customWidth="1"/>
    <col min="2" max="2" width="27.28515625" customWidth="1"/>
    <col min="3" max="3" width="28.28515625" customWidth="1"/>
    <col min="5" max="5" width="15.28515625" customWidth="1"/>
    <col min="6" max="7" width="29.28515625" customWidth="1"/>
    <col min="9" max="9" width="30" customWidth="1"/>
    <col min="10" max="10" width="39.5703125" customWidth="1"/>
    <col min="11" max="11" width="36.28515625" customWidth="1"/>
    <col min="12" max="12" width="40" customWidth="1"/>
    <col min="13" max="14" width="38.85546875" customWidth="1"/>
    <col min="16" max="16" width="47.5703125" customWidth="1"/>
    <col min="17" max="17" width="22" customWidth="1"/>
    <col min="18" max="18" width="29.7109375" customWidth="1"/>
    <col min="19" max="20" width="27.42578125" customWidth="1"/>
    <col min="21" max="21" width="29" customWidth="1"/>
    <col min="22" max="22" width="22.5703125" customWidth="1"/>
    <col min="26" max="26" width="32.5703125" customWidth="1"/>
    <col min="28" max="28" width="22.5703125" customWidth="1"/>
    <col min="29" max="29" width="25.42578125" customWidth="1"/>
    <col min="31" max="31" width="20.28515625" customWidth="1"/>
    <col min="32" max="32" width="22" customWidth="1"/>
    <col min="33" max="33" width="24.42578125" customWidth="1"/>
    <col min="34" max="35" width="31.7109375" customWidth="1"/>
    <col min="36" max="37" width="41" customWidth="1"/>
    <col min="38" max="38" width="32.5703125" customWidth="1"/>
  </cols>
  <sheetData>
    <row r="1" spans="1:38" x14ac:dyDescent="0.25">
      <c r="A1" s="71" t="s">
        <v>8919</v>
      </c>
      <c r="B1" s="72"/>
      <c r="C1" s="72"/>
      <c r="D1" s="72"/>
      <c r="E1" s="72"/>
      <c r="F1" s="72"/>
      <c r="G1" s="60"/>
      <c r="H1" s="60"/>
      <c r="I1" s="68" t="s">
        <v>8920</v>
      </c>
      <c r="J1" s="69"/>
      <c r="K1" s="69"/>
      <c r="L1" s="69"/>
    </row>
    <row r="2" spans="1:38" ht="32.25" customHeight="1" x14ac:dyDescent="0.25">
      <c r="A2" s="33" t="s">
        <v>8921</v>
      </c>
      <c r="B2" s="65" t="s">
        <v>2849</v>
      </c>
      <c r="C2" s="66"/>
      <c r="D2" s="67"/>
      <c r="E2" s="65" t="s">
        <v>854</v>
      </c>
      <c r="F2" s="66"/>
      <c r="G2" s="67"/>
      <c r="H2" s="62" t="s">
        <v>5419</v>
      </c>
      <c r="I2" s="65" t="s">
        <v>36</v>
      </c>
      <c r="J2" s="66"/>
      <c r="K2" s="66"/>
      <c r="L2" s="66"/>
      <c r="M2" s="67"/>
      <c r="N2" s="65" t="s">
        <v>8117</v>
      </c>
      <c r="O2" s="66"/>
      <c r="P2" s="67"/>
      <c r="Q2" s="65" t="s">
        <v>248</v>
      </c>
      <c r="R2" s="67"/>
      <c r="S2" s="65" t="s">
        <v>866</v>
      </c>
      <c r="T2" s="66"/>
      <c r="U2" s="67"/>
      <c r="V2" s="65" t="s">
        <v>8922</v>
      </c>
      <c r="W2" s="66"/>
      <c r="X2" s="66"/>
      <c r="Y2" s="67"/>
      <c r="Z2" s="70" t="s">
        <v>6408</v>
      </c>
      <c r="AA2" s="67"/>
      <c r="AB2" s="62" t="s">
        <v>8569</v>
      </c>
      <c r="AC2" s="65" t="s">
        <v>87</v>
      </c>
      <c r="AD2" s="67"/>
      <c r="AE2" s="65" t="s">
        <v>78</v>
      </c>
      <c r="AF2" s="66"/>
      <c r="AG2" s="66"/>
      <c r="AH2" s="66"/>
      <c r="AI2" s="66"/>
      <c r="AJ2" s="66"/>
      <c r="AK2" s="67"/>
      <c r="AL2" s="61" t="s">
        <v>1867</v>
      </c>
    </row>
    <row r="3" spans="1:38" ht="45" customHeight="1" x14ac:dyDescent="0.25">
      <c r="A3" t="s">
        <v>8923</v>
      </c>
      <c r="B3" s="14" t="s">
        <v>8063</v>
      </c>
      <c r="C3" s="14" t="s">
        <v>8924</v>
      </c>
      <c r="D3" s="14" t="s">
        <v>8925</v>
      </c>
      <c r="E3" s="14" t="s">
        <v>8072</v>
      </c>
      <c r="F3" t="s">
        <v>8926</v>
      </c>
      <c r="G3" s="14" t="s">
        <v>8927</v>
      </c>
      <c r="H3" s="14" t="s">
        <v>8928</v>
      </c>
      <c r="I3" t="s">
        <v>8078</v>
      </c>
      <c r="J3" t="s">
        <v>8103</v>
      </c>
      <c r="K3" t="s">
        <v>8929</v>
      </c>
      <c r="L3" t="s">
        <v>8111</v>
      </c>
      <c r="M3" t="s">
        <v>8096</v>
      </c>
      <c r="N3" t="s">
        <v>8118</v>
      </c>
      <c r="O3" t="s">
        <v>8930</v>
      </c>
      <c r="P3" t="s">
        <v>8931</v>
      </c>
      <c r="Q3" t="s">
        <v>8123</v>
      </c>
      <c r="R3" t="s">
        <v>8932</v>
      </c>
      <c r="S3" s="14" t="s">
        <v>8129</v>
      </c>
      <c r="T3" s="14" t="s">
        <v>8933</v>
      </c>
      <c r="U3" s="14" t="s">
        <v>8934</v>
      </c>
      <c r="V3" s="14" t="s">
        <v>8157</v>
      </c>
      <c r="W3" s="14" t="s">
        <v>8151</v>
      </c>
      <c r="X3" s="14" t="s">
        <v>8142</v>
      </c>
      <c r="Y3" s="14" t="s">
        <v>8137</v>
      </c>
      <c r="Z3" s="14" t="s">
        <v>8166</v>
      </c>
      <c r="AA3" s="14" t="s">
        <v>8935</v>
      </c>
      <c r="AB3" s="14" t="s">
        <v>8936</v>
      </c>
      <c r="AC3" s="14" t="s">
        <v>8132</v>
      </c>
      <c r="AD3" s="14" t="s">
        <v>8162</v>
      </c>
      <c r="AE3" s="14" t="s">
        <v>8186</v>
      </c>
      <c r="AF3" s="14" t="s">
        <v>8169</v>
      </c>
      <c r="AG3" s="14" t="s">
        <v>8937</v>
      </c>
      <c r="AH3" s="14" t="s">
        <v>8179</v>
      </c>
      <c r="AI3" s="14" t="s">
        <v>8938</v>
      </c>
      <c r="AJ3" t="s">
        <v>8175</v>
      </c>
      <c r="AK3" t="s">
        <v>8939</v>
      </c>
      <c r="AL3" s="14" t="s">
        <v>8191</v>
      </c>
    </row>
    <row r="4" spans="1:38" x14ac:dyDescent="0.25">
      <c r="A4" s="63" t="s">
        <v>8940</v>
      </c>
      <c r="B4" s="63" t="s">
        <v>8940</v>
      </c>
      <c r="C4" s="63" t="s">
        <v>8940</v>
      </c>
      <c r="D4" s="63" t="s">
        <v>8940</v>
      </c>
      <c r="E4" s="63" t="s">
        <v>8940</v>
      </c>
      <c r="F4" s="63" t="s">
        <v>8940</v>
      </c>
      <c r="G4" s="63" t="s">
        <v>8940</v>
      </c>
      <c r="H4" s="63" t="s">
        <v>8941</v>
      </c>
      <c r="I4" s="63" t="s">
        <v>8942</v>
      </c>
      <c r="J4" s="63" t="s">
        <v>8942</v>
      </c>
      <c r="K4" s="63" t="s">
        <v>8942</v>
      </c>
      <c r="L4" s="63" t="s">
        <v>8942</v>
      </c>
      <c r="M4" s="63" t="s">
        <v>8942</v>
      </c>
      <c r="N4" s="63" t="s">
        <v>8943</v>
      </c>
      <c r="O4" s="63" t="s">
        <v>8944</v>
      </c>
      <c r="P4" s="63" t="s">
        <v>8940</v>
      </c>
      <c r="Q4" s="63" t="s">
        <v>8945</v>
      </c>
      <c r="R4" s="63" t="s">
        <v>8945</v>
      </c>
      <c r="S4" s="63" t="s">
        <v>8940</v>
      </c>
      <c r="T4" s="63" t="s">
        <v>8940</v>
      </c>
      <c r="U4" s="63" t="s">
        <v>8940</v>
      </c>
      <c r="V4" s="63" t="s">
        <v>8946</v>
      </c>
      <c r="W4" s="63" t="s">
        <v>8946</v>
      </c>
      <c r="X4" s="63" t="s">
        <v>8940</v>
      </c>
      <c r="Y4" s="63" t="s">
        <v>8940</v>
      </c>
      <c r="Z4" s="63" t="s">
        <v>8947</v>
      </c>
      <c r="AA4" s="63" t="s">
        <v>8947</v>
      </c>
      <c r="AB4" s="63" t="s">
        <v>8940</v>
      </c>
      <c r="AC4" s="63" t="s">
        <v>8946</v>
      </c>
      <c r="AD4" s="63" t="s">
        <v>8946</v>
      </c>
      <c r="AE4" s="63" t="s">
        <v>8948</v>
      </c>
      <c r="AF4" s="63" t="s">
        <v>8945</v>
      </c>
      <c r="AG4" s="63" t="s">
        <v>8945</v>
      </c>
      <c r="AH4" s="63" t="s">
        <v>8940</v>
      </c>
      <c r="AI4" s="63" t="s">
        <v>8940</v>
      </c>
      <c r="AJ4" s="63" t="s">
        <v>8944</v>
      </c>
      <c r="AK4" s="63" t="s">
        <v>8949</v>
      </c>
      <c r="AL4" s="63" t="s">
        <v>8950</v>
      </c>
    </row>
    <row r="5" spans="1:38" x14ac:dyDescent="0.25">
      <c r="A5" s="63" t="s">
        <v>8951</v>
      </c>
      <c r="B5" s="63" t="s">
        <v>8951</v>
      </c>
      <c r="C5" s="63" t="s">
        <v>8951</v>
      </c>
      <c r="D5" s="63" t="s">
        <v>8951</v>
      </c>
      <c r="E5" s="63" t="s">
        <v>8951</v>
      </c>
      <c r="F5" s="63" t="s">
        <v>8951</v>
      </c>
      <c r="G5" s="63" t="s">
        <v>8952</v>
      </c>
      <c r="H5" s="63" t="s">
        <v>8953</v>
      </c>
      <c r="I5" s="63" t="s">
        <v>8954</v>
      </c>
      <c r="J5" s="63" t="s">
        <v>8954</v>
      </c>
      <c r="K5" s="63" t="s">
        <v>8954</v>
      </c>
      <c r="L5" s="63" t="s">
        <v>8954</v>
      </c>
      <c r="M5" s="63" t="s">
        <v>8954</v>
      </c>
      <c r="N5" s="63" t="s">
        <v>8951</v>
      </c>
      <c r="P5" s="63" t="s">
        <v>8952</v>
      </c>
      <c r="Q5" s="63" t="s">
        <v>8955</v>
      </c>
      <c r="R5" s="63" t="s">
        <v>8955</v>
      </c>
      <c r="S5" s="63" t="s">
        <v>8952</v>
      </c>
      <c r="T5" s="63" t="s">
        <v>8952</v>
      </c>
      <c r="U5" s="63" t="s">
        <v>8952</v>
      </c>
      <c r="V5" s="64" t="s">
        <v>8956</v>
      </c>
      <c r="W5" s="64" t="s">
        <v>8956</v>
      </c>
      <c r="X5" s="64" t="s">
        <v>8956</v>
      </c>
      <c r="Y5" s="64" t="s">
        <v>8956</v>
      </c>
      <c r="Z5" s="63" t="s">
        <v>8950</v>
      </c>
      <c r="AA5" s="63" t="s">
        <v>8950</v>
      </c>
      <c r="AC5" s="64" t="s">
        <v>8957</v>
      </c>
      <c r="AD5" s="63" t="s">
        <v>8958</v>
      </c>
      <c r="AF5" s="63" t="s">
        <v>8955</v>
      </c>
      <c r="AG5" s="63" t="s">
        <v>8955</v>
      </c>
      <c r="AH5" s="63" t="s">
        <v>8959</v>
      </c>
      <c r="AJ5" s="63" t="s">
        <v>8960</v>
      </c>
      <c r="AK5" s="63" t="s">
        <v>8940</v>
      </c>
      <c r="AL5" s="63" t="s">
        <v>8961</v>
      </c>
    </row>
    <row r="6" spans="1:38" x14ac:dyDescent="0.25">
      <c r="B6" s="63" t="s">
        <v>8962</v>
      </c>
      <c r="C6" s="63" t="s">
        <v>8958</v>
      </c>
      <c r="D6" s="63" t="s">
        <v>8962</v>
      </c>
      <c r="F6" s="63" t="s">
        <v>8952</v>
      </c>
      <c r="G6" s="63" t="s">
        <v>8951</v>
      </c>
      <c r="H6" s="63" t="s">
        <v>8963</v>
      </c>
      <c r="I6" s="63" t="s">
        <v>8964</v>
      </c>
      <c r="J6" s="63" t="s">
        <v>8964</v>
      </c>
      <c r="K6" s="63" t="s">
        <v>8964</v>
      </c>
      <c r="L6" s="63" t="s">
        <v>8964</v>
      </c>
      <c r="M6" s="63" t="s">
        <v>8964</v>
      </c>
      <c r="P6" s="63" t="s">
        <v>8951</v>
      </c>
      <c r="Q6" s="63" t="s">
        <v>8965</v>
      </c>
      <c r="R6" s="63" t="s">
        <v>8965</v>
      </c>
      <c r="S6" s="63" t="s">
        <v>8951</v>
      </c>
      <c r="T6" s="63" t="s">
        <v>8951</v>
      </c>
      <c r="U6" s="63" t="s">
        <v>8951</v>
      </c>
      <c r="V6" s="64" t="s">
        <v>8966</v>
      </c>
      <c r="W6" s="64" t="s">
        <v>8966</v>
      </c>
      <c r="X6" s="64" t="s">
        <v>8966</v>
      </c>
      <c r="Y6" s="64" t="s">
        <v>8966</v>
      </c>
      <c r="Z6" s="63" t="s">
        <v>8967</v>
      </c>
      <c r="AA6" s="63" t="s">
        <v>8968</v>
      </c>
      <c r="AC6" s="64" t="s">
        <v>8969</v>
      </c>
      <c r="AD6" s="64" t="s">
        <v>8970</v>
      </c>
      <c r="AF6" s="63" t="s">
        <v>8965</v>
      </c>
      <c r="AG6" s="63" t="s">
        <v>8965</v>
      </c>
      <c r="AH6" s="63" t="s">
        <v>8960</v>
      </c>
      <c r="AJ6" s="63" t="s">
        <v>8971</v>
      </c>
      <c r="AK6" s="63" t="s">
        <v>8972</v>
      </c>
      <c r="AL6" s="63" t="s">
        <v>8967</v>
      </c>
    </row>
    <row r="7" spans="1:38" x14ac:dyDescent="0.25">
      <c r="C7" s="63" t="s">
        <v>8973</v>
      </c>
      <c r="F7" s="63" t="s">
        <v>8973</v>
      </c>
      <c r="G7" s="63" t="s">
        <v>8974</v>
      </c>
      <c r="I7" s="64" t="s">
        <v>8957</v>
      </c>
      <c r="J7" s="64" t="s">
        <v>8957</v>
      </c>
      <c r="K7" s="64" t="s">
        <v>8957</v>
      </c>
      <c r="L7" s="63" t="s">
        <v>8958</v>
      </c>
      <c r="M7" s="63" t="s">
        <v>8975</v>
      </c>
      <c r="P7" s="63" t="s">
        <v>8974</v>
      </c>
      <c r="Q7" s="63" t="s">
        <v>8976</v>
      </c>
      <c r="R7" s="63" t="s">
        <v>8976</v>
      </c>
      <c r="S7" s="63" t="s">
        <v>8974</v>
      </c>
      <c r="T7" s="63" t="s">
        <v>8974</v>
      </c>
      <c r="U7" s="63" t="s">
        <v>8974</v>
      </c>
      <c r="V7" s="64" t="s">
        <v>8977</v>
      </c>
      <c r="W7" s="64" t="s">
        <v>8977</v>
      </c>
      <c r="X7" s="64" t="s">
        <v>8977</v>
      </c>
      <c r="Y7" s="64" t="s">
        <v>8977</v>
      </c>
      <c r="Z7" s="63" t="s">
        <v>8967</v>
      </c>
      <c r="AA7" s="63" t="s">
        <v>8967</v>
      </c>
      <c r="AC7" s="64" t="s">
        <v>8978</v>
      </c>
      <c r="AD7" s="64" t="s">
        <v>8979</v>
      </c>
      <c r="AF7" s="63" t="s">
        <v>8976</v>
      </c>
      <c r="AG7" s="63" t="s">
        <v>8976</v>
      </c>
      <c r="AH7" s="63" t="s">
        <v>8971</v>
      </c>
      <c r="AK7" s="63" t="s">
        <v>8980</v>
      </c>
      <c r="AL7" s="63" t="s">
        <v>8967</v>
      </c>
    </row>
    <row r="8" spans="1:38" x14ac:dyDescent="0.25">
      <c r="C8" s="63" t="s">
        <v>8962</v>
      </c>
      <c r="F8" s="63" t="s">
        <v>8962</v>
      </c>
      <c r="G8" s="63" t="s">
        <v>8981</v>
      </c>
      <c r="I8" s="64" t="s">
        <v>8969</v>
      </c>
      <c r="J8" s="64" t="s">
        <v>8969</v>
      </c>
      <c r="K8" s="64" t="s">
        <v>8969</v>
      </c>
      <c r="L8" s="64" t="s">
        <v>8982</v>
      </c>
      <c r="M8" s="63" t="s">
        <v>8983</v>
      </c>
      <c r="P8" s="63" t="s">
        <v>8981</v>
      </c>
      <c r="Q8" s="63" t="s">
        <v>8984</v>
      </c>
      <c r="R8" s="63" t="s">
        <v>8984</v>
      </c>
      <c r="S8" s="63" t="s">
        <v>8981</v>
      </c>
      <c r="T8" s="63" t="s">
        <v>8981</v>
      </c>
      <c r="U8" s="63" t="s">
        <v>8981</v>
      </c>
      <c r="V8" s="64" t="s">
        <v>8985</v>
      </c>
      <c r="W8" s="64" t="s">
        <v>8985</v>
      </c>
      <c r="X8" s="64" t="s">
        <v>8985</v>
      </c>
      <c r="Y8" s="64" t="s">
        <v>8985</v>
      </c>
      <c r="Z8" s="63" t="s">
        <v>8986</v>
      </c>
      <c r="AA8" s="63" t="s">
        <v>8967</v>
      </c>
      <c r="AC8" s="64" t="s">
        <v>8987</v>
      </c>
      <c r="AD8" s="64" t="s">
        <v>8988</v>
      </c>
      <c r="AF8" s="63" t="s">
        <v>8984</v>
      </c>
      <c r="AG8" s="63" t="s">
        <v>8984</v>
      </c>
      <c r="AK8" s="63" t="s">
        <v>8980</v>
      </c>
      <c r="AL8" s="63" t="s">
        <v>8986</v>
      </c>
    </row>
    <row r="9" spans="1:38" x14ac:dyDescent="0.25">
      <c r="F9" s="63" t="s">
        <v>8989</v>
      </c>
      <c r="G9" s="63" t="s">
        <v>8990</v>
      </c>
      <c r="I9" s="64" t="s">
        <v>8978</v>
      </c>
      <c r="J9" s="64" t="s">
        <v>8978</v>
      </c>
      <c r="K9" s="64" t="s">
        <v>8978</v>
      </c>
      <c r="L9" s="64" t="s">
        <v>8991</v>
      </c>
      <c r="M9" s="63" t="s">
        <v>8941</v>
      </c>
      <c r="P9" s="63" t="s">
        <v>8990</v>
      </c>
      <c r="Q9" s="63" t="s">
        <v>8992</v>
      </c>
      <c r="R9" s="63" t="s">
        <v>8992</v>
      </c>
      <c r="S9" s="63" t="s">
        <v>8990</v>
      </c>
      <c r="T9" s="63" t="s">
        <v>8990</v>
      </c>
      <c r="U9" s="63" t="s">
        <v>8990</v>
      </c>
      <c r="W9" s="64" t="s">
        <v>8993</v>
      </c>
      <c r="Y9" s="64" t="s">
        <v>8993</v>
      </c>
      <c r="Z9" s="63" t="s">
        <v>8986</v>
      </c>
      <c r="AA9" s="63" t="s">
        <v>8986</v>
      </c>
      <c r="AC9" s="64" t="s">
        <v>8956</v>
      </c>
      <c r="AD9" s="64" t="s">
        <v>8994</v>
      </c>
      <c r="AF9" s="63" t="s">
        <v>8992</v>
      </c>
      <c r="AG9" s="63" t="s">
        <v>8992</v>
      </c>
      <c r="AK9" s="63" t="s">
        <v>8995</v>
      </c>
      <c r="AL9" s="63" t="s">
        <v>8986</v>
      </c>
    </row>
    <row r="10" spans="1:38" x14ac:dyDescent="0.25">
      <c r="F10" s="63" t="s">
        <v>8996</v>
      </c>
      <c r="G10" s="63" t="s">
        <v>8989</v>
      </c>
      <c r="I10" s="64" t="s">
        <v>8987</v>
      </c>
      <c r="J10" s="64" t="s">
        <v>8987</v>
      </c>
      <c r="K10" s="64" t="s">
        <v>8987</v>
      </c>
      <c r="L10" s="64" t="s">
        <v>8997</v>
      </c>
      <c r="M10" s="64" t="s">
        <v>8957</v>
      </c>
      <c r="P10" s="63" t="s">
        <v>8989</v>
      </c>
      <c r="Q10" s="63" t="s">
        <v>8998</v>
      </c>
      <c r="R10" s="63" t="s">
        <v>8998</v>
      </c>
      <c r="S10" s="63" t="s">
        <v>8989</v>
      </c>
      <c r="T10" s="63" t="s">
        <v>8989</v>
      </c>
      <c r="U10" s="63" t="s">
        <v>8989</v>
      </c>
      <c r="W10" s="64" t="s">
        <v>8999</v>
      </c>
      <c r="Y10" s="64" t="s">
        <v>8999</v>
      </c>
      <c r="Z10" s="63" t="s">
        <v>9000</v>
      </c>
      <c r="AA10" s="63" t="s">
        <v>8986</v>
      </c>
      <c r="AC10" s="64" t="s">
        <v>8956</v>
      </c>
      <c r="AD10" s="64" t="s">
        <v>9001</v>
      </c>
      <c r="AF10" s="63" t="s">
        <v>8998</v>
      </c>
      <c r="AG10" s="63" t="s">
        <v>8998</v>
      </c>
      <c r="AK10" s="63" t="s">
        <v>9002</v>
      </c>
      <c r="AL10" s="63" t="s">
        <v>8980</v>
      </c>
    </row>
    <row r="11" spans="1:38" x14ac:dyDescent="0.25">
      <c r="F11" s="63" t="s">
        <v>8958</v>
      </c>
      <c r="G11" s="63" t="s">
        <v>8996</v>
      </c>
      <c r="I11" s="64" t="s">
        <v>8982</v>
      </c>
      <c r="J11" s="64" t="s">
        <v>8956</v>
      </c>
      <c r="K11" s="64" t="s">
        <v>8982</v>
      </c>
      <c r="L11" s="64" t="s">
        <v>9003</v>
      </c>
      <c r="M11" s="64" t="s">
        <v>8969</v>
      </c>
      <c r="P11" s="63" t="s">
        <v>8996</v>
      </c>
      <c r="Q11" s="63" t="s">
        <v>9004</v>
      </c>
      <c r="R11" s="63" t="s">
        <v>9004</v>
      </c>
      <c r="S11" s="63" t="s">
        <v>8962</v>
      </c>
      <c r="T11" s="63" t="s">
        <v>8996</v>
      </c>
      <c r="U11" s="63" t="s">
        <v>8962</v>
      </c>
      <c r="W11" s="64" t="s">
        <v>9005</v>
      </c>
      <c r="Y11" s="64" t="s">
        <v>9005</v>
      </c>
      <c r="Z11" s="64" t="s">
        <v>9006</v>
      </c>
      <c r="AA11" s="63" t="s">
        <v>9000</v>
      </c>
      <c r="AC11" s="64" t="s">
        <v>8977</v>
      </c>
      <c r="AD11" s="64" t="s">
        <v>9007</v>
      </c>
      <c r="AF11" s="63" t="s">
        <v>9004</v>
      </c>
      <c r="AG11" s="63" t="s">
        <v>9004</v>
      </c>
      <c r="AL11" s="64" t="s">
        <v>9006</v>
      </c>
    </row>
    <row r="12" spans="1:38" x14ac:dyDescent="0.25">
      <c r="F12" s="63" t="s">
        <v>9008</v>
      </c>
      <c r="G12" s="63" t="s">
        <v>8962</v>
      </c>
      <c r="I12" s="64" t="s">
        <v>8991</v>
      </c>
      <c r="J12" s="64" t="s">
        <v>8966</v>
      </c>
      <c r="K12" s="64" t="s">
        <v>8991</v>
      </c>
      <c r="L12" s="64" t="s">
        <v>9001</v>
      </c>
      <c r="M12" s="64" t="s">
        <v>8978</v>
      </c>
      <c r="P12" s="63" t="s">
        <v>8962</v>
      </c>
      <c r="Q12" s="63" t="s">
        <v>9009</v>
      </c>
      <c r="R12" s="63" t="s">
        <v>9009</v>
      </c>
      <c r="S12" s="63" t="s">
        <v>9010</v>
      </c>
      <c r="T12" s="63" t="s">
        <v>8962</v>
      </c>
      <c r="U12" s="63" t="s">
        <v>9010</v>
      </c>
      <c r="W12" s="64" t="s">
        <v>9011</v>
      </c>
      <c r="Y12" s="64" t="s">
        <v>9011</v>
      </c>
      <c r="Z12" s="64" t="s">
        <v>9012</v>
      </c>
      <c r="AA12" s="64" t="s">
        <v>9006</v>
      </c>
      <c r="AC12" s="64" t="s">
        <v>8985</v>
      </c>
      <c r="AD12" s="64" t="s">
        <v>8957</v>
      </c>
      <c r="AF12" s="63" t="s">
        <v>9009</v>
      </c>
      <c r="AG12" s="63" t="s">
        <v>9009</v>
      </c>
      <c r="AL12" s="64" t="s">
        <v>9012</v>
      </c>
    </row>
    <row r="13" spans="1:38" x14ac:dyDescent="0.25">
      <c r="G13" s="63" t="s">
        <v>9010</v>
      </c>
      <c r="I13" s="64" t="s">
        <v>8997</v>
      </c>
      <c r="J13" s="64" t="s">
        <v>8977</v>
      </c>
      <c r="K13" s="64" t="s">
        <v>8997</v>
      </c>
      <c r="L13" s="64" t="s">
        <v>9007</v>
      </c>
      <c r="M13" s="64" t="s">
        <v>8987</v>
      </c>
      <c r="P13" s="63" t="s">
        <v>9010</v>
      </c>
      <c r="Q13" s="63" t="s">
        <v>9013</v>
      </c>
      <c r="R13" s="63" t="s">
        <v>9013</v>
      </c>
      <c r="S13" s="63" t="s">
        <v>9014</v>
      </c>
      <c r="T13" s="63" t="s">
        <v>9010</v>
      </c>
      <c r="U13" s="63" t="s">
        <v>9014</v>
      </c>
      <c r="W13" s="64" t="s">
        <v>9015</v>
      </c>
      <c r="Y13" s="64" t="s">
        <v>9015</v>
      </c>
      <c r="Z13" s="64" t="s">
        <v>9016</v>
      </c>
      <c r="AA13" s="64" t="s">
        <v>9012</v>
      </c>
      <c r="AD13" s="64" t="s">
        <v>8969</v>
      </c>
      <c r="AF13" s="63" t="s">
        <v>9013</v>
      </c>
      <c r="AG13" s="63" t="s">
        <v>9013</v>
      </c>
      <c r="AL13" s="64" t="s">
        <v>9016</v>
      </c>
    </row>
    <row r="14" spans="1:38" x14ac:dyDescent="0.25">
      <c r="G14" s="63" t="s">
        <v>9014</v>
      </c>
      <c r="I14" s="64" t="s">
        <v>9003</v>
      </c>
      <c r="J14" s="64" t="s">
        <v>8985</v>
      </c>
      <c r="K14" s="64" t="s">
        <v>9003</v>
      </c>
      <c r="L14" s="64" t="s">
        <v>8957</v>
      </c>
      <c r="M14" s="64" t="s">
        <v>8982</v>
      </c>
      <c r="P14" s="63" t="s">
        <v>9014</v>
      </c>
      <c r="Q14" s="63" t="s">
        <v>9017</v>
      </c>
      <c r="R14" s="63" t="s">
        <v>9017</v>
      </c>
      <c r="S14" s="63" t="s">
        <v>8958</v>
      </c>
      <c r="T14" s="63" t="s">
        <v>9014</v>
      </c>
      <c r="U14" s="63" t="s">
        <v>8958</v>
      </c>
      <c r="W14" s="64" t="s">
        <v>9018</v>
      </c>
      <c r="Y14" s="64" t="s">
        <v>9018</v>
      </c>
      <c r="Z14" s="64" t="s">
        <v>9019</v>
      </c>
      <c r="AA14" s="64" t="s">
        <v>9016</v>
      </c>
      <c r="AD14" s="64" t="s">
        <v>8978</v>
      </c>
      <c r="AF14" s="63" t="s">
        <v>9017</v>
      </c>
      <c r="AG14" s="63" t="s">
        <v>9017</v>
      </c>
      <c r="AL14" s="64" t="s">
        <v>9019</v>
      </c>
    </row>
    <row r="15" spans="1:38" x14ac:dyDescent="0.25">
      <c r="G15" s="63" t="s">
        <v>8958</v>
      </c>
      <c r="I15" s="64" t="s">
        <v>8956</v>
      </c>
      <c r="J15" s="64" t="s">
        <v>9020</v>
      </c>
      <c r="K15" s="64" t="s">
        <v>8956</v>
      </c>
      <c r="L15" s="64" t="s">
        <v>8969</v>
      </c>
      <c r="M15" s="64" t="s">
        <v>8991</v>
      </c>
      <c r="P15" s="63" t="s">
        <v>8958</v>
      </c>
      <c r="Q15" s="63" t="s">
        <v>9021</v>
      </c>
      <c r="R15" s="63" t="s">
        <v>9021</v>
      </c>
      <c r="S15" s="63" t="s">
        <v>9022</v>
      </c>
      <c r="T15" s="63" t="s">
        <v>8958</v>
      </c>
      <c r="U15" s="63" t="s">
        <v>9022</v>
      </c>
      <c r="W15" s="64" t="s">
        <v>9023</v>
      </c>
      <c r="Y15" s="64" t="s">
        <v>9023</v>
      </c>
      <c r="Z15" s="64" t="s">
        <v>9024</v>
      </c>
      <c r="AA15" s="64" t="s">
        <v>9019</v>
      </c>
      <c r="AD15" s="64" t="s">
        <v>8987</v>
      </c>
      <c r="AF15" s="63" t="s">
        <v>9021</v>
      </c>
      <c r="AG15" s="63" t="s">
        <v>9021</v>
      </c>
      <c r="AL15" s="64" t="s">
        <v>9024</v>
      </c>
    </row>
    <row r="16" spans="1:38" x14ac:dyDescent="0.25">
      <c r="G16" s="63" t="s">
        <v>9022</v>
      </c>
      <c r="I16" s="64" t="s">
        <v>8956</v>
      </c>
      <c r="J16" s="64" t="s">
        <v>9025</v>
      </c>
      <c r="K16" s="64" t="s">
        <v>8956</v>
      </c>
      <c r="L16" s="64" t="s">
        <v>8978</v>
      </c>
      <c r="M16" s="64" t="s">
        <v>8997</v>
      </c>
      <c r="P16" s="63" t="s">
        <v>9022</v>
      </c>
      <c r="Q16" s="63" t="s">
        <v>8980</v>
      </c>
      <c r="R16" s="63" t="s">
        <v>8980</v>
      </c>
      <c r="S16" s="63" t="s">
        <v>9026</v>
      </c>
      <c r="T16" s="63" t="s">
        <v>9022</v>
      </c>
      <c r="U16" s="63" t="s">
        <v>9026</v>
      </c>
      <c r="W16" s="64" t="s">
        <v>9027</v>
      </c>
      <c r="Y16" s="64" t="s">
        <v>9027</v>
      </c>
      <c r="Z16" s="64" t="s">
        <v>9024</v>
      </c>
      <c r="AA16" s="64" t="s">
        <v>9024</v>
      </c>
      <c r="AD16" s="64" t="s">
        <v>8956</v>
      </c>
      <c r="AF16" s="63" t="s">
        <v>8980</v>
      </c>
      <c r="AG16" s="63" t="s">
        <v>8980</v>
      </c>
      <c r="AL16" s="64" t="s">
        <v>9024</v>
      </c>
    </row>
    <row r="17" spans="7:38" x14ac:dyDescent="0.25">
      <c r="G17" s="63" t="s">
        <v>9026</v>
      </c>
      <c r="I17" s="64" t="s">
        <v>8977</v>
      </c>
      <c r="J17" s="64" t="s">
        <v>9028</v>
      </c>
      <c r="K17" s="64" t="s">
        <v>8977</v>
      </c>
      <c r="L17" s="64" t="s">
        <v>8987</v>
      </c>
      <c r="M17" s="64" t="s">
        <v>9003</v>
      </c>
      <c r="P17" s="63" t="s">
        <v>9026</v>
      </c>
      <c r="Q17" s="63" t="s">
        <v>9029</v>
      </c>
      <c r="R17" s="63" t="s">
        <v>9030</v>
      </c>
      <c r="S17" s="63" t="s">
        <v>9031</v>
      </c>
      <c r="T17" s="63" t="s">
        <v>9026</v>
      </c>
      <c r="U17" s="63" t="s">
        <v>9031</v>
      </c>
      <c r="Z17" s="64" t="s">
        <v>9032</v>
      </c>
      <c r="AA17" s="64" t="s">
        <v>9024</v>
      </c>
      <c r="AD17" s="64" t="s">
        <v>8966</v>
      </c>
      <c r="AF17" s="63" t="s">
        <v>9033</v>
      </c>
      <c r="AG17" s="63" t="s">
        <v>9033</v>
      </c>
      <c r="AL17" s="64" t="s">
        <v>9032</v>
      </c>
    </row>
    <row r="18" spans="7:38" x14ac:dyDescent="0.25">
      <c r="G18" s="63" t="s">
        <v>9031</v>
      </c>
      <c r="I18" s="64" t="s">
        <v>8985</v>
      </c>
      <c r="J18" s="64" t="s">
        <v>8983</v>
      </c>
      <c r="K18" s="64" t="s">
        <v>8985</v>
      </c>
      <c r="L18" s="64" t="s">
        <v>8956</v>
      </c>
      <c r="P18" s="63" t="s">
        <v>9031</v>
      </c>
      <c r="Q18" s="64" t="s">
        <v>9034</v>
      </c>
      <c r="R18" s="63" t="s">
        <v>9010</v>
      </c>
      <c r="S18" s="63" t="s">
        <v>9035</v>
      </c>
      <c r="T18" s="63" t="s">
        <v>9031</v>
      </c>
      <c r="U18" s="63" t="s">
        <v>9035</v>
      </c>
      <c r="Z18" s="64" t="s">
        <v>9036</v>
      </c>
      <c r="AA18" s="64" t="s">
        <v>9032</v>
      </c>
      <c r="AD18" s="64" t="s">
        <v>8977</v>
      </c>
      <c r="AF18" s="63" t="s">
        <v>8949</v>
      </c>
      <c r="AG18" s="63" t="s">
        <v>8949</v>
      </c>
      <c r="AL18" s="64" t="s">
        <v>9036</v>
      </c>
    </row>
    <row r="19" spans="7:38" x14ac:dyDescent="0.25">
      <c r="G19" s="63" t="s">
        <v>9035</v>
      </c>
      <c r="J19" s="64" t="s">
        <v>9037</v>
      </c>
      <c r="K19" s="64" t="s">
        <v>8941</v>
      </c>
      <c r="L19" s="64" t="s">
        <v>8956</v>
      </c>
      <c r="P19" s="63" t="s">
        <v>9035</v>
      </c>
      <c r="Q19" s="64" t="s">
        <v>9038</v>
      </c>
      <c r="R19" s="63" t="s">
        <v>9010</v>
      </c>
      <c r="S19" s="63" t="s">
        <v>9039</v>
      </c>
      <c r="T19" s="63" t="s">
        <v>9035</v>
      </c>
      <c r="U19" s="63" t="s">
        <v>9039</v>
      </c>
      <c r="Z19" s="64" t="s">
        <v>9040</v>
      </c>
      <c r="AA19" s="64" t="s">
        <v>9036</v>
      </c>
      <c r="AD19" s="64" t="s">
        <v>8985</v>
      </c>
      <c r="AF19" s="63" t="s">
        <v>9029</v>
      </c>
      <c r="AG19" s="63" t="s">
        <v>9029</v>
      </c>
      <c r="AL19" s="64" t="s">
        <v>9040</v>
      </c>
    </row>
    <row r="20" spans="7:38" x14ac:dyDescent="0.25">
      <c r="G20" s="63" t="s">
        <v>9039</v>
      </c>
      <c r="J20" s="64" t="s">
        <v>9041</v>
      </c>
      <c r="K20" s="64" t="s">
        <v>9042</v>
      </c>
      <c r="L20" s="64" t="s">
        <v>8977</v>
      </c>
      <c r="P20" s="63" t="s">
        <v>9039</v>
      </c>
      <c r="R20" s="64" t="s">
        <v>9043</v>
      </c>
      <c r="S20" s="63" t="s">
        <v>9044</v>
      </c>
      <c r="T20" s="63" t="s">
        <v>9039</v>
      </c>
      <c r="U20" s="63" t="s">
        <v>9044</v>
      </c>
      <c r="Z20" s="64" t="s">
        <v>9045</v>
      </c>
      <c r="AA20" s="64" t="s">
        <v>9046</v>
      </c>
      <c r="AD20" s="64" t="s">
        <v>8993</v>
      </c>
      <c r="AF20" s="63" t="s">
        <v>8948</v>
      </c>
      <c r="AG20" s="63" t="s">
        <v>8948</v>
      </c>
      <c r="AL20" s="64" t="s">
        <v>9045</v>
      </c>
    </row>
    <row r="21" spans="7:38" x14ac:dyDescent="0.25">
      <c r="G21" s="63" t="s">
        <v>9044</v>
      </c>
      <c r="J21" s="64" t="s">
        <v>9047</v>
      </c>
      <c r="K21" s="64" t="s">
        <v>9048</v>
      </c>
      <c r="L21" s="64" t="s">
        <v>8985</v>
      </c>
      <c r="P21" s="63" t="s">
        <v>9044</v>
      </c>
      <c r="R21" s="64" t="s">
        <v>9049</v>
      </c>
      <c r="S21" s="63" t="s">
        <v>9050</v>
      </c>
      <c r="T21" s="63" t="s">
        <v>9044</v>
      </c>
      <c r="U21" s="63" t="s">
        <v>9050</v>
      </c>
      <c r="Z21" s="64" t="s">
        <v>9051</v>
      </c>
      <c r="AA21" s="64" t="s">
        <v>9046</v>
      </c>
      <c r="AD21" s="64" t="s">
        <v>8999</v>
      </c>
      <c r="AF21" s="63" t="s">
        <v>9052</v>
      </c>
      <c r="AG21" s="63" t="s">
        <v>9052</v>
      </c>
      <c r="AL21" s="64" t="s">
        <v>9051</v>
      </c>
    </row>
    <row r="22" spans="7:38" x14ac:dyDescent="0.25">
      <c r="G22" s="63" t="s">
        <v>9050</v>
      </c>
      <c r="J22" s="64" t="s">
        <v>9053</v>
      </c>
      <c r="K22" s="64" t="s">
        <v>9054</v>
      </c>
      <c r="L22" s="64" t="s">
        <v>9055</v>
      </c>
      <c r="P22" s="63" t="s">
        <v>9050</v>
      </c>
      <c r="R22" s="64" t="s">
        <v>9056</v>
      </c>
      <c r="S22" s="63" t="s">
        <v>9057</v>
      </c>
      <c r="T22" s="63" t="s">
        <v>9057</v>
      </c>
      <c r="U22" s="63" t="s">
        <v>9057</v>
      </c>
      <c r="Z22" s="64" t="s">
        <v>9058</v>
      </c>
      <c r="AA22" s="64" t="s">
        <v>9059</v>
      </c>
      <c r="AD22" s="64" t="s">
        <v>9005</v>
      </c>
      <c r="AG22" s="63" t="s">
        <v>9030</v>
      </c>
      <c r="AL22" s="64" t="s">
        <v>9058</v>
      </c>
    </row>
    <row r="23" spans="7:38" x14ac:dyDescent="0.25">
      <c r="G23" s="63" t="s">
        <v>9057</v>
      </c>
      <c r="J23" s="64" t="s">
        <v>9060</v>
      </c>
      <c r="L23" s="64" t="s">
        <v>9061</v>
      </c>
      <c r="P23" s="63" t="s">
        <v>9057</v>
      </c>
      <c r="R23" s="64" t="s">
        <v>9062</v>
      </c>
      <c r="T23" s="63" t="s">
        <v>9050</v>
      </c>
      <c r="AA23" s="64" t="s">
        <v>9063</v>
      </c>
      <c r="AD23" s="64" t="s">
        <v>9011</v>
      </c>
      <c r="AG23" s="64" t="s">
        <v>8949</v>
      </c>
      <c r="AL23" s="64" t="s">
        <v>9064</v>
      </c>
    </row>
    <row r="24" spans="7:38" x14ac:dyDescent="0.25">
      <c r="G24" s="63" t="s">
        <v>9065</v>
      </c>
      <c r="J24" s="64" t="s">
        <v>9066</v>
      </c>
      <c r="L24" s="64" t="s">
        <v>9067</v>
      </c>
      <c r="P24" s="63" t="s">
        <v>9065</v>
      </c>
      <c r="R24" s="64" t="s">
        <v>9068</v>
      </c>
      <c r="T24" s="63" t="s">
        <v>9065</v>
      </c>
      <c r="AA24" s="64" t="s">
        <v>9040</v>
      </c>
      <c r="AD24" s="64" t="s">
        <v>9015</v>
      </c>
      <c r="AG24" s="64" t="s">
        <v>9029</v>
      </c>
      <c r="AL24" s="64" t="s">
        <v>9069</v>
      </c>
    </row>
    <row r="25" spans="7:38" x14ac:dyDescent="0.25">
      <c r="G25" s="63" t="s">
        <v>8980</v>
      </c>
      <c r="J25" s="64" t="s">
        <v>9070</v>
      </c>
      <c r="L25" s="64" t="s">
        <v>9071</v>
      </c>
      <c r="P25" s="63" t="s">
        <v>8980</v>
      </c>
      <c r="R25" s="64" t="s">
        <v>9072</v>
      </c>
      <c r="T25" s="63" t="s">
        <v>8980</v>
      </c>
      <c r="AA25" s="64" t="s">
        <v>9045</v>
      </c>
      <c r="AD25" s="64" t="s">
        <v>9018</v>
      </c>
      <c r="AG25" s="64" t="s">
        <v>8948</v>
      </c>
      <c r="AL25" s="64" t="s">
        <v>9073</v>
      </c>
    </row>
    <row r="26" spans="7:38" x14ac:dyDescent="0.25">
      <c r="G26" s="63" t="s">
        <v>9008</v>
      </c>
      <c r="J26" s="64" t="s">
        <v>8954</v>
      </c>
      <c r="L26" s="64" t="s">
        <v>8993</v>
      </c>
      <c r="P26" s="63" t="s">
        <v>9008</v>
      </c>
      <c r="R26" s="64" t="s">
        <v>9074</v>
      </c>
      <c r="T26" s="63" t="s">
        <v>9008</v>
      </c>
      <c r="AA26" s="64" t="s">
        <v>9051</v>
      </c>
      <c r="AD26" s="64" t="s">
        <v>9023</v>
      </c>
      <c r="AG26" s="64" t="s">
        <v>9052</v>
      </c>
      <c r="AL26" s="64" t="s">
        <v>9075</v>
      </c>
    </row>
    <row r="27" spans="7:38" x14ac:dyDescent="0.25">
      <c r="G27" s="63" t="s">
        <v>8973</v>
      </c>
      <c r="J27" s="64" t="s">
        <v>9076</v>
      </c>
      <c r="L27" s="64" t="s">
        <v>8999</v>
      </c>
      <c r="P27" s="63" t="s">
        <v>8973</v>
      </c>
      <c r="R27" s="64" t="s">
        <v>9077</v>
      </c>
      <c r="T27" s="63" t="s">
        <v>8973</v>
      </c>
      <c r="AA27" s="64" t="s">
        <v>9058</v>
      </c>
      <c r="AD27" s="64" t="s">
        <v>9027</v>
      </c>
      <c r="AG27" s="64" t="s">
        <v>9030</v>
      </c>
    </row>
    <row r="28" spans="7:38" x14ac:dyDescent="0.25">
      <c r="J28" s="64" t="s">
        <v>8964</v>
      </c>
      <c r="L28" s="64" t="s">
        <v>9005</v>
      </c>
      <c r="R28" s="64" t="s">
        <v>9078</v>
      </c>
      <c r="AA28" s="64" t="s">
        <v>9064</v>
      </c>
      <c r="AD28" s="64" t="s">
        <v>9055</v>
      </c>
      <c r="AG28" s="64" t="s">
        <v>9068</v>
      </c>
    </row>
    <row r="29" spans="7:38" x14ac:dyDescent="0.25">
      <c r="J29" s="64" t="s">
        <v>9079</v>
      </c>
      <c r="L29" s="64" t="s">
        <v>9011</v>
      </c>
      <c r="R29" s="64" t="s">
        <v>9080</v>
      </c>
      <c r="AA29" s="64" t="s">
        <v>9069</v>
      </c>
      <c r="AD29" s="64" t="s">
        <v>9061</v>
      </c>
      <c r="AG29" s="64" t="s">
        <v>9072</v>
      </c>
    </row>
    <row r="30" spans="7:38" x14ac:dyDescent="0.25">
      <c r="J30" s="64" t="s">
        <v>9081</v>
      </c>
      <c r="L30" s="64" t="s">
        <v>9015</v>
      </c>
      <c r="R30" s="64" t="s">
        <v>9082</v>
      </c>
      <c r="AA30" s="64" t="s">
        <v>9073</v>
      </c>
      <c r="AD30" s="64" t="s">
        <v>9067</v>
      </c>
      <c r="AG30" s="64" t="s">
        <v>9074</v>
      </c>
    </row>
    <row r="31" spans="7:38" x14ac:dyDescent="0.25">
      <c r="J31" s="64" t="s">
        <v>9083</v>
      </c>
      <c r="L31" s="64" t="s">
        <v>9018</v>
      </c>
      <c r="R31" s="64" t="s">
        <v>9084</v>
      </c>
      <c r="AA31" s="64" t="s">
        <v>9075</v>
      </c>
      <c r="AD31" s="64" t="s">
        <v>9071</v>
      </c>
      <c r="AG31" s="64" t="s">
        <v>9077</v>
      </c>
    </row>
    <row r="32" spans="7:38" x14ac:dyDescent="0.25">
      <c r="J32" s="64" t="s">
        <v>9085</v>
      </c>
      <c r="L32" s="64" t="s">
        <v>9023</v>
      </c>
      <c r="R32" s="64" t="s">
        <v>9086</v>
      </c>
      <c r="AA32" s="64" t="s">
        <v>9087</v>
      </c>
      <c r="AG32" s="64" t="s">
        <v>9078</v>
      </c>
    </row>
    <row r="33" spans="10:33" x14ac:dyDescent="0.25">
      <c r="J33" s="64" t="s">
        <v>9088</v>
      </c>
      <c r="L33" s="64" t="s">
        <v>9027</v>
      </c>
      <c r="R33" s="64" t="s">
        <v>9089</v>
      </c>
      <c r="AA33" s="64" t="s">
        <v>9090</v>
      </c>
      <c r="AG33" s="64" t="s">
        <v>9080</v>
      </c>
    </row>
    <row r="34" spans="10:33" x14ac:dyDescent="0.25">
      <c r="J34" s="64" t="s">
        <v>9091</v>
      </c>
      <c r="R34" s="64" t="s">
        <v>9092</v>
      </c>
      <c r="AA34" s="64" t="s">
        <v>9093</v>
      </c>
      <c r="AG34" s="64" t="s">
        <v>9082</v>
      </c>
    </row>
    <row r="35" spans="10:33" x14ac:dyDescent="0.25">
      <c r="J35" s="64" t="s">
        <v>9094</v>
      </c>
      <c r="R35" s="64" t="s">
        <v>9095</v>
      </c>
      <c r="AA35" s="64" t="s">
        <v>9096</v>
      </c>
      <c r="AG35" s="64" t="s">
        <v>9084</v>
      </c>
    </row>
    <row r="36" spans="10:33" x14ac:dyDescent="0.25">
      <c r="J36" s="64" t="s">
        <v>9097</v>
      </c>
      <c r="R36" s="64" t="s">
        <v>9098</v>
      </c>
      <c r="AG36" s="64" t="s">
        <v>9086</v>
      </c>
    </row>
    <row r="37" spans="10:33" x14ac:dyDescent="0.25">
      <c r="R37" s="64" t="s">
        <v>9099</v>
      </c>
      <c r="AG37" s="64" t="s">
        <v>9089</v>
      </c>
    </row>
    <row r="38" spans="10:33" x14ac:dyDescent="0.25">
      <c r="AG38" s="64" t="s">
        <v>9092</v>
      </c>
    </row>
    <row r="39" spans="10:33" x14ac:dyDescent="0.25">
      <c r="AG39" s="64" t="s">
        <v>9095</v>
      </c>
    </row>
    <row r="40" spans="10:33" x14ac:dyDescent="0.25">
      <c r="AG40" s="64" t="s">
        <v>9098</v>
      </c>
    </row>
    <row r="41" spans="10:33" x14ac:dyDescent="0.25">
      <c r="AG41" s="64" t="s">
        <v>9099</v>
      </c>
    </row>
  </sheetData>
  <mergeCells count="12">
    <mergeCell ref="AC2:AD2"/>
    <mergeCell ref="I2:M2"/>
    <mergeCell ref="V2:Y2"/>
    <mergeCell ref="AE2:AK2"/>
    <mergeCell ref="B2:D2"/>
    <mergeCell ref="E2:G2"/>
    <mergeCell ref="Q2:R2"/>
    <mergeCell ref="N2:P2"/>
    <mergeCell ref="I1:L1"/>
    <mergeCell ref="Z2:AA2"/>
    <mergeCell ref="S2:U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MASTER_TAG_LIST</vt:lpstr>
      <vt:lpstr>Final Val. Alerts</vt:lpstr>
      <vt:lpstr>Add UDT Members</vt:lpstr>
      <vt:lpstr>Progress Metrics</vt:lpstr>
      <vt:lpstr>PrefixLookup</vt:lpstr>
      <vt:lpstr>Allowed_Sequences</vt:lpstr>
      <vt:lpstr>UDT_Def</vt:lpstr>
      <vt:lpstr>utilized_tags_by_cfg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dos Santos Rodriguez, Alexandre (Lean Staffing Solutio</cp:lastModifiedBy>
  <dcterms:created xsi:type="dcterms:W3CDTF">2026-02-10T22:48:24Z</dcterms:created>
  <dcterms:modified xsi:type="dcterms:W3CDTF">2026-02-11T00:46:59Z</dcterms:modified>
</cp:coreProperties>
</file>